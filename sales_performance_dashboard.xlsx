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<sst xmlns="http://schemas.openxmlformats.org/spreadsheetml/2006/main" count="7236" uniqueCount="57">
  <si>
    <t xml:space="preserve">OrderID</t>
  </si>
  <si>
    <t xml:space="preserve">Date</t>
  </si>
  <si>
    <t xml:space="preserve">Region</t>
  </si>
  <si>
    <t xml:space="preserve">Category</t>
  </si>
  <si>
    <t xml:space="preserve">Product</t>
  </si>
  <si>
    <t xml:space="preserve">Salesperson</t>
  </si>
  <si>
    <t xml:space="preserve">Units Sold</t>
  </si>
  <si>
    <t xml:space="preserve">Unit Price</t>
  </si>
  <si>
    <t xml:space="preserve">Unit Cost</t>
  </si>
  <si>
    <t xml:space="preserve">Revenue</t>
  </si>
  <si>
    <t xml:space="preserve">Cost</t>
  </si>
  <si>
    <t xml:space="preserve">Profit</t>
  </si>
  <si>
    <t xml:space="preserve">Cork</t>
  </si>
  <si>
    <t xml:space="preserve">Office Supplies</t>
  </si>
  <si>
    <t xml:space="preserve">Stapler</t>
  </si>
  <si>
    <t xml:space="preserve">Ciara Doyle</t>
  </si>
  <si>
    <t xml:space="preserve">Waterford</t>
  </si>
  <si>
    <t xml:space="preserve">Electronics</t>
  </si>
  <si>
    <t xml:space="preserve">Keyboard</t>
  </si>
  <si>
    <t xml:space="preserve">Niamh Connolly</t>
  </si>
  <si>
    <t xml:space="preserve">Software</t>
  </si>
  <si>
    <t xml:space="preserve">Cloud Storage</t>
  </si>
  <si>
    <t xml:space="preserve">Aoife Byrne</t>
  </si>
  <si>
    <t xml:space="preserve">Limerick</t>
  </si>
  <si>
    <t xml:space="preserve">Notebook</t>
  </si>
  <si>
    <t xml:space="preserve">Sean Murphy</t>
  </si>
  <si>
    <t xml:space="preserve">Dublin</t>
  </si>
  <si>
    <t xml:space="preserve">Laptop</t>
  </si>
  <si>
    <t xml:space="preserve">Darragh Ryan</t>
  </si>
  <si>
    <t xml:space="preserve">Furniture</t>
  </si>
  <si>
    <t xml:space="preserve">Office Desk</t>
  </si>
  <si>
    <t xml:space="preserve">Printer Paper</t>
  </si>
  <si>
    <t xml:space="preserve">Galway</t>
  </si>
  <si>
    <t xml:space="preserve">Ronan Walsh</t>
  </si>
  <si>
    <t xml:space="preserve">Office Suite</t>
  </si>
  <si>
    <t xml:space="preserve">Webcam</t>
  </si>
  <si>
    <t xml:space="preserve">Sinead Kelly</t>
  </si>
  <si>
    <t xml:space="preserve">Bookshelf</t>
  </si>
  <si>
    <t xml:space="preserve">Design Tool</t>
  </si>
  <si>
    <t xml:space="preserve">Liam O'Neill</t>
  </si>
  <si>
    <t xml:space="preserve">Headphones</t>
  </si>
  <si>
    <t xml:space="preserve">Whiteboard</t>
  </si>
  <si>
    <t xml:space="preserve">Antivirus License</t>
  </si>
  <si>
    <t xml:space="preserve">Filing Cabinet</t>
  </si>
  <si>
    <t xml:space="preserve">Monitor</t>
  </si>
  <si>
    <t xml:space="preserve">Desk Chair</t>
  </si>
  <si>
    <t xml:space="preserve">Desk Lamp</t>
  </si>
  <si>
    <t xml:space="preserve">Sales Performance Summary</t>
  </si>
  <si>
    <t xml:space="preserve">Total Revenue</t>
  </si>
  <si>
    <t xml:space="preserve">Revenue by Region</t>
  </si>
  <si>
    <t xml:space="preserve">Revenue by Category</t>
  </si>
  <si>
    <t xml:space="preserve">Total Cost</t>
  </si>
  <si>
    <t xml:space="preserve">Total Profit</t>
  </si>
  <si>
    <t xml:space="preserve">Total Units Sold</t>
  </si>
  <si>
    <t xml:space="preserve">Avg Order Value</t>
  </si>
  <si>
    <t xml:space="preserve">Monthly Revenue Trend</t>
  </si>
  <si>
    <t xml:space="preserve">Month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</si>
</sst>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\$#,##0"/>
    <numFmt numFmtId="168" formatCode="#,##0"/>
    <numFmt numFmtId="169" formatCode="m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Summary!$D$5:$D$9</c:f>
              <c:strCache>
                <c:ptCount val="5"/>
                <c:pt idx="0">
                  <c:v>Dublin</c:v>
                </c:pt>
                <c:pt idx="1">
                  <c:v>Cork</c:v>
                </c:pt>
                <c:pt idx="2">
                  <c:v>Galway</c:v>
                </c:pt>
                <c:pt idx="3">
                  <c:v>Limerick</c:v>
                </c:pt>
                <c:pt idx="4">
                  <c:v>Waterford</c:v>
                </c:pt>
              </c:strCache>
            </c:strRef>
          </c:cat>
          <c:val>
            <c:numRef>
              <c:f>Summary!$E$5:$E$9</c:f>
              <c:numCache>
                <c:formatCode>\$#,##0</c:formatCode>
                <c:ptCount val="5"/>
                <c:pt idx="0">
                  <c:v>1740461.19</c:v>
                </c:pt>
                <c:pt idx="1">
                  <c:v>1643027.16</c:v>
                </c:pt>
                <c:pt idx="2">
                  <c:v>1887620.11</c:v>
                </c:pt>
                <c:pt idx="3">
                  <c:v>1684930.47</c:v>
                </c:pt>
                <c:pt idx="4">
                  <c:v>1794529.16</c:v>
                </c:pt>
              </c:numCache>
            </c:numRef>
          </c:val>
        </c:ser>
        <c:gapWidth val="150"/>
        <c:overlap val="0"/>
        <c:axId val="48882469"/>
        <c:axId val="87580088"/>
      </c:barChart>
      <c:catAx>
        <c:axId val="488824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80088"/>
        <c:crosses val="autoZero"/>
        <c:auto val="1"/>
        <c:lblAlgn val="ctr"/>
        <c:lblOffset val="100"/>
        <c:noMultiLvlLbl val="0"/>
      </c:catAx>
      <c:valAx>
        <c:axId val="87580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824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Summary!H4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Summary!$G$5:$G$8</c:f>
              <c:strCache>
                <c:ptCount val="4"/>
                <c:pt idx="0">
                  <c:v>Electronics</c:v>
                </c:pt>
                <c:pt idx="1">
                  <c:v>Office Supplies</c:v>
                </c:pt>
                <c:pt idx="2">
                  <c:v>Furniture</c:v>
                </c:pt>
                <c:pt idx="3">
                  <c:v>Software</c:v>
                </c:pt>
              </c:strCache>
            </c:strRef>
          </c:cat>
          <c:val>
            <c:numRef>
              <c:f>Summary!$H$5:$H$8</c:f>
              <c:numCache>
                <c:formatCode>\$#,##0</c:formatCode>
                <c:ptCount val="4"/>
                <c:pt idx="0">
                  <c:v>4723244.01</c:v>
                </c:pt>
                <c:pt idx="1">
                  <c:v>305412.35</c:v>
                </c:pt>
                <c:pt idx="2">
                  <c:v>2351448.01</c:v>
                </c:pt>
                <c:pt idx="3">
                  <c:v>1370463.72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Summary!$A$12:$A$35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Summary!$B$12:$B$35</c:f>
              <c:numCache>
                <c:formatCode>\$#,##0</c:formatCode>
                <c:ptCount val="24"/>
                <c:pt idx="0">
                  <c:v>306407.09</c:v>
                </c:pt>
                <c:pt idx="1">
                  <c:v>320074.03</c:v>
                </c:pt>
                <c:pt idx="2">
                  <c:v>364245</c:v>
                </c:pt>
                <c:pt idx="3">
                  <c:v>330352.21</c:v>
                </c:pt>
                <c:pt idx="4">
                  <c:v>426742.24</c:v>
                </c:pt>
                <c:pt idx="5">
                  <c:v>288886.42</c:v>
                </c:pt>
                <c:pt idx="6">
                  <c:v>345366.98</c:v>
                </c:pt>
                <c:pt idx="7">
                  <c:v>351174.53</c:v>
                </c:pt>
                <c:pt idx="8">
                  <c:v>318550.88</c:v>
                </c:pt>
                <c:pt idx="9">
                  <c:v>389142.62</c:v>
                </c:pt>
                <c:pt idx="10">
                  <c:v>301129.51</c:v>
                </c:pt>
                <c:pt idx="11">
                  <c:v>300540.5</c:v>
                </c:pt>
                <c:pt idx="12">
                  <c:v>330304.39</c:v>
                </c:pt>
                <c:pt idx="13">
                  <c:v>388389.91</c:v>
                </c:pt>
                <c:pt idx="14">
                  <c:v>340423.4</c:v>
                </c:pt>
                <c:pt idx="15">
                  <c:v>298092.51</c:v>
                </c:pt>
                <c:pt idx="16">
                  <c:v>305462.26</c:v>
                </c:pt>
                <c:pt idx="17">
                  <c:v>455287.67</c:v>
                </c:pt>
                <c:pt idx="18">
                  <c:v>528540.75</c:v>
                </c:pt>
                <c:pt idx="19">
                  <c:v>441181.81</c:v>
                </c:pt>
                <c:pt idx="20">
                  <c:v>384406.53</c:v>
                </c:pt>
                <c:pt idx="21">
                  <c:v>513375.26</c:v>
                </c:pt>
                <c:pt idx="22">
                  <c:v>357682.19</c:v>
                </c:pt>
                <c:pt idx="23">
                  <c:v>364809.4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405416"/>
        <c:axId val="51761726"/>
      </c:lineChart>
      <c:catAx>
        <c:axId val="384054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61726"/>
        <c:crosses val="autoZero"/>
        <c:auto val="1"/>
        <c:lblAlgn val="ctr"/>
        <c:lblOffset val="100"/>
        <c:noMultiLvlLbl val="0"/>
      </c:catAx>
      <c:valAx>
        <c:axId val="51761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05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10</xdr:row>
      <xdr:rowOff>160560</xdr:rowOff>
    </xdr:from>
    <xdr:to>
      <xdr:col>9</xdr:col>
      <xdr:colOff>151200</xdr:colOff>
      <xdr:row>25</xdr:row>
      <xdr:rowOff>182880</xdr:rowOff>
    </xdr:to>
    <xdr:graphicFrame>
      <xdr:nvGraphicFramePr>
        <xdr:cNvPr id="0" name="Chart 1"/>
        <xdr:cNvGraphicFramePr/>
      </xdr:nvGraphicFramePr>
      <xdr:xfrm>
        <a:off x="3148920" y="2095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160560</xdr:rowOff>
    </xdr:from>
    <xdr:to>
      <xdr:col>13</xdr:col>
      <xdr:colOff>8640</xdr:colOff>
      <xdr:row>25</xdr:row>
      <xdr:rowOff>182880</xdr:rowOff>
    </xdr:to>
    <xdr:graphicFrame>
      <xdr:nvGraphicFramePr>
        <xdr:cNvPr id="1" name="Chart 2"/>
        <xdr:cNvGraphicFramePr/>
      </xdr:nvGraphicFramePr>
      <xdr:xfrm>
        <a:off x="5452200" y="2095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160920</xdr:rowOff>
    </xdr:from>
    <xdr:to>
      <xdr:col>12</xdr:col>
      <xdr:colOff>208080</xdr:colOff>
      <xdr:row>41</xdr:row>
      <xdr:rowOff>182880</xdr:rowOff>
    </xdr:to>
    <xdr:graphicFrame>
      <xdr:nvGraphicFramePr>
        <xdr:cNvPr id="2" name="Chart 3"/>
        <xdr:cNvGraphicFramePr/>
      </xdr:nvGraphicFramePr>
      <xdr:xfrm>
        <a:off x="0" y="5143680"/>
        <a:ext cx="100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L1801" headerRowCount="1" totalsRowCount="0" totalsRowShown="0">
  <autoFilter ref="A1:L1801"/>
  <tableColumns count="12">
    <tableColumn id="1" name="OrderID"/>
    <tableColumn id="2" name="Date"/>
    <tableColumn id="3" name="Region"/>
    <tableColumn id="4" name="Category"/>
    <tableColumn id="5" name="Product"/>
    <tableColumn id="6" name="Salesperson"/>
    <tableColumn id="7" name="Units Sold"/>
    <tableColumn id="8" name="Unit Price"/>
    <tableColumn id="9" name="Unit Cost"/>
    <tableColumn id="10" name="Revenue"/>
    <tableColumn id="11" name="Cost"/>
    <tableColumn id="12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12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1518</v>
      </c>
      <c r="B2" s="2" t="n">
        <v>45292</v>
      </c>
      <c r="C2" s="3" t="s">
        <v>12</v>
      </c>
      <c r="D2" s="3" t="s">
        <v>13</v>
      </c>
      <c r="E2" s="3" t="s">
        <v>14</v>
      </c>
      <c r="F2" s="3" t="s">
        <v>15</v>
      </c>
      <c r="G2" s="0" t="n">
        <v>25</v>
      </c>
      <c r="H2" s="4" t="n">
        <v>28.49</v>
      </c>
      <c r="I2" s="4" t="n">
        <v>16.38</v>
      </c>
      <c r="J2" s="4" t="n">
        <f aca="false">G2*H2</f>
        <v>712.25</v>
      </c>
      <c r="K2" s="4" t="n">
        <f aca="false">G2*I2</f>
        <v>409.5</v>
      </c>
      <c r="L2" s="4" t="n">
        <f aca="false">J2-K2</f>
        <v>302.75</v>
      </c>
    </row>
    <row r="3" customFormat="false" ht="15" hidden="false" customHeight="false" outlineLevel="0" collapsed="false">
      <c r="A3" s="0" t="n">
        <v>2306</v>
      </c>
      <c r="B3" s="2" t="n">
        <v>45292</v>
      </c>
      <c r="C3" s="3" t="s">
        <v>16</v>
      </c>
      <c r="D3" s="3" t="s">
        <v>17</v>
      </c>
      <c r="E3" s="3" t="s">
        <v>18</v>
      </c>
      <c r="F3" s="3" t="s">
        <v>19</v>
      </c>
      <c r="G3" s="0" t="n">
        <v>5</v>
      </c>
      <c r="H3" s="4" t="n">
        <v>643.75</v>
      </c>
      <c r="I3" s="4" t="n">
        <v>355.55</v>
      </c>
      <c r="J3" s="4" t="n">
        <f aca="false">G3*H3</f>
        <v>3218.75</v>
      </c>
      <c r="K3" s="4" t="n">
        <f aca="false">G3*I3</f>
        <v>1777.75</v>
      </c>
      <c r="L3" s="4" t="n">
        <f aca="false">J3-K3</f>
        <v>1441</v>
      </c>
    </row>
    <row r="4" customFormat="false" ht="15" hidden="false" customHeight="false" outlineLevel="0" collapsed="false">
      <c r="A4" s="0" t="n">
        <v>1077</v>
      </c>
      <c r="B4" s="2" t="n">
        <v>45293</v>
      </c>
      <c r="C4" s="3" t="s">
        <v>16</v>
      </c>
      <c r="D4" s="3" t="s">
        <v>20</v>
      </c>
      <c r="E4" s="3" t="s">
        <v>21</v>
      </c>
      <c r="F4" s="3" t="s">
        <v>22</v>
      </c>
      <c r="G4" s="0" t="n">
        <v>13</v>
      </c>
      <c r="H4" s="4" t="n">
        <v>143.77</v>
      </c>
      <c r="I4" s="4" t="n">
        <v>73.74</v>
      </c>
      <c r="J4" s="4" t="n">
        <f aca="false">G4*H4</f>
        <v>1869.01</v>
      </c>
      <c r="K4" s="4" t="n">
        <f aca="false">G4*I4</f>
        <v>958.62</v>
      </c>
      <c r="L4" s="4" t="n">
        <f aca="false">J4-K4</f>
        <v>910.39</v>
      </c>
    </row>
    <row r="5" customFormat="false" ht="15" hidden="false" customHeight="false" outlineLevel="0" collapsed="false">
      <c r="A5" s="0" t="n">
        <v>2423</v>
      </c>
      <c r="B5" s="2" t="n">
        <v>45293</v>
      </c>
      <c r="C5" s="3" t="s">
        <v>23</v>
      </c>
      <c r="D5" s="3" t="s">
        <v>13</v>
      </c>
      <c r="E5" s="3" t="s">
        <v>24</v>
      </c>
      <c r="F5" s="3" t="s">
        <v>25</v>
      </c>
      <c r="G5" s="0" t="n">
        <v>20</v>
      </c>
      <c r="H5" s="4" t="n">
        <v>27.22</v>
      </c>
      <c r="I5" s="4" t="n">
        <v>14.97</v>
      </c>
      <c r="J5" s="4" t="n">
        <f aca="false">G5*H5</f>
        <v>544.4</v>
      </c>
      <c r="K5" s="4" t="n">
        <f aca="false">G5*I5</f>
        <v>299.4</v>
      </c>
      <c r="L5" s="4" t="n">
        <f aca="false">J5-K5</f>
        <v>245</v>
      </c>
    </row>
    <row r="6" customFormat="false" ht="15" hidden="false" customHeight="false" outlineLevel="0" collapsed="false">
      <c r="A6" s="0" t="n">
        <v>2794</v>
      </c>
      <c r="B6" s="2" t="n">
        <v>45293</v>
      </c>
      <c r="C6" s="3" t="s">
        <v>16</v>
      </c>
      <c r="D6" s="3" t="s">
        <v>13</v>
      </c>
      <c r="E6" s="3" t="s">
        <v>24</v>
      </c>
      <c r="F6" s="3" t="s">
        <v>15</v>
      </c>
      <c r="G6" s="0" t="n">
        <v>19</v>
      </c>
      <c r="H6" s="4" t="n">
        <v>53</v>
      </c>
      <c r="I6" s="4" t="n">
        <v>37.64</v>
      </c>
      <c r="J6" s="4" t="n">
        <f aca="false">G6*H6</f>
        <v>1007</v>
      </c>
      <c r="K6" s="4" t="n">
        <f aca="false">G6*I6</f>
        <v>715.16</v>
      </c>
      <c r="L6" s="4" t="n">
        <f aca="false">J6-K6</f>
        <v>291.84</v>
      </c>
    </row>
    <row r="7" customFormat="false" ht="15" hidden="false" customHeight="false" outlineLevel="0" collapsed="false">
      <c r="A7" s="0" t="n">
        <v>1339</v>
      </c>
      <c r="B7" s="2" t="n">
        <v>45294</v>
      </c>
      <c r="C7" s="3" t="s">
        <v>26</v>
      </c>
      <c r="D7" s="3" t="s">
        <v>17</v>
      </c>
      <c r="E7" s="3" t="s">
        <v>27</v>
      </c>
      <c r="F7" s="3" t="s">
        <v>28</v>
      </c>
      <c r="G7" s="0" t="n">
        <v>10</v>
      </c>
      <c r="H7" s="4" t="n">
        <v>857.53</v>
      </c>
      <c r="I7" s="4" t="n">
        <v>622.73</v>
      </c>
      <c r="J7" s="4" t="n">
        <f aca="false">G7*H7</f>
        <v>8575.3</v>
      </c>
      <c r="K7" s="4" t="n">
        <f aca="false">G7*I7</f>
        <v>6227.3</v>
      </c>
      <c r="L7" s="4" t="n">
        <f aca="false">J7-K7</f>
        <v>2348</v>
      </c>
    </row>
    <row r="8" customFormat="false" ht="15" hidden="false" customHeight="false" outlineLevel="0" collapsed="false">
      <c r="A8" s="0" t="n">
        <v>1697</v>
      </c>
      <c r="B8" s="2" t="n">
        <v>45294</v>
      </c>
      <c r="C8" s="3" t="s">
        <v>26</v>
      </c>
      <c r="D8" s="3" t="s">
        <v>29</v>
      </c>
      <c r="E8" s="3" t="s">
        <v>30</v>
      </c>
      <c r="F8" s="3" t="s">
        <v>22</v>
      </c>
      <c r="G8" s="0" t="n">
        <v>27</v>
      </c>
      <c r="H8" s="4" t="n">
        <v>270</v>
      </c>
      <c r="I8" s="4" t="n">
        <v>160.47</v>
      </c>
      <c r="J8" s="4" t="n">
        <f aca="false">G8*H8</f>
        <v>7290</v>
      </c>
      <c r="K8" s="4" t="n">
        <f aca="false">G8*I8</f>
        <v>4332.69</v>
      </c>
      <c r="L8" s="4" t="n">
        <f aca="false">J8-K8</f>
        <v>2957.31</v>
      </c>
    </row>
    <row r="9" customFormat="false" ht="15" hidden="false" customHeight="false" outlineLevel="0" collapsed="false">
      <c r="A9" s="0" t="n">
        <v>1872</v>
      </c>
      <c r="B9" s="2" t="n">
        <v>45294</v>
      </c>
      <c r="C9" s="3" t="s">
        <v>12</v>
      </c>
      <c r="D9" s="3" t="s">
        <v>13</v>
      </c>
      <c r="E9" s="3" t="s">
        <v>31</v>
      </c>
      <c r="F9" s="3" t="s">
        <v>19</v>
      </c>
      <c r="G9" s="0" t="n">
        <v>25</v>
      </c>
      <c r="H9" s="4" t="n">
        <v>48.42</v>
      </c>
      <c r="I9" s="4" t="n">
        <v>25.58</v>
      </c>
      <c r="J9" s="4" t="n">
        <f aca="false">G9*H9</f>
        <v>1210.5</v>
      </c>
      <c r="K9" s="4" t="n">
        <f aca="false">G9*I9</f>
        <v>639.5</v>
      </c>
      <c r="L9" s="4" t="n">
        <f aca="false">J9-K9</f>
        <v>571</v>
      </c>
    </row>
    <row r="10" customFormat="false" ht="15" hidden="false" customHeight="false" outlineLevel="0" collapsed="false">
      <c r="A10" s="0" t="n">
        <v>2446</v>
      </c>
      <c r="B10" s="2" t="n">
        <v>45294</v>
      </c>
      <c r="C10" s="3" t="s">
        <v>32</v>
      </c>
      <c r="D10" s="3" t="s">
        <v>13</v>
      </c>
      <c r="E10" s="3" t="s">
        <v>14</v>
      </c>
      <c r="F10" s="3" t="s">
        <v>33</v>
      </c>
      <c r="G10" s="0" t="n">
        <v>22</v>
      </c>
      <c r="H10" s="4" t="n">
        <v>44.26</v>
      </c>
      <c r="I10" s="4" t="n">
        <v>26.31</v>
      </c>
      <c r="J10" s="4" t="n">
        <f aca="false">G10*H10</f>
        <v>973.72</v>
      </c>
      <c r="K10" s="4" t="n">
        <f aca="false">G10*I10</f>
        <v>578.82</v>
      </c>
      <c r="L10" s="4" t="n">
        <f aca="false">J10-K10</f>
        <v>394.9</v>
      </c>
    </row>
    <row r="11" customFormat="false" ht="15" hidden="false" customHeight="false" outlineLevel="0" collapsed="false">
      <c r="A11" s="0" t="n">
        <v>2603</v>
      </c>
      <c r="B11" s="2" t="n">
        <v>45294</v>
      </c>
      <c r="C11" s="3" t="s">
        <v>23</v>
      </c>
      <c r="D11" s="3" t="s">
        <v>20</v>
      </c>
      <c r="E11" s="3" t="s">
        <v>34</v>
      </c>
      <c r="F11" s="3" t="s">
        <v>25</v>
      </c>
      <c r="G11" s="0" t="n">
        <v>18</v>
      </c>
      <c r="H11" s="4" t="n">
        <v>298.68</v>
      </c>
      <c r="I11" s="4" t="n">
        <v>208.13</v>
      </c>
      <c r="J11" s="4" t="n">
        <f aca="false">G11*H11</f>
        <v>5376.24</v>
      </c>
      <c r="K11" s="4" t="n">
        <f aca="false">G11*I11</f>
        <v>3746.34</v>
      </c>
      <c r="L11" s="4" t="n">
        <f aca="false">J11-K11</f>
        <v>1629.9</v>
      </c>
    </row>
    <row r="12" customFormat="false" ht="15" hidden="false" customHeight="false" outlineLevel="0" collapsed="false">
      <c r="A12" s="0" t="n">
        <v>2637</v>
      </c>
      <c r="B12" s="2" t="n">
        <v>45294</v>
      </c>
      <c r="C12" s="3" t="s">
        <v>26</v>
      </c>
      <c r="D12" s="3" t="s">
        <v>17</v>
      </c>
      <c r="E12" s="3" t="s">
        <v>35</v>
      </c>
      <c r="F12" s="3" t="s">
        <v>36</v>
      </c>
      <c r="G12" s="0" t="n">
        <v>30</v>
      </c>
      <c r="H12" s="4" t="n">
        <v>424.54</v>
      </c>
      <c r="I12" s="4" t="n">
        <v>279.28</v>
      </c>
      <c r="J12" s="4" t="n">
        <f aca="false">G12*H12</f>
        <v>12736.2</v>
      </c>
      <c r="K12" s="4" t="n">
        <f aca="false">G12*I12</f>
        <v>8378.4</v>
      </c>
      <c r="L12" s="4" t="n">
        <f aca="false">J12-K12</f>
        <v>4357.8</v>
      </c>
    </row>
    <row r="13" customFormat="false" ht="15" hidden="false" customHeight="false" outlineLevel="0" collapsed="false">
      <c r="A13" s="0" t="n">
        <v>1931</v>
      </c>
      <c r="B13" s="2" t="n">
        <v>45296</v>
      </c>
      <c r="C13" s="3" t="s">
        <v>23</v>
      </c>
      <c r="D13" s="3" t="s">
        <v>29</v>
      </c>
      <c r="E13" s="3" t="s">
        <v>37</v>
      </c>
      <c r="F13" s="3" t="s">
        <v>36</v>
      </c>
      <c r="G13" s="0" t="n">
        <v>3</v>
      </c>
      <c r="H13" s="4" t="n">
        <v>96.43</v>
      </c>
      <c r="I13" s="4" t="n">
        <v>49.89</v>
      </c>
      <c r="J13" s="4" t="n">
        <f aca="false">G13*H13</f>
        <v>289.29</v>
      </c>
      <c r="K13" s="4" t="n">
        <f aca="false">G13*I13</f>
        <v>149.67</v>
      </c>
      <c r="L13" s="4" t="n">
        <f aca="false">J13-K13</f>
        <v>139.62</v>
      </c>
    </row>
    <row r="14" customFormat="false" ht="15" hidden="false" customHeight="false" outlineLevel="0" collapsed="false">
      <c r="A14" s="0" t="n">
        <v>2688</v>
      </c>
      <c r="B14" s="2" t="n">
        <v>45297</v>
      </c>
      <c r="C14" s="3" t="s">
        <v>16</v>
      </c>
      <c r="D14" s="3" t="s">
        <v>20</v>
      </c>
      <c r="E14" s="3" t="s">
        <v>38</v>
      </c>
      <c r="F14" s="3" t="s">
        <v>39</v>
      </c>
      <c r="G14" s="0" t="n">
        <v>1</v>
      </c>
      <c r="H14" s="4" t="n">
        <v>129.92</v>
      </c>
      <c r="I14" s="4" t="n">
        <v>72.1</v>
      </c>
      <c r="J14" s="4" t="n">
        <f aca="false">G14*H14</f>
        <v>129.92</v>
      </c>
      <c r="K14" s="4" t="n">
        <f aca="false">G14*I14</f>
        <v>72.1</v>
      </c>
      <c r="L14" s="4" t="n">
        <f aca="false">J14-K14</f>
        <v>57.82</v>
      </c>
    </row>
    <row r="15" customFormat="false" ht="15" hidden="false" customHeight="false" outlineLevel="0" collapsed="false">
      <c r="A15" s="0" t="n">
        <v>2133</v>
      </c>
      <c r="B15" s="2" t="n">
        <v>45298</v>
      </c>
      <c r="C15" s="3" t="s">
        <v>32</v>
      </c>
      <c r="D15" s="3" t="s">
        <v>20</v>
      </c>
      <c r="E15" s="3" t="s">
        <v>21</v>
      </c>
      <c r="F15" s="3" t="s">
        <v>19</v>
      </c>
      <c r="G15" s="0" t="n">
        <v>12</v>
      </c>
      <c r="H15" s="4" t="n">
        <v>279.08</v>
      </c>
      <c r="I15" s="4" t="n">
        <v>170.46</v>
      </c>
      <c r="J15" s="4" t="n">
        <f aca="false">G15*H15</f>
        <v>3348.96</v>
      </c>
      <c r="K15" s="4" t="n">
        <f aca="false">G15*I15</f>
        <v>2045.52</v>
      </c>
      <c r="L15" s="4" t="n">
        <f aca="false">J15-K15</f>
        <v>1303.44</v>
      </c>
    </row>
    <row r="16" customFormat="false" ht="15" hidden="false" customHeight="false" outlineLevel="0" collapsed="false">
      <c r="A16" s="0" t="n">
        <v>1256</v>
      </c>
      <c r="B16" s="2" t="n">
        <v>45300</v>
      </c>
      <c r="C16" s="3" t="s">
        <v>32</v>
      </c>
      <c r="D16" s="3" t="s">
        <v>17</v>
      </c>
      <c r="E16" s="3" t="s">
        <v>18</v>
      </c>
      <c r="F16" s="3" t="s">
        <v>19</v>
      </c>
      <c r="G16" s="0" t="n">
        <v>31</v>
      </c>
      <c r="H16" s="4" t="n">
        <v>119.5</v>
      </c>
      <c r="I16" s="4" t="n">
        <v>69.11</v>
      </c>
      <c r="J16" s="4" t="n">
        <f aca="false">G16*H16</f>
        <v>3704.5</v>
      </c>
      <c r="K16" s="4" t="n">
        <f aca="false">G16*I16</f>
        <v>2142.41</v>
      </c>
      <c r="L16" s="4" t="n">
        <f aca="false">J16-K16</f>
        <v>1562.09</v>
      </c>
    </row>
    <row r="17" customFormat="false" ht="15" hidden="false" customHeight="false" outlineLevel="0" collapsed="false">
      <c r="A17" s="0" t="n">
        <v>2559</v>
      </c>
      <c r="B17" s="2" t="n">
        <v>45300</v>
      </c>
      <c r="C17" s="3" t="s">
        <v>16</v>
      </c>
      <c r="D17" s="3" t="s">
        <v>29</v>
      </c>
      <c r="E17" s="3" t="s">
        <v>37</v>
      </c>
      <c r="F17" s="3" t="s">
        <v>19</v>
      </c>
      <c r="G17" s="0" t="n">
        <v>39</v>
      </c>
      <c r="H17" s="4" t="n">
        <v>432.8</v>
      </c>
      <c r="I17" s="4" t="n">
        <v>292.21</v>
      </c>
      <c r="J17" s="4" t="n">
        <f aca="false">G17*H17</f>
        <v>16879.2</v>
      </c>
      <c r="K17" s="4" t="n">
        <f aca="false">G17*I17</f>
        <v>11396.19</v>
      </c>
      <c r="L17" s="4" t="n">
        <f aca="false">J17-K17</f>
        <v>5483.01</v>
      </c>
    </row>
    <row r="18" customFormat="false" ht="15" hidden="false" customHeight="false" outlineLevel="0" collapsed="false">
      <c r="A18" s="0" t="n">
        <v>2004</v>
      </c>
      <c r="B18" s="2" t="n">
        <v>45301</v>
      </c>
      <c r="C18" s="3" t="s">
        <v>23</v>
      </c>
      <c r="D18" s="3" t="s">
        <v>17</v>
      </c>
      <c r="E18" s="3" t="s">
        <v>40</v>
      </c>
      <c r="F18" s="3" t="s">
        <v>28</v>
      </c>
      <c r="G18" s="0" t="n">
        <v>36</v>
      </c>
      <c r="H18" s="4" t="n">
        <v>242.99</v>
      </c>
      <c r="I18" s="4" t="n">
        <v>158.57</v>
      </c>
      <c r="J18" s="4" t="n">
        <f aca="false">G18*H18</f>
        <v>8747.64</v>
      </c>
      <c r="K18" s="4" t="n">
        <f aca="false">G18*I18</f>
        <v>5708.52</v>
      </c>
      <c r="L18" s="4" t="n">
        <f aca="false">J18-K18</f>
        <v>3039.12</v>
      </c>
    </row>
    <row r="19" customFormat="false" ht="15" hidden="false" customHeight="false" outlineLevel="0" collapsed="false">
      <c r="A19" s="0" t="n">
        <v>2051</v>
      </c>
      <c r="B19" s="2" t="n">
        <v>45301</v>
      </c>
      <c r="C19" s="3" t="s">
        <v>32</v>
      </c>
      <c r="D19" s="3" t="s">
        <v>17</v>
      </c>
      <c r="E19" s="3" t="s">
        <v>18</v>
      </c>
      <c r="F19" s="3" t="s">
        <v>15</v>
      </c>
      <c r="G19" s="0" t="n">
        <v>18</v>
      </c>
      <c r="H19" s="4" t="n">
        <v>498.88</v>
      </c>
      <c r="I19" s="4" t="n">
        <v>267.09</v>
      </c>
      <c r="J19" s="4" t="n">
        <f aca="false">G19*H19</f>
        <v>8979.84</v>
      </c>
      <c r="K19" s="4" t="n">
        <f aca="false">G19*I19</f>
        <v>4807.62</v>
      </c>
      <c r="L19" s="4" t="n">
        <f aca="false">J19-K19</f>
        <v>4172.22</v>
      </c>
    </row>
    <row r="20" customFormat="false" ht="15" hidden="false" customHeight="false" outlineLevel="0" collapsed="false">
      <c r="A20" s="0" t="n">
        <v>2615</v>
      </c>
      <c r="B20" s="2" t="n">
        <v>45301</v>
      </c>
      <c r="C20" s="3" t="s">
        <v>23</v>
      </c>
      <c r="D20" s="3" t="s">
        <v>13</v>
      </c>
      <c r="E20" s="3" t="s">
        <v>24</v>
      </c>
      <c r="F20" s="3" t="s">
        <v>25</v>
      </c>
      <c r="G20" s="0" t="n">
        <v>12</v>
      </c>
      <c r="H20" s="4" t="n">
        <v>13.32</v>
      </c>
      <c r="I20" s="4" t="n">
        <v>9.87</v>
      </c>
      <c r="J20" s="4" t="n">
        <f aca="false">G20*H20</f>
        <v>159.84</v>
      </c>
      <c r="K20" s="4" t="n">
        <f aca="false">G20*I20</f>
        <v>118.44</v>
      </c>
      <c r="L20" s="4" t="n">
        <f aca="false">J20-K20</f>
        <v>41.4</v>
      </c>
    </row>
    <row r="21" customFormat="false" ht="15" hidden="false" customHeight="false" outlineLevel="0" collapsed="false">
      <c r="A21" s="0" t="n">
        <v>2071</v>
      </c>
      <c r="B21" s="2" t="n">
        <v>45302</v>
      </c>
      <c r="C21" s="3" t="s">
        <v>12</v>
      </c>
      <c r="D21" s="3" t="s">
        <v>29</v>
      </c>
      <c r="E21" s="3" t="s">
        <v>41</v>
      </c>
      <c r="F21" s="3" t="s">
        <v>25</v>
      </c>
      <c r="G21" s="0" t="n">
        <v>16</v>
      </c>
      <c r="H21" s="4" t="n">
        <v>475.92</v>
      </c>
      <c r="I21" s="4" t="n">
        <v>326.89</v>
      </c>
      <c r="J21" s="4" t="n">
        <f aca="false">G21*H21</f>
        <v>7614.72</v>
      </c>
      <c r="K21" s="4" t="n">
        <f aca="false">G21*I21</f>
        <v>5230.24</v>
      </c>
      <c r="L21" s="4" t="n">
        <f aca="false">J21-K21</f>
        <v>2384.48</v>
      </c>
    </row>
    <row r="22" customFormat="false" ht="15" hidden="false" customHeight="false" outlineLevel="0" collapsed="false">
      <c r="A22" s="0" t="n">
        <v>2276</v>
      </c>
      <c r="B22" s="2" t="n">
        <v>45303</v>
      </c>
      <c r="C22" s="3" t="s">
        <v>32</v>
      </c>
      <c r="D22" s="3" t="s">
        <v>29</v>
      </c>
      <c r="E22" s="3" t="s">
        <v>37</v>
      </c>
      <c r="F22" s="3" t="s">
        <v>19</v>
      </c>
      <c r="G22" s="0" t="n">
        <v>19</v>
      </c>
      <c r="H22" s="4" t="n">
        <v>400.2</v>
      </c>
      <c r="I22" s="4" t="n">
        <v>246.62</v>
      </c>
      <c r="J22" s="4" t="n">
        <f aca="false">G22*H22</f>
        <v>7603.8</v>
      </c>
      <c r="K22" s="4" t="n">
        <f aca="false">G22*I22</f>
        <v>4685.78</v>
      </c>
      <c r="L22" s="4" t="n">
        <f aca="false">J22-K22</f>
        <v>2918.02</v>
      </c>
    </row>
    <row r="23" customFormat="false" ht="15" hidden="false" customHeight="false" outlineLevel="0" collapsed="false">
      <c r="A23" s="0" t="n">
        <v>1269</v>
      </c>
      <c r="B23" s="2" t="n">
        <v>45304</v>
      </c>
      <c r="C23" s="3" t="s">
        <v>12</v>
      </c>
      <c r="D23" s="3" t="s">
        <v>17</v>
      </c>
      <c r="E23" s="3" t="s">
        <v>18</v>
      </c>
      <c r="F23" s="3" t="s">
        <v>33</v>
      </c>
      <c r="G23" s="0" t="n">
        <v>25</v>
      </c>
      <c r="H23" s="4" t="n">
        <v>832.99</v>
      </c>
      <c r="I23" s="4" t="n">
        <v>583.74</v>
      </c>
      <c r="J23" s="4" t="n">
        <f aca="false">G23*H23</f>
        <v>20824.75</v>
      </c>
      <c r="K23" s="4" t="n">
        <f aca="false">G23*I23</f>
        <v>14593.5</v>
      </c>
      <c r="L23" s="4" t="n">
        <f aca="false">J23-K23</f>
        <v>6231.25</v>
      </c>
    </row>
    <row r="24" customFormat="false" ht="15" hidden="false" customHeight="false" outlineLevel="0" collapsed="false">
      <c r="A24" s="0" t="n">
        <v>1310</v>
      </c>
      <c r="B24" s="2" t="n">
        <v>45304</v>
      </c>
      <c r="C24" s="3" t="s">
        <v>16</v>
      </c>
      <c r="D24" s="3" t="s">
        <v>20</v>
      </c>
      <c r="E24" s="3" t="s">
        <v>42</v>
      </c>
      <c r="F24" s="3" t="s">
        <v>36</v>
      </c>
      <c r="G24" s="0" t="n">
        <v>10</v>
      </c>
      <c r="H24" s="4" t="n">
        <v>283.1</v>
      </c>
      <c r="I24" s="4" t="n">
        <v>207.01</v>
      </c>
      <c r="J24" s="4" t="n">
        <f aca="false">G24*H24</f>
        <v>2831</v>
      </c>
      <c r="K24" s="4" t="n">
        <f aca="false">G24*I24</f>
        <v>2070.1</v>
      </c>
      <c r="L24" s="4" t="n">
        <f aca="false">J24-K24</f>
        <v>760.9</v>
      </c>
    </row>
    <row r="25" customFormat="false" ht="15" hidden="false" customHeight="false" outlineLevel="0" collapsed="false">
      <c r="A25" s="0" t="n">
        <v>1596</v>
      </c>
      <c r="B25" s="2" t="n">
        <v>45305</v>
      </c>
      <c r="C25" s="3" t="s">
        <v>12</v>
      </c>
      <c r="D25" s="3" t="s">
        <v>29</v>
      </c>
      <c r="E25" s="3" t="s">
        <v>43</v>
      </c>
      <c r="F25" s="3" t="s">
        <v>28</v>
      </c>
      <c r="G25" s="0" t="n">
        <v>27</v>
      </c>
      <c r="H25" s="4" t="n">
        <v>123.02</v>
      </c>
      <c r="I25" s="4" t="n">
        <v>68.31</v>
      </c>
      <c r="J25" s="4" t="n">
        <f aca="false">G25*H25</f>
        <v>3321.54</v>
      </c>
      <c r="K25" s="4" t="n">
        <f aca="false">G25*I25</f>
        <v>1844.37</v>
      </c>
      <c r="L25" s="4" t="n">
        <f aca="false">J25-K25</f>
        <v>1477.17</v>
      </c>
    </row>
    <row r="26" customFormat="false" ht="15" hidden="false" customHeight="false" outlineLevel="0" collapsed="false">
      <c r="A26" s="0" t="n">
        <v>1667</v>
      </c>
      <c r="B26" s="2" t="n">
        <v>45305</v>
      </c>
      <c r="C26" s="3" t="s">
        <v>12</v>
      </c>
      <c r="D26" s="3" t="s">
        <v>20</v>
      </c>
      <c r="E26" s="3" t="s">
        <v>21</v>
      </c>
      <c r="F26" s="3" t="s">
        <v>36</v>
      </c>
      <c r="G26" s="0" t="n">
        <v>39</v>
      </c>
      <c r="H26" s="4" t="n">
        <v>192.69</v>
      </c>
      <c r="I26" s="4" t="n">
        <v>129.62</v>
      </c>
      <c r="J26" s="4" t="n">
        <f aca="false">G26*H26</f>
        <v>7514.91</v>
      </c>
      <c r="K26" s="4" t="n">
        <f aca="false">G26*I26</f>
        <v>5055.18</v>
      </c>
      <c r="L26" s="4" t="n">
        <f aca="false">J26-K26</f>
        <v>2459.73</v>
      </c>
    </row>
    <row r="27" customFormat="false" ht="15" hidden="false" customHeight="false" outlineLevel="0" collapsed="false">
      <c r="A27" s="0" t="n">
        <v>2619</v>
      </c>
      <c r="B27" s="2" t="n">
        <v>45305</v>
      </c>
      <c r="C27" s="3" t="s">
        <v>32</v>
      </c>
      <c r="D27" s="3" t="s">
        <v>20</v>
      </c>
      <c r="E27" s="3" t="s">
        <v>34</v>
      </c>
      <c r="F27" s="3" t="s">
        <v>36</v>
      </c>
      <c r="G27" s="0" t="n">
        <v>17</v>
      </c>
      <c r="H27" s="4" t="n">
        <v>61.24</v>
      </c>
      <c r="I27" s="4" t="n">
        <v>32.32</v>
      </c>
      <c r="J27" s="4" t="n">
        <f aca="false">G27*H27</f>
        <v>1041.08</v>
      </c>
      <c r="K27" s="4" t="n">
        <f aca="false">G27*I27</f>
        <v>549.44</v>
      </c>
      <c r="L27" s="4" t="n">
        <f aca="false">J27-K27</f>
        <v>491.64</v>
      </c>
    </row>
    <row r="28" customFormat="false" ht="15" hidden="false" customHeight="false" outlineLevel="0" collapsed="false">
      <c r="A28" s="0" t="n">
        <v>2682</v>
      </c>
      <c r="B28" s="2" t="n">
        <v>45305</v>
      </c>
      <c r="C28" s="3" t="s">
        <v>26</v>
      </c>
      <c r="D28" s="3" t="s">
        <v>20</v>
      </c>
      <c r="E28" s="3" t="s">
        <v>21</v>
      </c>
      <c r="F28" s="3" t="s">
        <v>22</v>
      </c>
      <c r="G28" s="0" t="n">
        <v>5</v>
      </c>
      <c r="H28" s="4" t="n">
        <v>32.34</v>
      </c>
      <c r="I28" s="4" t="n">
        <v>21.79</v>
      </c>
      <c r="J28" s="4" t="n">
        <f aca="false">G28*H28</f>
        <v>161.7</v>
      </c>
      <c r="K28" s="4" t="n">
        <f aca="false">G28*I28</f>
        <v>108.95</v>
      </c>
      <c r="L28" s="4" t="n">
        <f aca="false">J28-K28</f>
        <v>52.75</v>
      </c>
    </row>
    <row r="29" customFormat="false" ht="15" hidden="false" customHeight="false" outlineLevel="0" collapsed="false">
      <c r="A29" s="0" t="n">
        <v>2701</v>
      </c>
      <c r="B29" s="2" t="n">
        <v>45305</v>
      </c>
      <c r="C29" s="3" t="s">
        <v>12</v>
      </c>
      <c r="D29" s="3" t="s">
        <v>17</v>
      </c>
      <c r="E29" s="3" t="s">
        <v>44</v>
      </c>
      <c r="F29" s="3" t="s">
        <v>22</v>
      </c>
      <c r="G29" s="0" t="n">
        <v>18</v>
      </c>
      <c r="H29" s="4" t="n">
        <v>847.17</v>
      </c>
      <c r="I29" s="4" t="n">
        <v>575.43</v>
      </c>
      <c r="J29" s="4" t="n">
        <f aca="false">G29*H29</f>
        <v>15249.06</v>
      </c>
      <c r="K29" s="4" t="n">
        <f aca="false">G29*I29</f>
        <v>10357.74</v>
      </c>
      <c r="L29" s="4" t="n">
        <f aca="false">J29-K29</f>
        <v>4891.32</v>
      </c>
    </row>
    <row r="30" customFormat="false" ht="15" hidden="false" customHeight="false" outlineLevel="0" collapsed="false">
      <c r="A30" s="0" t="n">
        <v>1832</v>
      </c>
      <c r="B30" s="2" t="n">
        <v>45306</v>
      </c>
      <c r="C30" s="3" t="s">
        <v>16</v>
      </c>
      <c r="D30" s="3" t="s">
        <v>13</v>
      </c>
      <c r="E30" s="3" t="s">
        <v>45</v>
      </c>
      <c r="F30" s="3" t="s">
        <v>36</v>
      </c>
      <c r="G30" s="0" t="n">
        <v>35</v>
      </c>
      <c r="H30" s="4" t="n">
        <v>16.92</v>
      </c>
      <c r="I30" s="4" t="n">
        <v>11.94</v>
      </c>
      <c r="J30" s="4" t="n">
        <f aca="false">G30*H30</f>
        <v>592.2</v>
      </c>
      <c r="K30" s="4" t="n">
        <f aca="false">G30*I30</f>
        <v>417.9</v>
      </c>
      <c r="L30" s="4" t="n">
        <f aca="false">J30-K30</f>
        <v>174.3</v>
      </c>
    </row>
    <row r="31" customFormat="false" ht="15" hidden="false" customHeight="false" outlineLevel="0" collapsed="false">
      <c r="A31" s="0" t="n">
        <v>2418</v>
      </c>
      <c r="B31" s="2" t="n">
        <v>45306</v>
      </c>
      <c r="C31" s="3" t="s">
        <v>23</v>
      </c>
      <c r="D31" s="3" t="s">
        <v>17</v>
      </c>
      <c r="E31" s="3" t="s">
        <v>35</v>
      </c>
      <c r="F31" s="3" t="s">
        <v>28</v>
      </c>
      <c r="G31" s="0" t="n">
        <v>23</v>
      </c>
      <c r="H31" s="4" t="n">
        <v>314.68</v>
      </c>
      <c r="I31" s="4" t="n">
        <v>223.38</v>
      </c>
      <c r="J31" s="4" t="n">
        <f aca="false">G31*H31</f>
        <v>7237.64</v>
      </c>
      <c r="K31" s="4" t="n">
        <f aca="false">G31*I31</f>
        <v>5137.74</v>
      </c>
      <c r="L31" s="4" t="n">
        <f aca="false">J31-K31</f>
        <v>2099.9</v>
      </c>
    </row>
    <row r="32" customFormat="false" ht="15" hidden="false" customHeight="false" outlineLevel="0" collapsed="false">
      <c r="A32" s="0" t="n">
        <v>2484</v>
      </c>
      <c r="B32" s="2" t="n">
        <v>45307</v>
      </c>
      <c r="C32" s="3" t="s">
        <v>16</v>
      </c>
      <c r="D32" s="3" t="s">
        <v>20</v>
      </c>
      <c r="E32" s="3" t="s">
        <v>21</v>
      </c>
      <c r="F32" s="3" t="s">
        <v>25</v>
      </c>
      <c r="G32" s="0" t="n">
        <v>10</v>
      </c>
      <c r="H32" s="4" t="n">
        <v>114.32</v>
      </c>
      <c r="I32" s="4" t="n">
        <v>83.56</v>
      </c>
      <c r="J32" s="4" t="n">
        <f aca="false">G32*H32</f>
        <v>1143.2</v>
      </c>
      <c r="K32" s="4" t="n">
        <f aca="false">G32*I32</f>
        <v>835.6</v>
      </c>
      <c r="L32" s="4" t="n">
        <f aca="false">J32-K32</f>
        <v>307.6</v>
      </c>
    </row>
    <row r="33" customFormat="false" ht="15" hidden="false" customHeight="false" outlineLevel="0" collapsed="false">
      <c r="A33" s="0" t="n">
        <v>1253</v>
      </c>
      <c r="B33" s="2" t="n">
        <v>45308</v>
      </c>
      <c r="C33" s="3" t="s">
        <v>26</v>
      </c>
      <c r="D33" s="3" t="s">
        <v>13</v>
      </c>
      <c r="E33" s="3" t="s">
        <v>14</v>
      </c>
      <c r="F33" s="3" t="s">
        <v>28</v>
      </c>
      <c r="G33" s="0" t="n">
        <v>1</v>
      </c>
      <c r="H33" s="4" t="n">
        <v>27.38</v>
      </c>
      <c r="I33" s="4" t="n">
        <v>19.73</v>
      </c>
      <c r="J33" s="4" t="n">
        <f aca="false">G33*H33</f>
        <v>27.38</v>
      </c>
      <c r="K33" s="4" t="n">
        <f aca="false">G33*I33</f>
        <v>19.73</v>
      </c>
      <c r="L33" s="4" t="n">
        <f aca="false">J33-K33</f>
        <v>7.65</v>
      </c>
    </row>
    <row r="34" customFormat="false" ht="15" hidden="false" customHeight="false" outlineLevel="0" collapsed="false">
      <c r="A34" s="0" t="n">
        <v>1554</v>
      </c>
      <c r="B34" s="2" t="n">
        <v>45308</v>
      </c>
      <c r="C34" s="3" t="s">
        <v>23</v>
      </c>
      <c r="D34" s="3" t="s">
        <v>17</v>
      </c>
      <c r="E34" s="3" t="s">
        <v>27</v>
      </c>
      <c r="F34" s="3" t="s">
        <v>22</v>
      </c>
      <c r="G34" s="0" t="n">
        <v>12</v>
      </c>
      <c r="H34" s="4" t="n">
        <v>837.96</v>
      </c>
      <c r="I34" s="4" t="n">
        <v>564.26</v>
      </c>
      <c r="J34" s="4" t="n">
        <f aca="false">G34*H34</f>
        <v>10055.52</v>
      </c>
      <c r="K34" s="4" t="n">
        <f aca="false">G34*I34</f>
        <v>6771.12</v>
      </c>
      <c r="L34" s="4" t="n">
        <f aca="false">J34-K34</f>
        <v>3284.4</v>
      </c>
    </row>
    <row r="35" customFormat="false" ht="15" hidden="false" customHeight="false" outlineLevel="0" collapsed="false">
      <c r="A35" s="0" t="n">
        <v>2357</v>
      </c>
      <c r="B35" s="2" t="n">
        <v>45308</v>
      </c>
      <c r="C35" s="3" t="s">
        <v>12</v>
      </c>
      <c r="D35" s="3" t="s">
        <v>20</v>
      </c>
      <c r="E35" s="3" t="s">
        <v>34</v>
      </c>
      <c r="F35" s="3" t="s">
        <v>28</v>
      </c>
      <c r="G35" s="0" t="n">
        <v>38</v>
      </c>
      <c r="H35" s="4" t="n">
        <v>104.55</v>
      </c>
      <c r="I35" s="4" t="n">
        <v>58.67</v>
      </c>
      <c r="J35" s="4" t="n">
        <f aca="false">G35*H35</f>
        <v>3972.9</v>
      </c>
      <c r="K35" s="4" t="n">
        <f aca="false">G35*I35</f>
        <v>2229.46</v>
      </c>
      <c r="L35" s="4" t="n">
        <f aca="false">J35-K35</f>
        <v>1743.44</v>
      </c>
    </row>
    <row r="36" customFormat="false" ht="15" hidden="false" customHeight="false" outlineLevel="0" collapsed="false">
      <c r="A36" s="0" t="n">
        <v>2358</v>
      </c>
      <c r="B36" s="2" t="n">
        <v>45308</v>
      </c>
      <c r="C36" s="3" t="s">
        <v>12</v>
      </c>
      <c r="D36" s="3" t="s">
        <v>20</v>
      </c>
      <c r="E36" s="3" t="s">
        <v>38</v>
      </c>
      <c r="F36" s="3" t="s">
        <v>28</v>
      </c>
      <c r="G36" s="0" t="n">
        <v>26</v>
      </c>
      <c r="H36" s="4" t="n">
        <v>149.72</v>
      </c>
      <c r="I36" s="4" t="n">
        <v>90.42</v>
      </c>
      <c r="J36" s="4" t="n">
        <f aca="false">G36*H36</f>
        <v>3892.72</v>
      </c>
      <c r="K36" s="4" t="n">
        <f aca="false">G36*I36</f>
        <v>2350.92</v>
      </c>
      <c r="L36" s="4" t="n">
        <f aca="false">J36-K36</f>
        <v>1541.8</v>
      </c>
    </row>
    <row r="37" customFormat="false" ht="15" hidden="false" customHeight="false" outlineLevel="0" collapsed="false">
      <c r="A37" s="0" t="n">
        <v>2561</v>
      </c>
      <c r="B37" s="2" t="n">
        <v>45309</v>
      </c>
      <c r="C37" s="3" t="s">
        <v>26</v>
      </c>
      <c r="D37" s="3" t="s">
        <v>13</v>
      </c>
      <c r="E37" s="3" t="s">
        <v>14</v>
      </c>
      <c r="F37" s="3" t="s">
        <v>25</v>
      </c>
      <c r="G37" s="0" t="n">
        <v>10</v>
      </c>
      <c r="H37" s="4" t="n">
        <v>27.16</v>
      </c>
      <c r="I37" s="4" t="n">
        <v>16.07</v>
      </c>
      <c r="J37" s="4" t="n">
        <f aca="false">G37*H37</f>
        <v>271.6</v>
      </c>
      <c r="K37" s="4" t="n">
        <f aca="false">G37*I37</f>
        <v>160.7</v>
      </c>
      <c r="L37" s="4" t="n">
        <f aca="false">J37-K37</f>
        <v>110.9</v>
      </c>
    </row>
    <row r="38" customFormat="false" ht="15" hidden="false" customHeight="false" outlineLevel="0" collapsed="false">
      <c r="A38" s="0" t="n">
        <v>1846</v>
      </c>
      <c r="B38" s="2" t="n">
        <v>45310</v>
      </c>
      <c r="C38" s="3" t="s">
        <v>16</v>
      </c>
      <c r="D38" s="3" t="s">
        <v>13</v>
      </c>
      <c r="E38" s="3" t="s">
        <v>45</v>
      </c>
      <c r="F38" s="3" t="s">
        <v>22</v>
      </c>
      <c r="G38" s="0" t="n">
        <v>25</v>
      </c>
      <c r="H38" s="4" t="n">
        <v>20.47</v>
      </c>
      <c r="I38" s="4" t="n">
        <v>11.96</v>
      </c>
      <c r="J38" s="4" t="n">
        <f aca="false">G38*H38</f>
        <v>511.75</v>
      </c>
      <c r="K38" s="4" t="n">
        <f aca="false">G38*I38</f>
        <v>299</v>
      </c>
      <c r="L38" s="4" t="n">
        <f aca="false">J38-K38</f>
        <v>212.75</v>
      </c>
    </row>
    <row r="39" customFormat="false" ht="15" hidden="false" customHeight="false" outlineLevel="0" collapsed="false">
      <c r="A39" s="0" t="n">
        <v>1624</v>
      </c>
      <c r="B39" s="2" t="n">
        <v>45311</v>
      </c>
      <c r="C39" s="3" t="s">
        <v>16</v>
      </c>
      <c r="D39" s="3" t="s">
        <v>13</v>
      </c>
      <c r="E39" s="3" t="s">
        <v>46</v>
      </c>
      <c r="F39" s="3" t="s">
        <v>28</v>
      </c>
      <c r="G39" s="0" t="n">
        <v>14</v>
      </c>
      <c r="H39" s="4" t="n">
        <v>49.96</v>
      </c>
      <c r="I39" s="4" t="n">
        <v>32.95</v>
      </c>
      <c r="J39" s="4" t="n">
        <f aca="false">G39*H39</f>
        <v>699.44</v>
      </c>
      <c r="K39" s="4" t="n">
        <f aca="false">G39*I39</f>
        <v>461.3</v>
      </c>
      <c r="L39" s="4" t="n">
        <f aca="false">J39-K39</f>
        <v>238.14</v>
      </c>
    </row>
    <row r="40" customFormat="false" ht="15" hidden="false" customHeight="false" outlineLevel="0" collapsed="false">
      <c r="A40" s="0" t="n">
        <v>1291</v>
      </c>
      <c r="B40" s="2" t="n">
        <v>45312</v>
      </c>
      <c r="C40" s="3" t="s">
        <v>16</v>
      </c>
      <c r="D40" s="3" t="s">
        <v>20</v>
      </c>
      <c r="E40" s="3" t="s">
        <v>42</v>
      </c>
      <c r="F40" s="3" t="s">
        <v>33</v>
      </c>
      <c r="G40" s="0" t="n">
        <v>40</v>
      </c>
      <c r="H40" s="4" t="n">
        <v>277.26</v>
      </c>
      <c r="I40" s="4" t="n">
        <v>197.15</v>
      </c>
      <c r="J40" s="4" t="n">
        <f aca="false">G40*H40</f>
        <v>11090.4</v>
      </c>
      <c r="K40" s="4" t="n">
        <f aca="false">G40*I40</f>
        <v>7886</v>
      </c>
      <c r="L40" s="4" t="n">
        <f aca="false">J40-K40</f>
        <v>3204.4</v>
      </c>
    </row>
    <row r="41" customFormat="false" ht="15" hidden="false" customHeight="false" outlineLevel="0" collapsed="false">
      <c r="A41" s="0" t="n">
        <v>1629</v>
      </c>
      <c r="B41" s="2" t="n">
        <v>45312</v>
      </c>
      <c r="C41" s="3" t="s">
        <v>26</v>
      </c>
      <c r="D41" s="3" t="s">
        <v>17</v>
      </c>
      <c r="E41" s="3" t="s">
        <v>40</v>
      </c>
      <c r="F41" s="3" t="s">
        <v>15</v>
      </c>
      <c r="G41" s="0" t="n">
        <v>5</v>
      </c>
      <c r="H41" s="4" t="n">
        <v>816.48</v>
      </c>
      <c r="I41" s="4" t="n">
        <v>426.67</v>
      </c>
      <c r="J41" s="4" t="n">
        <f aca="false">G41*H41</f>
        <v>4082.4</v>
      </c>
      <c r="K41" s="4" t="n">
        <f aca="false">G41*I41</f>
        <v>2133.35</v>
      </c>
      <c r="L41" s="4" t="n">
        <f aca="false">J41-K41</f>
        <v>1949.05</v>
      </c>
    </row>
    <row r="42" customFormat="false" ht="15" hidden="false" customHeight="false" outlineLevel="0" collapsed="false">
      <c r="A42" s="0" t="n">
        <v>1816</v>
      </c>
      <c r="B42" s="2" t="n">
        <v>45312</v>
      </c>
      <c r="C42" s="3" t="s">
        <v>23</v>
      </c>
      <c r="D42" s="3" t="s">
        <v>20</v>
      </c>
      <c r="E42" s="3" t="s">
        <v>42</v>
      </c>
      <c r="F42" s="3" t="s">
        <v>25</v>
      </c>
      <c r="G42" s="0" t="n">
        <v>14</v>
      </c>
      <c r="H42" s="4" t="n">
        <v>187.75</v>
      </c>
      <c r="I42" s="4" t="n">
        <v>102.32</v>
      </c>
      <c r="J42" s="4" t="n">
        <f aca="false">G42*H42</f>
        <v>2628.5</v>
      </c>
      <c r="K42" s="4" t="n">
        <f aca="false">G42*I42</f>
        <v>1432.48</v>
      </c>
      <c r="L42" s="4" t="n">
        <f aca="false">J42-K42</f>
        <v>1196.02</v>
      </c>
    </row>
    <row r="43" customFormat="false" ht="15" hidden="false" customHeight="false" outlineLevel="0" collapsed="false">
      <c r="A43" s="0" t="n">
        <v>2207</v>
      </c>
      <c r="B43" s="2" t="n">
        <v>45312</v>
      </c>
      <c r="C43" s="3" t="s">
        <v>16</v>
      </c>
      <c r="D43" s="3" t="s">
        <v>17</v>
      </c>
      <c r="E43" s="3" t="s">
        <v>35</v>
      </c>
      <c r="F43" s="3" t="s">
        <v>22</v>
      </c>
      <c r="G43" s="0" t="n">
        <v>24</v>
      </c>
      <c r="H43" s="4" t="n">
        <v>140.21</v>
      </c>
      <c r="I43" s="4" t="n">
        <v>81.56</v>
      </c>
      <c r="J43" s="4" t="n">
        <f aca="false">G43*H43</f>
        <v>3365.04</v>
      </c>
      <c r="K43" s="4" t="n">
        <f aca="false">G43*I43</f>
        <v>1957.44</v>
      </c>
      <c r="L43" s="4" t="n">
        <f aca="false">J43-K43</f>
        <v>1407.6</v>
      </c>
    </row>
    <row r="44" customFormat="false" ht="15" hidden="false" customHeight="false" outlineLevel="0" collapsed="false">
      <c r="A44" s="0" t="n">
        <v>1634</v>
      </c>
      <c r="B44" s="2" t="n">
        <v>45313</v>
      </c>
      <c r="C44" s="3" t="s">
        <v>16</v>
      </c>
      <c r="D44" s="3" t="s">
        <v>17</v>
      </c>
      <c r="E44" s="3" t="s">
        <v>27</v>
      </c>
      <c r="F44" s="3" t="s">
        <v>39</v>
      </c>
      <c r="G44" s="0" t="n">
        <v>17</v>
      </c>
      <c r="H44" s="4" t="n">
        <v>524.29</v>
      </c>
      <c r="I44" s="4" t="n">
        <v>368.61</v>
      </c>
      <c r="J44" s="4" t="n">
        <f aca="false">G44*H44</f>
        <v>8912.93</v>
      </c>
      <c r="K44" s="4" t="n">
        <f aca="false">G44*I44</f>
        <v>6266.37</v>
      </c>
      <c r="L44" s="4" t="n">
        <f aca="false">J44-K44</f>
        <v>2646.56</v>
      </c>
    </row>
    <row r="45" customFormat="false" ht="15" hidden="false" customHeight="false" outlineLevel="0" collapsed="false">
      <c r="A45" s="0" t="n">
        <v>2478</v>
      </c>
      <c r="B45" s="2" t="n">
        <v>45313</v>
      </c>
      <c r="C45" s="3" t="s">
        <v>16</v>
      </c>
      <c r="D45" s="3" t="s">
        <v>29</v>
      </c>
      <c r="E45" s="3" t="s">
        <v>37</v>
      </c>
      <c r="F45" s="3" t="s">
        <v>19</v>
      </c>
      <c r="G45" s="0" t="n">
        <v>13</v>
      </c>
      <c r="H45" s="4" t="n">
        <v>418.97</v>
      </c>
      <c r="I45" s="4" t="n">
        <v>291.24</v>
      </c>
      <c r="J45" s="4" t="n">
        <f aca="false">G45*H45</f>
        <v>5446.61</v>
      </c>
      <c r="K45" s="4" t="n">
        <f aca="false">G45*I45</f>
        <v>3786.12</v>
      </c>
      <c r="L45" s="4" t="n">
        <f aca="false">J45-K45</f>
        <v>1660.49</v>
      </c>
    </row>
    <row r="46" customFormat="false" ht="15" hidden="false" customHeight="false" outlineLevel="0" collapsed="false">
      <c r="A46" s="0" t="n">
        <v>1436</v>
      </c>
      <c r="B46" s="2" t="n">
        <v>45314</v>
      </c>
      <c r="C46" s="3" t="s">
        <v>12</v>
      </c>
      <c r="D46" s="3" t="s">
        <v>17</v>
      </c>
      <c r="E46" s="3" t="s">
        <v>40</v>
      </c>
      <c r="F46" s="3" t="s">
        <v>15</v>
      </c>
      <c r="G46" s="0" t="n">
        <v>9</v>
      </c>
      <c r="H46" s="4" t="n">
        <v>660.76</v>
      </c>
      <c r="I46" s="4" t="n">
        <v>411.91</v>
      </c>
      <c r="J46" s="4" t="n">
        <f aca="false">G46*H46</f>
        <v>5946.84</v>
      </c>
      <c r="K46" s="4" t="n">
        <f aca="false">G46*I46</f>
        <v>3707.19</v>
      </c>
      <c r="L46" s="4" t="n">
        <f aca="false">J46-K46</f>
        <v>2239.65</v>
      </c>
    </row>
    <row r="47" customFormat="false" ht="15" hidden="false" customHeight="false" outlineLevel="0" collapsed="false">
      <c r="A47" s="0" t="n">
        <v>2368</v>
      </c>
      <c r="B47" s="2" t="n">
        <v>45314</v>
      </c>
      <c r="C47" s="3" t="s">
        <v>23</v>
      </c>
      <c r="D47" s="3" t="s">
        <v>20</v>
      </c>
      <c r="E47" s="3" t="s">
        <v>38</v>
      </c>
      <c r="F47" s="3" t="s">
        <v>33</v>
      </c>
      <c r="G47" s="0" t="n">
        <v>33</v>
      </c>
      <c r="H47" s="4" t="n">
        <v>34.36</v>
      </c>
      <c r="I47" s="4" t="n">
        <v>22.26</v>
      </c>
      <c r="J47" s="4" t="n">
        <f aca="false">G47*H47</f>
        <v>1133.88</v>
      </c>
      <c r="K47" s="4" t="n">
        <f aca="false">G47*I47</f>
        <v>734.58</v>
      </c>
      <c r="L47" s="4" t="n">
        <f aca="false">J47-K47</f>
        <v>399.3</v>
      </c>
    </row>
    <row r="48" customFormat="false" ht="15" hidden="false" customHeight="false" outlineLevel="0" collapsed="false">
      <c r="A48" s="0" t="n">
        <v>2111</v>
      </c>
      <c r="B48" s="2" t="n">
        <v>45315</v>
      </c>
      <c r="C48" s="3" t="s">
        <v>32</v>
      </c>
      <c r="D48" s="3" t="s">
        <v>13</v>
      </c>
      <c r="E48" s="3" t="s">
        <v>24</v>
      </c>
      <c r="F48" s="3" t="s">
        <v>28</v>
      </c>
      <c r="G48" s="0" t="n">
        <v>6</v>
      </c>
      <c r="H48" s="4" t="n">
        <v>4.3</v>
      </c>
      <c r="I48" s="4" t="n">
        <v>2.57</v>
      </c>
      <c r="J48" s="4" t="n">
        <f aca="false">G48*H48</f>
        <v>25.8</v>
      </c>
      <c r="K48" s="4" t="n">
        <f aca="false">G48*I48</f>
        <v>15.42</v>
      </c>
      <c r="L48" s="4" t="n">
        <f aca="false">J48-K48</f>
        <v>10.38</v>
      </c>
    </row>
    <row r="49" customFormat="false" ht="15" hidden="false" customHeight="false" outlineLevel="0" collapsed="false">
      <c r="A49" s="0" t="n">
        <v>1722</v>
      </c>
      <c r="B49" s="2" t="n">
        <v>45316</v>
      </c>
      <c r="C49" s="3" t="s">
        <v>16</v>
      </c>
      <c r="D49" s="3" t="s">
        <v>29</v>
      </c>
      <c r="E49" s="3" t="s">
        <v>43</v>
      </c>
      <c r="F49" s="3" t="s">
        <v>39</v>
      </c>
      <c r="G49" s="0" t="n">
        <v>7</v>
      </c>
      <c r="H49" s="4" t="n">
        <v>429.66</v>
      </c>
      <c r="I49" s="4" t="n">
        <v>270.65</v>
      </c>
      <c r="J49" s="4" t="n">
        <f aca="false">G49*H49</f>
        <v>3007.62</v>
      </c>
      <c r="K49" s="4" t="n">
        <f aca="false">G49*I49</f>
        <v>1894.55</v>
      </c>
      <c r="L49" s="4" t="n">
        <f aca="false">J49-K49</f>
        <v>1113.07</v>
      </c>
    </row>
    <row r="50" customFormat="false" ht="15" hidden="false" customHeight="false" outlineLevel="0" collapsed="false">
      <c r="A50" s="0" t="n">
        <v>2139</v>
      </c>
      <c r="B50" s="2" t="n">
        <v>45316</v>
      </c>
      <c r="C50" s="3" t="s">
        <v>32</v>
      </c>
      <c r="D50" s="3" t="s">
        <v>20</v>
      </c>
      <c r="E50" s="3" t="s">
        <v>21</v>
      </c>
      <c r="F50" s="3" t="s">
        <v>33</v>
      </c>
      <c r="G50" s="0" t="n">
        <v>36</v>
      </c>
      <c r="H50" s="4" t="n">
        <v>160.82</v>
      </c>
      <c r="I50" s="4" t="n">
        <v>114.84</v>
      </c>
      <c r="J50" s="4" t="n">
        <f aca="false">G50*H50</f>
        <v>5789.52</v>
      </c>
      <c r="K50" s="4" t="n">
        <f aca="false">G50*I50</f>
        <v>4134.24</v>
      </c>
      <c r="L50" s="4" t="n">
        <f aca="false">J50-K50</f>
        <v>1655.28</v>
      </c>
    </row>
    <row r="51" customFormat="false" ht="15" hidden="false" customHeight="false" outlineLevel="0" collapsed="false">
      <c r="A51" s="0" t="n">
        <v>2228</v>
      </c>
      <c r="B51" s="2" t="n">
        <v>45317</v>
      </c>
      <c r="C51" s="3" t="s">
        <v>23</v>
      </c>
      <c r="D51" s="3" t="s">
        <v>17</v>
      </c>
      <c r="E51" s="3" t="s">
        <v>44</v>
      </c>
      <c r="F51" s="3" t="s">
        <v>15</v>
      </c>
      <c r="G51" s="0" t="n">
        <v>36</v>
      </c>
      <c r="H51" s="4" t="n">
        <v>195.32</v>
      </c>
      <c r="I51" s="4" t="n">
        <v>100.84</v>
      </c>
      <c r="J51" s="4" t="n">
        <f aca="false">G51*H51</f>
        <v>7031.52</v>
      </c>
      <c r="K51" s="4" t="n">
        <f aca="false">G51*I51</f>
        <v>3630.24</v>
      </c>
      <c r="L51" s="4" t="n">
        <f aca="false">J51-K51</f>
        <v>3401.28</v>
      </c>
    </row>
    <row r="52" customFormat="false" ht="15" hidden="false" customHeight="false" outlineLevel="0" collapsed="false">
      <c r="A52" s="0" t="n">
        <v>2692</v>
      </c>
      <c r="B52" s="2" t="n">
        <v>45317</v>
      </c>
      <c r="C52" s="3" t="s">
        <v>16</v>
      </c>
      <c r="D52" s="3" t="s">
        <v>13</v>
      </c>
      <c r="E52" s="3" t="s">
        <v>45</v>
      </c>
      <c r="F52" s="3" t="s">
        <v>28</v>
      </c>
      <c r="G52" s="0" t="n">
        <v>8</v>
      </c>
      <c r="H52" s="4" t="n">
        <v>22.62</v>
      </c>
      <c r="I52" s="4" t="n">
        <v>14.42</v>
      </c>
      <c r="J52" s="4" t="n">
        <f aca="false">G52*H52</f>
        <v>180.96</v>
      </c>
      <c r="K52" s="4" t="n">
        <f aca="false">G52*I52</f>
        <v>115.36</v>
      </c>
      <c r="L52" s="4" t="n">
        <f aca="false">J52-K52</f>
        <v>65.6</v>
      </c>
    </row>
    <row r="53" customFormat="false" ht="15" hidden="false" customHeight="false" outlineLevel="0" collapsed="false">
      <c r="A53" s="0" t="n">
        <v>1114</v>
      </c>
      <c r="B53" s="2" t="n">
        <v>45318</v>
      </c>
      <c r="C53" s="3" t="s">
        <v>16</v>
      </c>
      <c r="D53" s="3" t="s">
        <v>29</v>
      </c>
      <c r="E53" s="3" t="s">
        <v>30</v>
      </c>
      <c r="F53" s="3" t="s">
        <v>19</v>
      </c>
      <c r="G53" s="0" t="n">
        <v>18</v>
      </c>
      <c r="H53" s="4" t="n">
        <v>222.73</v>
      </c>
      <c r="I53" s="4" t="n">
        <v>159.8</v>
      </c>
      <c r="J53" s="4" t="n">
        <f aca="false">G53*H53</f>
        <v>4009.14</v>
      </c>
      <c r="K53" s="4" t="n">
        <f aca="false">G53*I53</f>
        <v>2876.4</v>
      </c>
      <c r="L53" s="4" t="n">
        <f aca="false">J53-K53</f>
        <v>1132.74</v>
      </c>
    </row>
    <row r="54" customFormat="false" ht="15" hidden="false" customHeight="false" outlineLevel="0" collapsed="false">
      <c r="A54" s="0" t="n">
        <v>2488</v>
      </c>
      <c r="B54" s="2" t="n">
        <v>45318</v>
      </c>
      <c r="C54" s="3" t="s">
        <v>26</v>
      </c>
      <c r="D54" s="3" t="s">
        <v>17</v>
      </c>
      <c r="E54" s="3" t="s">
        <v>18</v>
      </c>
      <c r="F54" s="3" t="s">
        <v>22</v>
      </c>
      <c r="G54" s="0" t="n">
        <v>40</v>
      </c>
      <c r="H54" s="4" t="n">
        <v>604.56</v>
      </c>
      <c r="I54" s="4" t="n">
        <v>413.78</v>
      </c>
      <c r="J54" s="4" t="n">
        <f aca="false">G54*H54</f>
        <v>24182.4</v>
      </c>
      <c r="K54" s="4" t="n">
        <f aca="false">G54*I54</f>
        <v>16551.2</v>
      </c>
      <c r="L54" s="4" t="n">
        <f aca="false">J54-K54</f>
        <v>7631.2</v>
      </c>
    </row>
    <row r="55" customFormat="false" ht="15" hidden="false" customHeight="false" outlineLevel="0" collapsed="false">
      <c r="A55" s="0" t="n">
        <v>1260</v>
      </c>
      <c r="B55" s="2" t="n">
        <v>45319</v>
      </c>
      <c r="C55" s="3" t="s">
        <v>32</v>
      </c>
      <c r="D55" s="3" t="s">
        <v>13</v>
      </c>
      <c r="E55" s="3" t="s">
        <v>46</v>
      </c>
      <c r="F55" s="3" t="s">
        <v>39</v>
      </c>
      <c r="G55" s="0" t="n">
        <v>26</v>
      </c>
      <c r="H55" s="4" t="n">
        <v>6.11</v>
      </c>
      <c r="I55" s="4" t="n">
        <v>3.81</v>
      </c>
      <c r="J55" s="4" t="n">
        <f aca="false">G55*H55</f>
        <v>158.86</v>
      </c>
      <c r="K55" s="4" t="n">
        <f aca="false">G55*I55</f>
        <v>99.06</v>
      </c>
      <c r="L55" s="4" t="n">
        <f aca="false">J55-K55</f>
        <v>59.8</v>
      </c>
    </row>
    <row r="56" customFormat="false" ht="15" hidden="false" customHeight="false" outlineLevel="0" collapsed="false">
      <c r="A56" s="0" t="n">
        <v>2431</v>
      </c>
      <c r="B56" s="2" t="n">
        <v>45319</v>
      </c>
      <c r="C56" s="3" t="s">
        <v>26</v>
      </c>
      <c r="D56" s="3" t="s">
        <v>17</v>
      </c>
      <c r="E56" s="3" t="s">
        <v>40</v>
      </c>
      <c r="F56" s="3" t="s">
        <v>39</v>
      </c>
      <c r="G56" s="0" t="n">
        <v>12</v>
      </c>
      <c r="H56" s="4" t="n">
        <v>750.74</v>
      </c>
      <c r="I56" s="4" t="n">
        <v>530.64</v>
      </c>
      <c r="J56" s="4" t="n">
        <f aca="false">G56*H56</f>
        <v>9008.88</v>
      </c>
      <c r="K56" s="4" t="n">
        <f aca="false">G56*I56</f>
        <v>6367.68</v>
      </c>
      <c r="L56" s="4" t="n">
        <f aca="false">J56-K56</f>
        <v>2641.2</v>
      </c>
    </row>
    <row r="57" customFormat="false" ht="15" hidden="false" customHeight="false" outlineLevel="0" collapsed="false">
      <c r="A57" s="0" t="n">
        <v>2470</v>
      </c>
      <c r="B57" s="2" t="n">
        <v>45319</v>
      </c>
      <c r="C57" s="3" t="s">
        <v>23</v>
      </c>
      <c r="D57" s="3" t="s">
        <v>13</v>
      </c>
      <c r="E57" s="3" t="s">
        <v>14</v>
      </c>
      <c r="F57" s="3" t="s">
        <v>25</v>
      </c>
      <c r="G57" s="0" t="n">
        <v>21</v>
      </c>
      <c r="H57" s="4" t="n">
        <v>15.13</v>
      </c>
      <c r="I57" s="4" t="n">
        <v>8.53</v>
      </c>
      <c r="J57" s="4" t="n">
        <f aca="false">G57*H57</f>
        <v>317.73</v>
      </c>
      <c r="K57" s="4" t="n">
        <f aca="false">G57*I57</f>
        <v>179.13</v>
      </c>
      <c r="L57" s="4" t="n">
        <f aca="false">J57-K57</f>
        <v>138.6</v>
      </c>
    </row>
    <row r="58" customFormat="false" ht="15" hidden="false" customHeight="false" outlineLevel="0" collapsed="false">
      <c r="A58" s="0" t="n">
        <v>1410</v>
      </c>
      <c r="B58" s="2" t="n">
        <v>45320</v>
      </c>
      <c r="C58" s="3" t="s">
        <v>23</v>
      </c>
      <c r="D58" s="3" t="s">
        <v>17</v>
      </c>
      <c r="E58" s="3" t="s">
        <v>40</v>
      </c>
      <c r="F58" s="3" t="s">
        <v>25</v>
      </c>
      <c r="G58" s="0" t="n">
        <v>25</v>
      </c>
      <c r="H58" s="4" t="n">
        <v>592.28</v>
      </c>
      <c r="I58" s="4" t="n">
        <v>342.89</v>
      </c>
      <c r="J58" s="4" t="n">
        <f aca="false">G58*H58</f>
        <v>14807</v>
      </c>
      <c r="K58" s="4" t="n">
        <f aca="false">G58*I58</f>
        <v>8572.25</v>
      </c>
      <c r="L58" s="4" t="n">
        <f aca="false">J58-K58</f>
        <v>6234.75</v>
      </c>
    </row>
    <row r="59" customFormat="false" ht="15" hidden="false" customHeight="false" outlineLevel="0" collapsed="false">
      <c r="A59" s="0" t="n">
        <v>1696</v>
      </c>
      <c r="B59" s="2" t="n">
        <v>45320</v>
      </c>
      <c r="C59" s="3" t="s">
        <v>12</v>
      </c>
      <c r="D59" s="3" t="s">
        <v>13</v>
      </c>
      <c r="E59" s="3" t="s">
        <v>46</v>
      </c>
      <c r="F59" s="3" t="s">
        <v>36</v>
      </c>
      <c r="G59" s="0" t="n">
        <v>4</v>
      </c>
      <c r="H59" s="4" t="n">
        <v>20.39</v>
      </c>
      <c r="I59" s="4" t="n">
        <v>13.97</v>
      </c>
      <c r="J59" s="4" t="n">
        <f aca="false">G59*H59</f>
        <v>81.56</v>
      </c>
      <c r="K59" s="4" t="n">
        <f aca="false">G59*I59</f>
        <v>55.88</v>
      </c>
      <c r="L59" s="4" t="n">
        <f aca="false">J59-K59</f>
        <v>25.68</v>
      </c>
    </row>
    <row r="60" customFormat="false" ht="15" hidden="false" customHeight="false" outlineLevel="0" collapsed="false">
      <c r="A60" s="0" t="n">
        <v>1915</v>
      </c>
      <c r="B60" s="2" t="n">
        <v>45320</v>
      </c>
      <c r="C60" s="3" t="s">
        <v>16</v>
      </c>
      <c r="D60" s="3" t="s">
        <v>17</v>
      </c>
      <c r="E60" s="3" t="s">
        <v>35</v>
      </c>
      <c r="F60" s="3" t="s">
        <v>36</v>
      </c>
      <c r="G60" s="0" t="n">
        <v>2</v>
      </c>
      <c r="H60" s="4" t="n">
        <v>683.57</v>
      </c>
      <c r="I60" s="4" t="n">
        <v>402.99</v>
      </c>
      <c r="J60" s="4" t="n">
        <f aca="false">G60*H60</f>
        <v>1367.14</v>
      </c>
      <c r="K60" s="4" t="n">
        <f aca="false">G60*I60</f>
        <v>805.98</v>
      </c>
      <c r="L60" s="4" t="n">
        <f aca="false">J60-K60</f>
        <v>561.16</v>
      </c>
    </row>
    <row r="61" customFormat="false" ht="15" hidden="false" customHeight="false" outlineLevel="0" collapsed="false">
      <c r="A61" s="0" t="n">
        <v>1236</v>
      </c>
      <c r="B61" s="2" t="n">
        <v>45321</v>
      </c>
      <c r="C61" s="3" t="s">
        <v>16</v>
      </c>
      <c r="D61" s="3" t="s">
        <v>13</v>
      </c>
      <c r="E61" s="3" t="s">
        <v>14</v>
      </c>
      <c r="F61" s="3" t="s">
        <v>36</v>
      </c>
      <c r="G61" s="0" t="n">
        <v>25</v>
      </c>
      <c r="H61" s="4" t="n">
        <v>15.24</v>
      </c>
      <c r="I61" s="4" t="n">
        <v>10.65</v>
      </c>
      <c r="J61" s="4" t="n">
        <f aca="false">G61*H61</f>
        <v>381</v>
      </c>
      <c r="K61" s="4" t="n">
        <f aca="false">G61*I61</f>
        <v>266.25</v>
      </c>
      <c r="L61" s="4" t="n">
        <f aca="false">J61-K61</f>
        <v>114.75</v>
      </c>
    </row>
    <row r="62" customFormat="false" ht="15" hidden="false" customHeight="false" outlineLevel="0" collapsed="false">
      <c r="A62" s="0" t="n">
        <v>1800</v>
      </c>
      <c r="B62" s="2" t="n">
        <v>45321</v>
      </c>
      <c r="C62" s="3" t="s">
        <v>12</v>
      </c>
      <c r="D62" s="3" t="s">
        <v>29</v>
      </c>
      <c r="E62" s="3" t="s">
        <v>41</v>
      </c>
      <c r="F62" s="3" t="s">
        <v>15</v>
      </c>
      <c r="G62" s="0" t="n">
        <v>15</v>
      </c>
      <c r="H62" s="4" t="n">
        <v>479.63</v>
      </c>
      <c r="I62" s="4" t="n">
        <v>319.61</v>
      </c>
      <c r="J62" s="4" t="n">
        <f aca="false">G62*H62</f>
        <v>7194.45</v>
      </c>
      <c r="K62" s="4" t="n">
        <f aca="false">G62*I62</f>
        <v>4794.15</v>
      </c>
      <c r="L62" s="4" t="n">
        <f aca="false">J62-K62</f>
        <v>2400.3</v>
      </c>
    </row>
    <row r="63" customFormat="false" ht="15" hidden="false" customHeight="false" outlineLevel="0" collapsed="false">
      <c r="A63" s="0" t="n">
        <v>1513</v>
      </c>
      <c r="B63" s="2" t="n">
        <v>45322</v>
      </c>
      <c r="C63" s="3" t="s">
        <v>26</v>
      </c>
      <c r="D63" s="3" t="s">
        <v>20</v>
      </c>
      <c r="E63" s="3" t="s">
        <v>42</v>
      </c>
      <c r="F63" s="3" t="s">
        <v>33</v>
      </c>
      <c r="G63" s="0" t="n">
        <v>31</v>
      </c>
      <c r="H63" s="4" t="n">
        <v>189.24</v>
      </c>
      <c r="I63" s="4" t="n">
        <v>100.65</v>
      </c>
      <c r="J63" s="4" t="n">
        <f aca="false">G63*H63</f>
        <v>5866.44</v>
      </c>
      <c r="K63" s="4" t="n">
        <f aca="false">G63*I63</f>
        <v>3120.15</v>
      </c>
      <c r="L63" s="4" t="n">
        <f aca="false">J63-K63</f>
        <v>2746.29</v>
      </c>
    </row>
    <row r="64" customFormat="false" ht="15" hidden="false" customHeight="false" outlineLevel="0" collapsed="false">
      <c r="A64" s="0" t="n">
        <v>1749</v>
      </c>
      <c r="B64" s="2" t="n">
        <v>45322</v>
      </c>
      <c r="C64" s="3" t="s">
        <v>32</v>
      </c>
      <c r="D64" s="3" t="s">
        <v>13</v>
      </c>
      <c r="E64" s="3" t="s">
        <v>46</v>
      </c>
      <c r="F64" s="3" t="s">
        <v>19</v>
      </c>
      <c r="G64" s="0" t="n">
        <v>20</v>
      </c>
      <c r="H64" s="4" t="n">
        <v>3.55</v>
      </c>
      <c r="I64" s="4" t="n">
        <v>2.08</v>
      </c>
      <c r="J64" s="4" t="n">
        <f aca="false">G64*H64</f>
        <v>71</v>
      </c>
      <c r="K64" s="4" t="n">
        <f aca="false">G64*I64</f>
        <v>41.6</v>
      </c>
      <c r="L64" s="4" t="n">
        <f aca="false">J64-K64</f>
        <v>29.4</v>
      </c>
    </row>
    <row r="65" customFormat="false" ht="15" hidden="false" customHeight="false" outlineLevel="0" collapsed="false">
      <c r="A65" s="0" t="n">
        <v>1151</v>
      </c>
      <c r="B65" s="2" t="n">
        <v>45323</v>
      </c>
      <c r="C65" s="3" t="s">
        <v>12</v>
      </c>
      <c r="D65" s="3" t="s">
        <v>20</v>
      </c>
      <c r="E65" s="3" t="s">
        <v>42</v>
      </c>
      <c r="F65" s="3" t="s">
        <v>19</v>
      </c>
      <c r="G65" s="0" t="n">
        <v>5</v>
      </c>
      <c r="H65" s="4" t="n">
        <v>285.85</v>
      </c>
      <c r="I65" s="4" t="n">
        <v>145.24</v>
      </c>
      <c r="J65" s="4" t="n">
        <f aca="false">G65*H65</f>
        <v>1429.25</v>
      </c>
      <c r="K65" s="4" t="n">
        <f aca="false">G65*I65</f>
        <v>726.2</v>
      </c>
      <c r="L65" s="4" t="n">
        <f aca="false">J65-K65</f>
        <v>703.05</v>
      </c>
    </row>
    <row r="66" customFormat="false" ht="15" hidden="false" customHeight="false" outlineLevel="0" collapsed="false">
      <c r="A66" s="0" t="n">
        <v>2113</v>
      </c>
      <c r="B66" s="2" t="n">
        <v>45323</v>
      </c>
      <c r="C66" s="3" t="s">
        <v>12</v>
      </c>
      <c r="D66" s="3" t="s">
        <v>20</v>
      </c>
      <c r="E66" s="3" t="s">
        <v>21</v>
      </c>
      <c r="F66" s="3" t="s">
        <v>39</v>
      </c>
      <c r="G66" s="0" t="n">
        <v>39</v>
      </c>
      <c r="H66" s="4" t="n">
        <v>149.19</v>
      </c>
      <c r="I66" s="4" t="n">
        <v>98.52</v>
      </c>
      <c r="J66" s="4" t="n">
        <f aca="false">G66*H66</f>
        <v>5818.41</v>
      </c>
      <c r="K66" s="4" t="n">
        <f aca="false">G66*I66</f>
        <v>3842.28</v>
      </c>
      <c r="L66" s="4" t="n">
        <f aca="false">J66-K66</f>
        <v>1976.13</v>
      </c>
    </row>
    <row r="67" customFormat="false" ht="15" hidden="false" customHeight="false" outlineLevel="0" collapsed="false">
      <c r="A67" s="0" t="n">
        <v>2442</v>
      </c>
      <c r="B67" s="2" t="n">
        <v>45323</v>
      </c>
      <c r="C67" s="3" t="s">
        <v>26</v>
      </c>
      <c r="D67" s="3" t="s">
        <v>29</v>
      </c>
      <c r="E67" s="3" t="s">
        <v>37</v>
      </c>
      <c r="F67" s="3" t="s">
        <v>25</v>
      </c>
      <c r="G67" s="0" t="n">
        <v>6</v>
      </c>
      <c r="H67" s="4" t="n">
        <v>418.26</v>
      </c>
      <c r="I67" s="4" t="n">
        <v>302.64</v>
      </c>
      <c r="J67" s="4" t="n">
        <f aca="false">G67*H67</f>
        <v>2509.56</v>
      </c>
      <c r="K67" s="4" t="n">
        <f aca="false">G67*I67</f>
        <v>1815.84</v>
      </c>
      <c r="L67" s="4" t="n">
        <f aca="false">J67-K67</f>
        <v>693.72</v>
      </c>
    </row>
    <row r="68" customFormat="false" ht="15" hidden="false" customHeight="false" outlineLevel="0" collapsed="false">
      <c r="A68" s="0" t="n">
        <v>2480</v>
      </c>
      <c r="B68" s="2" t="n">
        <v>45323</v>
      </c>
      <c r="C68" s="3" t="s">
        <v>23</v>
      </c>
      <c r="D68" s="3" t="s">
        <v>13</v>
      </c>
      <c r="E68" s="3" t="s">
        <v>24</v>
      </c>
      <c r="F68" s="3" t="s">
        <v>15</v>
      </c>
      <c r="G68" s="0" t="n">
        <v>36</v>
      </c>
      <c r="H68" s="4" t="n">
        <v>44.29</v>
      </c>
      <c r="I68" s="4" t="n">
        <v>29.57</v>
      </c>
      <c r="J68" s="4" t="n">
        <f aca="false">G68*H68</f>
        <v>1594.44</v>
      </c>
      <c r="K68" s="4" t="n">
        <f aca="false">G68*I68</f>
        <v>1064.52</v>
      </c>
      <c r="L68" s="4" t="n">
        <f aca="false">J68-K68</f>
        <v>529.92</v>
      </c>
    </row>
    <row r="69" customFormat="false" ht="15" hidden="false" customHeight="false" outlineLevel="0" collapsed="false">
      <c r="A69" s="0" t="n">
        <v>1002</v>
      </c>
      <c r="B69" s="2" t="n">
        <v>45324</v>
      </c>
      <c r="C69" s="3" t="s">
        <v>26</v>
      </c>
      <c r="D69" s="3" t="s">
        <v>17</v>
      </c>
      <c r="E69" s="3" t="s">
        <v>44</v>
      </c>
      <c r="F69" s="3" t="s">
        <v>39</v>
      </c>
      <c r="G69" s="0" t="n">
        <v>33</v>
      </c>
      <c r="H69" s="4" t="n">
        <v>565.7</v>
      </c>
      <c r="I69" s="4" t="n">
        <v>342.18</v>
      </c>
      <c r="J69" s="4" t="n">
        <f aca="false">G69*H69</f>
        <v>18668.1</v>
      </c>
      <c r="K69" s="4" t="n">
        <f aca="false">G69*I69</f>
        <v>11291.94</v>
      </c>
      <c r="L69" s="4" t="n">
        <f aca="false">J69-K69</f>
        <v>7376.16</v>
      </c>
    </row>
    <row r="70" customFormat="false" ht="15" hidden="false" customHeight="false" outlineLevel="0" collapsed="false">
      <c r="A70" s="0" t="n">
        <v>1613</v>
      </c>
      <c r="B70" s="2" t="n">
        <v>45324</v>
      </c>
      <c r="C70" s="3" t="s">
        <v>23</v>
      </c>
      <c r="D70" s="3" t="s">
        <v>17</v>
      </c>
      <c r="E70" s="3" t="s">
        <v>18</v>
      </c>
      <c r="F70" s="3" t="s">
        <v>28</v>
      </c>
      <c r="G70" s="0" t="n">
        <v>21</v>
      </c>
      <c r="H70" s="4" t="n">
        <v>776.41</v>
      </c>
      <c r="I70" s="4" t="n">
        <v>516.2</v>
      </c>
      <c r="J70" s="4" t="n">
        <f aca="false">G70*H70</f>
        <v>16304.61</v>
      </c>
      <c r="K70" s="4" t="n">
        <f aca="false">G70*I70</f>
        <v>10840.2</v>
      </c>
      <c r="L70" s="4" t="n">
        <f aca="false">J70-K70</f>
        <v>5464.41</v>
      </c>
    </row>
    <row r="71" customFormat="false" ht="15" hidden="false" customHeight="false" outlineLevel="0" collapsed="false">
      <c r="A71" s="0" t="n">
        <v>1960</v>
      </c>
      <c r="B71" s="2" t="n">
        <v>45324</v>
      </c>
      <c r="C71" s="3" t="s">
        <v>23</v>
      </c>
      <c r="D71" s="3" t="s">
        <v>29</v>
      </c>
      <c r="E71" s="3" t="s">
        <v>37</v>
      </c>
      <c r="F71" s="3" t="s">
        <v>36</v>
      </c>
      <c r="G71" s="0" t="n">
        <v>28</v>
      </c>
      <c r="H71" s="4" t="n">
        <v>455.07</v>
      </c>
      <c r="I71" s="4" t="n">
        <v>295.46</v>
      </c>
      <c r="J71" s="4" t="n">
        <f aca="false">G71*H71</f>
        <v>12741.96</v>
      </c>
      <c r="K71" s="4" t="n">
        <f aca="false">G71*I71</f>
        <v>8272.88</v>
      </c>
      <c r="L71" s="4" t="n">
        <f aca="false">J71-K71</f>
        <v>4469.08</v>
      </c>
    </row>
    <row r="72" customFormat="false" ht="15" hidden="false" customHeight="false" outlineLevel="0" collapsed="false">
      <c r="A72" s="0" t="n">
        <v>2556</v>
      </c>
      <c r="B72" s="2" t="n">
        <v>45324</v>
      </c>
      <c r="C72" s="3" t="s">
        <v>23</v>
      </c>
      <c r="D72" s="3" t="s">
        <v>13</v>
      </c>
      <c r="E72" s="3" t="s">
        <v>31</v>
      </c>
      <c r="F72" s="3" t="s">
        <v>28</v>
      </c>
      <c r="G72" s="0" t="n">
        <v>16</v>
      </c>
      <c r="H72" s="4" t="n">
        <v>38.51</v>
      </c>
      <c r="I72" s="4" t="n">
        <v>24.76</v>
      </c>
      <c r="J72" s="4" t="n">
        <f aca="false">G72*H72</f>
        <v>616.16</v>
      </c>
      <c r="K72" s="4" t="n">
        <f aca="false">G72*I72</f>
        <v>396.16</v>
      </c>
      <c r="L72" s="4" t="n">
        <f aca="false">J72-K72</f>
        <v>220</v>
      </c>
    </row>
    <row r="73" customFormat="false" ht="15" hidden="false" customHeight="false" outlineLevel="0" collapsed="false">
      <c r="A73" s="0" t="n">
        <v>2532</v>
      </c>
      <c r="B73" s="2" t="n">
        <v>45326</v>
      </c>
      <c r="C73" s="3" t="s">
        <v>16</v>
      </c>
      <c r="D73" s="3" t="s">
        <v>13</v>
      </c>
      <c r="E73" s="3" t="s">
        <v>14</v>
      </c>
      <c r="F73" s="3" t="s">
        <v>19</v>
      </c>
      <c r="G73" s="0" t="n">
        <v>7</v>
      </c>
      <c r="H73" s="4" t="n">
        <v>19.21</v>
      </c>
      <c r="I73" s="4" t="n">
        <v>11.46</v>
      </c>
      <c r="J73" s="4" t="n">
        <f aca="false">G73*H73</f>
        <v>134.47</v>
      </c>
      <c r="K73" s="4" t="n">
        <f aca="false">G73*I73</f>
        <v>80.22</v>
      </c>
      <c r="L73" s="4" t="n">
        <f aca="false">J73-K73</f>
        <v>54.25</v>
      </c>
    </row>
    <row r="74" customFormat="false" ht="15" hidden="false" customHeight="false" outlineLevel="0" collapsed="false">
      <c r="A74" s="0" t="n">
        <v>2671</v>
      </c>
      <c r="B74" s="2" t="n">
        <v>45326</v>
      </c>
      <c r="C74" s="3" t="s">
        <v>16</v>
      </c>
      <c r="D74" s="3" t="s">
        <v>29</v>
      </c>
      <c r="E74" s="3" t="s">
        <v>43</v>
      </c>
      <c r="F74" s="3" t="s">
        <v>25</v>
      </c>
      <c r="G74" s="0" t="n">
        <v>3</v>
      </c>
      <c r="H74" s="4" t="n">
        <v>386.86</v>
      </c>
      <c r="I74" s="4" t="n">
        <v>251.47</v>
      </c>
      <c r="J74" s="4" t="n">
        <f aca="false">G74*H74</f>
        <v>1160.58</v>
      </c>
      <c r="K74" s="4" t="n">
        <f aca="false">G74*I74</f>
        <v>754.41</v>
      </c>
      <c r="L74" s="4" t="n">
        <f aca="false">J74-K74</f>
        <v>406.17</v>
      </c>
    </row>
    <row r="75" customFormat="false" ht="15" hidden="false" customHeight="false" outlineLevel="0" collapsed="false">
      <c r="A75" s="0" t="n">
        <v>2461</v>
      </c>
      <c r="B75" s="2" t="n">
        <v>45327</v>
      </c>
      <c r="C75" s="3" t="s">
        <v>26</v>
      </c>
      <c r="D75" s="3" t="s">
        <v>17</v>
      </c>
      <c r="E75" s="3" t="s">
        <v>35</v>
      </c>
      <c r="F75" s="3" t="s">
        <v>28</v>
      </c>
      <c r="G75" s="0" t="n">
        <v>21</v>
      </c>
      <c r="H75" s="4" t="n">
        <v>892.79</v>
      </c>
      <c r="I75" s="4" t="n">
        <v>620.25</v>
      </c>
      <c r="J75" s="4" t="n">
        <f aca="false">G75*H75</f>
        <v>18748.59</v>
      </c>
      <c r="K75" s="4" t="n">
        <f aca="false">G75*I75</f>
        <v>13025.25</v>
      </c>
      <c r="L75" s="4" t="n">
        <f aca="false">J75-K75</f>
        <v>5723.34</v>
      </c>
    </row>
    <row r="76" customFormat="false" ht="15" hidden="false" customHeight="false" outlineLevel="0" collapsed="false">
      <c r="A76" s="0" t="n">
        <v>2525</v>
      </c>
      <c r="B76" s="2" t="n">
        <v>45328</v>
      </c>
      <c r="C76" s="3" t="s">
        <v>32</v>
      </c>
      <c r="D76" s="3" t="s">
        <v>13</v>
      </c>
      <c r="E76" s="3" t="s">
        <v>14</v>
      </c>
      <c r="F76" s="3" t="s">
        <v>36</v>
      </c>
      <c r="G76" s="0" t="n">
        <v>40</v>
      </c>
      <c r="H76" s="4" t="n">
        <v>59.86</v>
      </c>
      <c r="I76" s="4" t="n">
        <v>38.33</v>
      </c>
      <c r="J76" s="4" t="n">
        <f aca="false">G76*H76</f>
        <v>2394.4</v>
      </c>
      <c r="K76" s="4" t="n">
        <f aca="false">G76*I76</f>
        <v>1533.2</v>
      </c>
      <c r="L76" s="4" t="n">
        <f aca="false">J76-K76</f>
        <v>861.2</v>
      </c>
    </row>
    <row r="77" customFormat="false" ht="15" hidden="false" customHeight="false" outlineLevel="0" collapsed="false">
      <c r="A77" s="0" t="n">
        <v>1687</v>
      </c>
      <c r="B77" s="2" t="n">
        <v>45329</v>
      </c>
      <c r="C77" s="3" t="s">
        <v>16</v>
      </c>
      <c r="D77" s="3" t="s">
        <v>29</v>
      </c>
      <c r="E77" s="3" t="s">
        <v>41</v>
      </c>
      <c r="F77" s="3" t="s">
        <v>19</v>
      </c>
      <c r="G77" s="0" t="n">
        <v>34</v>
      </c>
      <c r="H77" s="4" t="n">
        <v>118.98</v>
      </c>
      <c r="I77" s="4" t="n">
        <v>75</v>
      </c>
      <c r="J77" s="4" t="n">
        <f aca="false">G77*H77</f>
        <v>4045.32</v>
      </c>
      <c r="K77" s="4" t="n">
        <f aca="false">G77*I77</f>
        <v>2550</v>
      </c>
      <c r="L77" s="4" t="n">
        <f aca="false">J77-K77</f>
        <v>1495.32</v>
      </c>
    </row>
    <row r="78" customFormat="false" ht="15" hidden="false" customHeight="false" outlineLevel="0" collapsed="false">
      <c r="A78" s="0" t="n">
        <v>1331</v>
      </c>
      <c r="B78" s="2" t="n">
        <v>45330</v>
      </c>
      <c r="C78" s="3" t="s">
        <v>16</v>
      </c>
      <c r="D78" s="3" t="s">
        <v>13</v>
      </c>
      <c r="E78" s="3" t="s">
        <v>31</v>
      </c>
      <c r="F78" s="3" t="s">
        <v>22</v>
      </c>
      <c r="G78" s="0" t="n">
        <v>21</v>
      </c>
      <c r="H78" s="4" t="n">
        <v>33.27</v>
      </c>
      <c r="I78" s="4" t="n">
        <v>22.74</v>
      </c>
      <c r="J78" s="4" t="n">
        <f aca="false">G78*H78</f>
        <v>698.67</v>
      </c>
      <c r="K78" s="4" t="n">
        <f aca="false">G78*I78</f>
        <v>477.54</v>
      </c>
      <c r="L78" s="4" t="n">
        <f aca="false">J78-K78</f>
        <v>221.13</v>
      </c>
    </row>
    <row r="79" customFormat="false" ht="15" hidden="false" customHeight="false" outlineLevel="0" collapsed="false">
      <c r="A79" s="0" t="n">
        <v>1335</v>
      </c>
      <c r="B79" s="2" t="n">
        <v>45330</v>
      </c>
      <c r="C79" s="3" t="s">
        <v>23</v>
      </c>
      <c r="D79" s="3" t="s">
        <v>29</v>
      </c>
      <c r="E79" s="3" t="s">
        <v>30</v>
      </c>
      <c r="F79" s="3" t="s">
        <v>22</v>
      </c>
      <c r="G79" s="0" t="n">
        <v>7</v>
      </c>
      <c r="H79" s="4" t="n">
        <v>369.69</v>
      </c>
      <c r="I79" s="4" t="n">
        <v>219.99</v>
      </c>
      <c r="J79" s="4" t="n">
        <f aca="false">G79*H79</f>
        <v>2587.83</v>
      </c>
      <c r="K79" s="4" t="n">
        <f aca="false">G79*I79</f>
        <v>1539.93</v>
      </c>
      <c r="L79" s="4" t="n">
        <f aca="false">J79-K79</f>
        <v>1047.9</v>
      </c>
    </row>
    <row r="80" customFormat="false" ht="15" hidden="false" customHeight="false" outlineLevel="0" collapsed="false">
      <c r="A80" s="0" t="n">
        <v>1365</v>
      </c>
      <c r="B80" s="2" t="n">
        <v>45332</v>
      </c>
      <c r="C80" s="3" t="s">
        <v>12</v>
      </c>
      <c r="D80" s="3" t="s">
        <v>29</v>
      </c>
      <c r="E80" s="3" t="s">
        <v>30</v>
      </c>
      <c r="F80" s="3" t="s">
        <v>15</v>
      </c>
      <c r="G80" s="0" t="n">
        <v>32</v>
      </c>
      <c r="H80" s="4" t="n">
        <v>110.61</v>
      </c>
      <c r="I80" s="4" t="n">
        <v>69.83</v>
      </c>
      <c r="J80" s="4" t="n">
        <f aca="false">G80*H80</f>
        <v>3539.52</v>
      </c>
      <c r="K80" s="4" t="n">
        <f aca="false">G80*I80</f>
        <v>2234.56</v>
      </c>
      <c r="L80" s="4" t="n">
        <f aca="false">J80-K80</f>
        <v>1304.96</v>
      </c>
    </row>
    <row r="81" customFormat="false" ht="15" hidden="false" customHeight="false" outlineLevel="0" collapsed="false">
      <c r="A81" s="0" t="n">
        <v>1483</v>
      </c>
      <c r="B81" s="2" t="n">
        <v>45332</v>
      </c>
      <c r="C81" s="3" t="s">
        <v>16</v>
      </c>
      <c r="D81" s="3" t="s">
        <v>20</v>
      </c>
      <c r="E81" s="3" t="s">
        <v>42</v>
      </c>
      <c r="F81" s="3" t="s">
        <v>39</v>
      </c>
      <c r="G81" s="0" t="n">
        <v>19</v>
      </c>
      <c r="H81" s="4" t="n">
        <v>100.06</v>
      </c>
      <c r="I81" s="4" t="n">
        <v>54.19</v>
      </c>
      <c r="J81" s="4" t="n">
        <f aca="false">G81*H81</f>
        <v>1901.14</v>
      </c>
      <c r="K81" s="4" t="n">
        <f aca="false">G81*I81</f>
        <v>1029.61</v>
      </c>
      <c r="L81" s="4" t="n">
        <f aca="false">J81-K81</f>
        <v>871.53</v>
      </c>
    </row>
    <row r="82" customFormat="false" ht="15" hidden="false" customHeight="false" outlineLevel="0" collapsed="false">
      <c r="A82" s="0" t="n">
        <v>2025</v>
      </c>
      <c r="B82" s="2" t="n">
        <v>45332</v>
      </c>
      <c r="C82" s="3" t="s">
        <v>16</v>
      </c>
      <c r="D82" s="3" t="s">
        <v>13</v>
      </c>
      <c r="E82" s="3" t="s">
        <v>45</v>
      </c>
      <c r="F82" s="3" t="s">
        <v>28</v>
      </c>
      <c r="G82" s="0" t="n">
        <v>2</v>
      </c>
      <c r="H82" s="4" t="n">
        <v>19.06</v>
      </c>
      <c r="I82" s="4" t="n">
        <v>11.65</v>
      </c>
      <c r="J82" s="4" t="n">
        <f aca="false">G82*H82</f>
        <v>38.12</v>
      </c>
      <c r="K82" s="4" t="n">
        <f aca="false">G82*I82</f>
        <v>23.3</v>
      </c>
      <c r="L82" s="4" t="n">
        <f aca="false">J82-K82</f>
        <v>14.82</v>
      </c>
    </row>
    <row r="83" customFormat="false" ht="15" hidden="false" customHeight="false" outlineLevel="0" collapsed="false">
      <c r="A83" s="0" t="n">
        <v>2186</v>
      </c>
      <c r="B83" s="2" t="n">
        <v>45332</v>
      </c>
      <c r="C83" s="3" t="s">
        <v>32</v>
      </c>
      <c r="D83" s="3" t="s">
        <v>20</v>
      </c>
      <c r="E83" s="3" t="s">
        <v>21</v>
      </c>
      <c r="F83" s="3" t="s">
        <v>22</v>
      </c>
      <c r="G83" s="0" t="n">
        <v>26</v>
      </c>
      <c r="H83" s="4" t="n">
        <v>207.34</v>
      </c>
      <c r="I83" s="4" t="n">
        <v>105</v>
      </c>
      <c r="J83" s="4" t="n">
        <f aca="false">G83*H83</f>
        <v>5390.84</v>
      </c>
      <c r="K83" s="4" t="n">
        <f aca="false">G83*I83</f>
        <v>2730</v>
      </c>
      <c r="L83" s="4" t="n">
        <f aca="false">J83-K83</f>
        <v>2660.84</v>
      </c>
    </row>
    <row r="84" customFormat="false" ht="15" hidden="false" customHeight="false" outlineLevel="0" collapsed="false">
      <c r="A84" s="0" t="n">
        <v>1053</v>
      </c>
      <c r="B84" s="2" t="n">
        <v>45333</v>
      </c>
      <c r="C84" s="3" t="s">
        <v>26</v>
      </c>
      <c r="D84" s="3" t="s">
        <v>13</v>
      </c>
      <c r="E84" s="3" t="s">
        <v>24</v>
      </c>
      <c r="F84" s="3" t="s">
        <v>22</v>
      </c>
      <c r="G84" s="0" t="n">
        <v>40</v>
      </c>
      <c r="H84" s="4" t="n">
        <v>10.19</v>
      </c>
      <c r="I84" s="4" t="n">
        <v>5.65</v>
      </c>
      <c r="J84" s="4" t="n">
        <f aca="false">G84*H84</f>
        <v>407.6</v>
      </c>
      <c r="K84" s="4" t="n">
        <f aca="false">G84*I84</f>
        <v>226</v>
      </c>
      <c r="L84" s="4" t="n">
        <f aca="false">J84-K84</f>
        <v>181.6</v>
      </c>
    </row>
    <row r="85" customFormat="false" ht="15" hidden="false" customHeight="false" outlineLevel="0" collapsed="false">
      <c r="A85" s="0" t="n">
        <v>2285</v>
      </c>
      <c r="B85" s="2" t="n">
        <v>45333</v>
      </c>
      <c r="C85" s="3" t="s">
        <v>12</v>
      </c>
      <c r="D85" s="3" t="s">
        <v>17</v>
      </c>
      <c r="E85" s="3" t="s">
        <v>44</v>
      </c>
      <c r="F85" s="3" t="s">
        <v>39</v>
      </c>
      <c r="G85" s="0" t="n">
        <v>38</v>
      </c>
      <c r="H85" s="4" t="n">
        <v>472.83</v>
      </c>
      <c r="I85" s="4" t="n">
        <v>296.6</v>
      </c>
      <c r="J85" s="4" t="n">
        <f aca="false">G85*H85</f>
        <v>17967.54</v>
      </c>
      <c r="K85" s="4" t="n">
        <f aca="false">G85*I85</f>
        <v>11270.8</v>
      </c>
      <c r="L85" s="4" t="n">
        <f aca="false">J85-K85</f>
        <v>6696.74</v>
      </c>
    </row>
    <row r="86" customFormat="false" ht="15" hidden="false" customHeight="false" outlineLevel="0" collapsed="false">
      <c r="A86" s="0" t="n">
        <v>2486</v>
      </c>
      <c r="B86" s="2" t="n">
        <v>45333</v>
      </c>
      <c r="C86" s="3" t="s">
        <v>26</v>
      </c>
      <c r="D86" s="3" t="s">
        <v>13</v>
      </c>
      <c r="E86" s="3" t="s">
        <v>14</v>
      </c>
      <c r="F86" s="3" t="s">
        <v>39</v>
      </c>
      <c r="G86" s="0" t="n">
        <v>1</v>
      </c>
      <c r="H86" s="4" t="n">
        <v>51.58</v>
      </c>
      <c r="I86" s="4" t="n">
        <v>37.21</v>
      </c>
      <c r="J86" s="4" t="n">
        <f aca="false">G86*H86</f>
        <v>51.58</v>
      </c>
      <c r="K86" s="4" t="n">
        <f aca="false">G86*I86</f>
        <v>37.21</v>
      </c>
      <c r="L86" s="4" t="n">
        <f aca="false">J86-K86</f>
        <v>14.37</v>
      </c>
    </row>
    <row r="87" customFormat="false" ht="15" hidden="false" customHeight="false" outlineLevel="0" collapsed="false">
      <c r="A87" s="0" t="n">
        <v>2550</v>
      </c>
      <c r="B87" s="2" t="n">
        <v>45333</v>
      </c>
      <c r="C87" s="3" t="s">
        <v>12</v>
      </c>
      <c r="D87" s="3" t="s">
        <v>17</v>
      </c>
      <c r="E87" s="3" t="s">
        <v>40</v>
      </c>
      <c r="F87" s="3" t="s">
        <v>15</v>
      </c>
      <c r="G87" s="0" t="n">
        <v>16</v>
      </c>
      <c r="H87" s="4" t="n">
        <v>834.94</v>
      </c>
      <c r="I87" s="4" t="n">
        <v>537.25</v>
      </c>
      <c r="J87" s="4" t="n">
        <f aca="false">G87*H87</f>
        <v>13359.04</v>
      </c>
      <c r="K87" s="4" t="n">
        <f aca="false">G87*I87</f>
        <v>8596</v>
      </c>
      <c r="L87" s="4" t="n">
        <f aca="false">J87-K87</f>
        <v>4763.04</v>
      </c>
    </row>
    <row r="88" customFormat="false" ht="15" hidden="false" customHeight="false" outlineLevel="0" collapsed="false">
      <c r="A88" s="0" t="n">
        <v>1146</v>
      </c>
      <c r="B88" s="2" t="n">
        <v>45334</v>
      </c>
      <c r="C88" s="3" t="s">
        <v>32</v>
      </c>
      <c r="D88" s="3" t="s">
        <v>29</v>
      </c>
      <c r="E88" s="3" t="s">
        <v>41</v>
      </c>
      <c r="F88" s="3" t="s">
        <v>28</v>
      </c>
      <c r="G88" s="0" t="n">
        <v>17</v>
      </c>
      <c r="H88" s="4" t="n">
        <v>200.17</v>
      </c>
      <c r="I88" s="4" t="n">
        <v>102.48</v>
      </c>
      <c r="J88" s="4" t="n">
        <f aca="false">G88*H88</f>
        <v>3402.89</v>
      </c>
      <c r="K88" s="4" t="n">
        <f aca="false">G88*I88</f>
        <v>1742.16</v>
      </c>
      <c r="L88" s="4" t="n">
        <f aca="false">J88-K88</f>
        <v>1660.73</v>
      </c>
    </row>
    <row r="89" customFormat="false" ht="15" hidden="false" customHeight="false" outlineLevel="0" collapsed="false">
      <c r="A89" s="0" t="n">
        <v>1535</v>
      </c>
      <c r="B89" s="2" t="n">
        <v>45334</v>
      </c>
      <c r="C89" s="3" t="s">
        <v>26</v>
      </c>
      <c r="D89" s="3" t="s">
        <v>29</v>
      </c>
      <c r="E89" s="3" t="s">
        <v>41</v>
      </c>
      <c r="F89" s="3" t="s">
        <v>15</v>
      </c>
      <c r="G89" s="0" t="n">
        <v>22</v>
      </c>
      <c r="H89" s="4" t="n">
        <v>187.24</v>
      </c>
      <c r="I89" s="4" t="n">
        <v>115.2</v>
      </c>
      <c r="J89" s="4" t="n">
        <f aca="false">G89*H89</f>
        <v>4119.28</v>
      </c>
      <c r="K89" s="4" t="n">
        <f aca="false">G89*I89</f>
        <v>2534.4</v>
      </c>
      <c r="L89" s="4" t="n">
        <f aca="false">J89-K89</f>
        <v>1584.88</v>
      </c>
    </row>
    <row r="90" customFormat="false" ht="15" hidden="false" customHeight="false" outlineLevel="0" collapsed="false">
      <c r="A90" s="0" t="n">
        <v>1851</v>
      </c>
      <c r="B90" s="2" t="n">
        <v>45334</v>
      </c>
      <c r="C90" s="3" t="s">
        <v>16</v>
      </c>
      <c r="D90" s="3" t="s">
        <v>13</v>
      </c>
      <c r="E90" s="3" t="s">
        <v>24</v>
      </c>
      <c r="F90" s="3" t="s">
        <v>28</v>
      </c>
      <c r="G90" s="0" t="n">
        <v>7</v>
      </c>
      <c r="H90" s="4" t="n">
        <v>34.16</v>
      </c>
      <c r="I90" s="4" t="n">
        <v>25.53</v>
      </c>
      <c r="J90" s="4" t="n">
        <f aca="false">G90*H90</f>
        <v>239.12</v>
      </c>
      <c r="K90" s="4" t="n">
        <f aca="false">G90*I90</f>
        <v>178.71</v>
      </c>
      <c r="L90" s="4" t="n">
        <f aca="false">J90-K90</f>
        <v>60.41</v>
      </c>
    </row>
    <row r="91" customFormat="false" ht="15" hidden="false" customHeight="false" outlineLevel="0" collapsed="false">
      <c r="A91" s="0" t="n">
        <v>1442</v>
      </c>
      <c r="B91" s="2" t="n">
        <v>45335</v>
      </c>
      <c r="C91" s="3" t="s">
        <v>16</v>
      </c>
      <c r="D91" s="3" t="s">
        <v>20</v>
      </c>
      <c r="E91" s="3" t="s">
        <v>34</v>
      </c>
      <c r="F91" s="3" t="s">
        <v>33</v>
      </c>
      <c r="G91" s="0" t="n">
        <v>6</v>
      </c>
      <c r="H91" s="4" t="n">
        <v>114.76</v>
      </c>
      <c r="I91" s="4" t="n">
        <v>85.2</v>
      </c>
      <c r="J91" s="4" t="n">
        <f aca="false">G91*H91</f>
        <v>688.56</v>
      </c>
      <c r="K91" s="4" t="n">
        <f aca="false">G91*I91</f>
        <v>511.2</v>
      </c>
      <c r="L91" s="4" t="n">
        <f aca="false">J91-K91</f>
        <v>177.36</v>
      </c>
    </row>
    <row r="92" customFormat="false" ht="15" hidden="false" customHeight="false" outlineLevel="0" collapsed="false">
      <c r="A92" s="0" t="n">
        <v>1600</v>
      </c>
      <c r="B92" s="2" t="n">
        <v>45335</v>
      </c>
      <c r="C92" s="3" t="s">
        <v>12</v>
      </c>
      <c r="D92" s="3" t="s">
        <v>17</v>
      </c>
      <c r="E92" s="3" t="s">
        <v>27</v>
      </c>
      <c r="F92" s="3" t="s">
        <v>22</v>
      </c>
      <c r="G92" s="0" t="n">
        <v>31</v>
      </c>
      <c r="H92" s="4" t="n">
        <v>159.89</v>
      </c>
      <c r="I92" s="4" t="n">
        <v>110.11</v>
      </c>
      <c r="J92" s="4" t="n">
        <f aca="false">G92*H92</f>
        <v>4956.59</v>
      </c>
      <c r="K92" s="4" t="n">
        <f aca="false">G92*I92</f>
        <v>3413.41</v>
      </c>
      <c r="L92" s="4" t="n">
        <f aca="false">J92-K92</f>
        <v>1543.18</v>
      </c>
    </row>
    <row r="93" customFormat="false" ht="15" hidden="false" customHeight="false" outlineLevel="0" collapsed="false">
      <c r="A93" s="0" t="n">
        <v>1106</v>
      </c>
      <c r="B93" s="2" t="n">
        <v>45336</v>
      </c>
      <c r="C93" s="3" t="s">
        <v>16</v>
      </c>
      <c r="D93" s="3" t="s">
        <v>29</v>
      </c>
      <c r="E93" s="3" t="s">
        <v>41</v>
      </c>
      <c r="F93" s="3" t="s">
        <v>22</v>
      </c>
      <c r="G93" s="0" t="n">
        <v>4</v>
      </c>
      <c r="H93" s="4" t="n">
        <v>259.03</v>
      </c>
      <c r="I93" s="4" t="n">
        <v>175.65</v>
      </c>
      <c r="J93" s="4" t="n">
        <f aca="false">G93*H93</f>
        <v>1036.12</v>
      </c>
      <c r="K93" s="4" t="n">
        <f aca="false">G93*I93</f>
        <v>702.6</v>
      </c>
      <c r="L93" s="4" t="n">
        <f aca="false">J93-K93</f>
        <v>333.52</v>
      </c>
    </row>
    <row r="94" customFormat="false" ht="15" hidden="false" customHeight="false" outlineLevel="0" collapsed="false">
      <c r="A94" s="0" t="n">
        <v>1559</v>
      </c>
      <c r="B94" s="2" t="n">
        <v>45336</v>
      </c>
      <c r="C94" s="3" t="s">
        <v>26</v>
      </c>
      <c r="D94" s="3" t="s">
        <v>17</v>
      </c>
      <c r="E94" s="3" t="s">
        <v>35</v>
      </c>
      <c r="F94" s="3" t="s">
        <v>19</v>
      </c>
      <c r="G94" s="0" t="n">
        <v>11</v>
      </c>
      <c r="H94" s="4" t="n">
        <v>719.81</v>
      </c>
      <c r="I94" s="4" t="n">
        <v>489.72</v>
      </c>
      <c r="J94" s="4" t="n">
        <f aca="false">G94*H94</f>
        <v>7917.91</v>
      </c>
      <c r="K94" s="4" t="n">
        <f aca="false">G94*I94</f>
        <v>5386.92</v>
      </c>
      <c r="L94" s="4" t="n">
        <f aca="false">J94-K94</f>
        <v>2530.99</v>
      </c>
    </row>
    <row r="95" customFormat="false" ht="15" hidden="false" customHeight="false" outlineLevel="0" collapsed="false">
      <c r="A95" s="0" t="n">
        <v>1759</v>
      </c>
      <c r="B95" s="2" t="n">
        <v>45336</v>
      </c>
      <c r="C95" s="3" t="s">
        <v>12</v>
      </c>
      <c r="D95" s="3" t="s">
        <v>13</v>
      </c>
      <c r="E95" s="3" t="s">
        <v>31</v>
      </c>
      <c r="F95" s="3" t="s">
        <v>15</v>
      </c>
      <c r="G95" s="0" t="n">
        <v>5</v>
      </c>
      <c r="H95" s="4" t="n">
        <v>44.18</v>
      </c>
      <c r="I95" s="4" t="n">
        <v>33.05</v>
      </c>
      <c r="J95" s="4" t="n">
        <f aca="false">G95*H95</f>
        <v>220.9</v>
      </c>
      <c r="K95" s="4" t="n">
        <f aca="false">G95*I95</f>
        <v>165.25</v>
      </c>
      <c r="L95" s="4" t="n">
        <f aca="false">J95-K95</f>
        <v>55.65</v>
      </c>
    </row>
    <row r="96" customFormat="false" ht="15" hidden="false" customHeight="false" outlineLevel="0" collapsed="false">
      <c r="A96" s="0" t="n">
        <v>2591</v>
      </c>
      <c r="B96" s="2" t="n">
        <v>45336</v>
      </c>
      <c r="C96" s="3" t="s">
        <v>16</v>
      </c>
      <c r="D96" s="3" t="s">
        <v>29</v>
      </c>
      <c r="E96" s="3" t="s">
        <v>37</v>
      </c>
      <c r="F96" s="3" t="s">
        <v>25</v>
      </c>
      <c r="G96" s="0" t="n">
        <v>17</v>
      </c>
      <c r="H96" s="4" t="n">
        <v>324.01</v>
      </c>
      <c r="I96" s="4" t="n">
        <v>196.61</v>
      </c>
      <c r="J96" s="4" t="n">
        <f aca="false">G96*H96</f>
        <v>5508.17</v>
      </c>
      <c r="K96" s="4" t="n">
        <f aca="false">G96*I96</f>
        <v>3342.37</v>
      </c>
      <c r="L96" s="4" t="n">
        <f aca="false">J96-K96</f>
        <v>2165.8</v>
      </c>
    </row>
    <row r="97" customFormat="false" ht="15" hidden="false" customHeight="false" outlineLevel="0" collapsed="false">
      <c r="A97" s="0" t="n">
        <v>1305</v>
      </c>
      <c r="B97" s="2" t="n">
        <v>45337</v>
      </c>
      <c r="C97" s="3" t="s">
        <v>32</v>
      </c>
      <c r="D97" s="3" t="s">
        <v>20</v>
      </c>
      <c r="E97" s="3" t="s">
        <v>21</v>
      </c>
      <c r="F97" s="3" t="s">
        <v>15</v>
      </c>
      <c r="G97" s="0" t="n">
        <v>15</v>
      </c>
      <c r="H97" s="4" t="n">
        <v>215.01</v>
      </c>
      <c r="I97" s="4" t="n">
        <v>112.7</v>
      </c>
      <c r="J97" s="4" t="n">
        <f aca="false">G97*H97</f>
        <v>3225.15</v>
      </c>
      <c r="K97" s="4" t="n">
        <f aca="false">G97*I97</f>
        <v>1690.5</v>
      </c>
      <c r="L97" s="4" t="n">
        <f aca="false">J97-K97</f>
        <v>1534.65</v>
      </c>
    </row>
    <row r="98" customFormat="false" ht="15" hidden="false" customHeight="false" outlineLevel="0" collapsed="false">
      <c r="A98" s="0" t="n">
        <v>2087</v>
      </c>
      <c r="B98" s="2" t="n">
        <v>45337</v>
      </c>
      <c r="C98" s="3" t="s">
        <v>12</v>
      </c>
      <c r="D98" s="3" t="s">
        <v>29</v>
      </c>
      <c r="E98" s="3" t="s">
        <v>41</v>
      </c>
      <c r="F98" s="3" t="s">
        <v>25</v>
      </c>
      <c r="G98" s="0" t="n">
        <v>22</v>
      </c>
      <c r="H98" s="4" t="n">
        <v>143.31</v>
      </c>
      <c r="I98" s="4" t="n">
        <v>95.85</v>
      </c>
      <c r="J98" s="4" t="n">
        <f aca="false">G98*H98</f>
        <v>3152.82</v>
      </c>
      <c r="K98" s="4" t="n">
        <f aca="false">G98*I98</f>
        <v>2108.7</v>
      </c>
      <c r="L98" s="4" t="n">
        <f aca="false">J98-K98</f>
        <v>1044.12</v>
      </c>
    </row>
    <row r="99" customFormat="false" ht="15" hidden="false" customHeight="false" outlineLevel="0" collapsed="false">
      <c r="A99" s="0" t="n">
        <v>2387</v>
      </c>
      <c r="B99" s="2" t="n">
        <v>45337</v>
      </c>
      <c r="C99" s="3" t="s">
        <v>32</v>
      </c>
      <c r="D99" s="3" t="s">
        <v>29</v>
      </c>
      <c r="E99" s="3" t="s">
        <v>30</v>
      </c>
      <c r="F99" s="3" t="s">
        <v>36</v>
      </c>
      <c r="G99" s="0" t="n">
        <v>38</v>
      </c>
      <c r="H99" s="4" t="n">
        <v>279.3</v>
      </c>
      <c r="I99" s="4" t="n">
        <v>204.52</v>
      </c>
      <c r="J99" s="4" t="n">
        <f aca="false">G99*H99</f>
        <v>10613.4</v>
      </c>
      <c r="K99" s="4" t="n">
        <f aca="false">G99*I99</f>
        <v>7771.76</v>
      </c>
      <c r="L99" s="4" t="n">
        <f aca="false">J99-K99</f>
        <v>2841.64</v>
      </c>
    </row>
    <row r="100" customFormat="false" ht="15" hidden="false" customHeight="false" outlineLevel="0" collapsed="false">
      <c r="A100" s="0" t="n">
        <v>2568</v>
      </c>
      <c r="B100" s="2" t="n">
        <v>45337</v>
      </c>
      <c r="C100" s="3" t="s">
        <v>16</v>
      </c>
      <c r="D100" s="3" t="s">
        <v>17</v>
      </c>
      <c r="E100" s="3" t="s">
        <v>27</v>
      </c>
      <c r="F100" s="3" t="s">
        <v>25</v>
      </c>
      <c r="G100" s="0" t="n">
        <v>3</v>
      </c>
      <c r="H100" s="4" t="n">
        <v>234.06</v>
      </c>
      <c r="I100" s="4" t="n">
        <v>130.48</v>
      </c>
      <c r="J100" s="4" t="n">
        <f aca="false">G100*H100</f>
        <v>702.18</v>
      </c>
      <c r="K100" s="4" t="n">
        <f aca="false">G100*I100</f>
        <v>391.44</v>
      </c>
      <c r="L100" s="4" t="n">
        <f aca="false">J100-K100</f>
        <v>310.74</v>
      </c>
    </row>
    <row r="101" customFormat="false" ht="15" hidden="false" customHeight="false" outlineLevel="0" collapsed="false">
      <c r="A101" s="0" t="n">
        <v>1550</v>
      </c>
      <c r="B101" s="2" t="n">
        <v>45338</v>
      </c>
      <c r="C101" s="3" t="s">
        <v>12</v>
      </c>
      <c r="D101" s="3" t="s">
        <v>13</v>
      </c>
      <c r="E101" s="3" t="s">
        <v>45</v>
      </c>
      <c r="F101" s="3" t="s">
        <v>19</v>
      </c>
      <c r="G101" s="0" t="n">
        <v>4</v>
      </c>
      <c r="H101" s="4" t="n">
        <v>49.78</v>
      </c>
      <c r="I101" s="4" t="n">
        <v>35.29</v>
      </c>
      <c r="J101" s="4" t="n">
        <f aca="false">G101*H101</f>
        <v>199.12</v>
      </c>
      <c r="K101" s="4" t="n">
        <f aca="false">G101*I101</f>
        <v>141.16</v>
      </c>
      <c r="L101" s="4" t="n">
        <f aca="false">J101-K101</f>
        <v>57.96</v>
      </c>
    </row>
    <row r="102" customFormat="false" ht="15" hidden="false" customHeight="false" outlineLevel="0" collapsed="false">
      <c r="A102" s="0" t="n">
        <v>2019</v>
      </c>
      <c r="B102" s="2" t="n">
        <v>45338</v>
      </c>
      <c r="C102" s="3" t="s">
        <v>26</v>
      </c>
      <c r="D102" s="3" t="s">
        <v>29</v>
      </c>
      <c r="E102" s="3" t="s">
        <v>41</v>
      </c>
      <c r="F102" s="3" t="s">
        <v>36</v>
      </c>
      <c r="G102" s="0" t="n">
        <v>29</v>
      </c>
      <c r="H102" s="4" t="n">
        <v>398.22</v>
      </c>
      <c r="I102" s="4" t="n">
        <v>272.13</v>
      </c>
      <c r="J102" s="4" t="n">
        <f aca="false">G102*H102</f>
        <v>11548.38</v>
      </c>
      <c r="K102" s="4" t="n">
        <f aca="false">G102*I102</f>
        <v>7891.77</v>
      </c>
      <c r="L102" s="4" t="n">
        <f aca="false">J102-K102</f>
        <v>3656.61</v>
      </c>
    </row>
    <row r="103" customFormat="false" ht="15" hidden="false" customHeight="false" outlineLevel="0" collapsed="false">
      <c r="A103" s="0" t="n">
        <v>2474</v>
      </c>
      <c r="B103" s="2" t="n">
        <v>45339</v>
      </c>
      <c r="C103" s="3" t="s">
        <v>12</v>
      </c>
      <c r="D103" s="3" t="s">
        <v>13</v>
      </c>
      <c r="E103" s="3" t="s">
        <v>31</v>
      </c>
      <c r="F103" s="3" t="s">
        <v>25</v>
      </c>
      <c r="G103" s="0" t="n">
        <v>4</v>
      </c>
      <c r="H103" s="4" t="n">
        <v>24.12</v>
      </c>
      <c r="I103" s="4" t="n">
        <v>17.02</v>
      </c>
      <c r="J103" s="4" t="n">
        <f aca="false">G103*H103</f>
        <v>96.48</v>
      </c>
      <c r="K103" s="4" t="n">
        <f aca="false">G103*I103</f>
        <v>68.08</v>
      </c>
      <c r="L103" s="4" t="n">
        <f aca="false">J103-K103</f>
        <v>28.4</v>
      </c>
    </row>
    <row r="104" customFormat="false" ht="15" hidden="false" customHeight="false" outlineLevel="0" collapsed="false">
      <c r="A104" s="0" t="n">
        <v>1848</v>
      </c>
      <c r="B104" s="2" t="n">
        <v>45340</v>
      </c>
      <c r="C104" s="3" t="s">
        <v>12</v>
      </c>
      <c r="D104" s="3" t="s">
        <v>17</v>
      </c>
      <c r="E104" s="3" t="s">
        <v>27</v>
      </c>
      <c r="F104" s="3" t="s">
        <v>22</v>
      </c>
      <c r="G104" s="0" t="n">
        <v>21</v>
      </c>
      <c r="H104" s="4" t="n">
        <v>238.06</v>
      </c>
      <c r="I104" s="4" t="n">
        <v>130.03</v>
      </c>
      <c r="J104" s="4" t="n">
        <f aca="false">G104*H104</f>
        <v>4999.26</v>
      </c>
      <c r="K104" s="4" t="n">
        <f aca="false">G104*I104</f>
        <v>2730.63</v>
      </c>
      <c r="L104" s="4" t="n">
        <f aca="false">J104-K104</f>
        <v>2268.63</v>
      </c>
    </row>
    <row r="105" customFormat="false" ht="15" hidden="false" customHeight="false" outlineLevel="0" collapsed="false">
      <c r="A105" s="0" t="n">
        <v>2390</v>
      </c>
      <c r="B105" s="2" t="n">
        <v>45340</v>
      </c>
      <c r="C105" s="3" t="s">
        <v>26</v>
      </c>
      <c r="D105" s="3" t="s">
        <v>29</v>
      </c>
      <c r="E105" s="3" t="s">
        <v>41</v>
      </c>
      <c r="F105" s="3" t="s">
        <v>22</v>
      </c>
      <c r="G105" s="0" t="n">
        <v>33</v>
      </c>
      <c r="H105" s="4" t="n">
        <v>402.05</v>
      </c>
      <c r="I105" s="4" t="n">
        <v>278.31</v>
      </c>
      <c r="J105" s="4" t="n">
        <f aca="false">G105*H105</f>
        <v>13267.65</v>
      </c>
      <c r="K105" s="4" t="n">
        <f aca="false">G105*I105</f>
        <v>9184.23</v>
      </c>
      <c r="L105" s="4" t="n">
        <f aca="false">J105-K105</f>
        <v>4083.42</v>
      </c>
    </row>
    <row r="106" customFormat="false" ht="15" hidden="false" customHeight="false" outlineLevel="0" collapsed="false">
      <c r="A106" s="0" t="n">
        <v>2789</v>
      </c>
      <c r="B106" s="2" t="n">
        <v>45340</v>
      </c>
      <c r="C106" s="3" t="s">
        <v>26</v>
      </c>
      <c r="D106" s="3" t="s">
        <v>20</v>
      </c>
      <c r="E106" s="3" t="s">
        <v>42</v>
      </c>
      <c r="F106" s="3" t="s">
        <v>39</v>
      </c>
      <c r="G106" s="0" t="n">
        <v>23</v>
      </c>
      <c r="H106" s="4" t="n">
        <v>227.97</v>
      </c>
      <c r="I106" s="4" t="n">
        <v>116.83</v>
      </c>
      <c r="J106" s="4" t="n">
        <f aca="false">G106*H106</f>
        <v>5243.31</v>
      </c>
      <c r="K106" s="4" t="n">
        <f aca="false">G106*I106</f>
        <v>2687.09</v>
      </c>
      <c r="L106" s="4" t="n">
        <f aca="false">J106-K106</f>
        <v>2556.22</v>
      </c>
    </row>
    <row r="107" customFormat="false" ht="15" hidden="false" customHeight="false" outlineLevel="0" collapsed="false">
      <c r="A107" s="0" t="n">
        <v>1658</v>
      </c>
      <c r="B107" s="2" t="n">
        <v>45341</v>
      </c>
      <c r="C107" s="3" t="s">
        <v>32</v>
      </c>
      <c r="D107" s="3" t="s">
        <v>29</v>
      </c>
      <c r="E107" s="3" t="s">
        <v>30</v>
      </c>
      <c r="F107" s="3" t="s">
        <v>25</v>
      </c>
      <c r="G107" s="0" t="n">
        <v>36</v>
      </c>
      <c r="H107" s="4" t="n">
        <v>247.52</v>
      </c>
      <c r="I107" s="4" t="n">
        <v>183.48</v>
      </c>
      <c r="J107" s="4" t="n">
        <f aca="false">G107*H107</f>
        <v>8910.72</v>
      </c>
      <c r="K107" s="4" t="n">
        <f aca="false">G107*I107</f>
        <v>6605.28</v>
      </c>
      <c r="L107" s="4" t="n">
        <f aca="false">J107-K107</f>
        <v>2305.44</v>
      </c>
    </row>
    <row r="108" customFormat="false" ht="15" hidden="false" customHeight="false" outlineLevel="0" collapsed="false">
      <c r="A108" s="0" t="n">
        <v>1886</v>
      </c>
      <c r="B108" s="2" t="n">
        <v>45341</v>
      </c>
      <c r="C108" s="3" t="s">
        <v>32</v>
      </c>
      <c r="D108" s="3" t="s">
        <v>17</v>
      </c>
      <c r="E108" s="3" t="s">
        <v>40</v>
      </c>
      <c r="F108" s="3" t="s">
        <v>22</v>
      </c>
      <c r="G108" s="0" t="n">
        <v>23</v>
      </c>
      <c r="H108" s="4" t="n">
        <v>691.41</v>
      </c>
      <c r="I108" s="4" t="n">
        <v>413.23</v>
      </c>
      <c r="J108" s="4" t="n">
        <f aca="false">G108*H108</f>
        <v>15902.43</v>
      </c>
      <c r="K108" s="4" t="n">
        <f aca="false">G108*I108</f>
        <v>9504.29</v>
      </c>
      <c r="L108" s="4" t="n">
        <f aca="false">J108-K108</f>
        <v>6398.14</v>
      </c>
    </row>
    <row r="109" customFormat="false" ht="15" hidden="false" customHeight="false" outlineLevel="0" collapsed="false">
      <c r="A109" s="0" t="n">
        <v>2678</v>
      </c>
      <c r="B109" s="2" t="n">
        <v>45341</v>
      </c>
      <c r="C109" s="3" t="s">
        <v>26</v>
      </c>
      <c r="D109" s="3" t="s">
        <v>20</v>
      </c>
      <c r="E109" s="3" t="s">
        <v>38</v>
      </c>
      <c r="F109" s="3" t="s">
        <v>39</v>
      </c>
      <c r="G109" s="0" t="n">
        <v>20</v>
      </c>
      <c r="H109" s="4" t="n">
        <v>182.11</v>
      </c>
      <c r="I109" s="4" t="n">
        <v>91.19</v>
      </c>
      <c r="J109" s="4" t="n">
        <f aca="false">G109*H109</f>
        <v>3642.2</v>
      </c>
      <c r="K109" s="4" t="n">
        <f aca="false">G109*I109</f>
        <v>1823.8</v>
      </c>
      <c r="L109" s="4" t="n">
        <f aca="false">J109-K109</f>
        <v>1818.4</v>
      </c>
    </row>
    <row r="110" customFormat="false" ht="15" hidden="false" customHeight="false" outlineLevel="0" collapsed="false">
      <c r="A110" s="0" t="n">
        <v>2406</v>
      </c>
      <c r="B110" s="2" t="n">
        <v>45342</v>
      </c>
      <c r="C110" s="3" t="s">
        <v>32</v>
      </c>
      <c r="D110" s="3" t="s">
        <v>29</v>
      </c>
      <c r="E110" s="3" t="s">
        <v>30</v>
      </c>
      <c r="F110" s="3" t="s">
        <v>15</v>
      </c>
      <c r="G110" s="0" t="n">
        <v>36</v>
      </c>
      <c r="H110" s="4" t="n">
        <v>249.53</v>
      </c>
      <c r="I110" s="4" t="n">
        <v>144.22</v>
      </c>
      <c r="J110" s="4" t="n">
        <f aca="false">G110*H110</f>
        <v>8983.08</v>
      </c>
      <c r="K110" s="4" t="n">
        <f aca="false">G110*I110</f>
        <v>5191.92</v>
      </c>
      <c r="L110" s="4" t="n">
        <f aca="false">J110-K110</f>
        <v>3791.16</v>
      </c>
    </row>
    <row r="111" customFormat="false" ht="15" hidden="false" customHeight="false" outlineLevel="0" collapsed="false">
      <c r="A111" s="0" t="n">
        <v>1024</v>
      </c>
      <c r="B111" s="2" t="n">
        <v>45343</v>
      </c>
      <c r="C111" s="3" t="s">
        <v>16</v>
      </c>
      <c r="D111" s="3" t="s">
        <v>20</v>
      </c>
      <c r="E111" s="3" t="s">
        <v>34</v>
      </c>
      <c r="F111" s="3" t="s">
        <v>22</v>
      </c>
      <c r="G111" s="0" t="n">
        <v>33</v>
      </c>
      <c r="H111" s="4" t="n">
        <v>209.06</v>
      </c>
      <c r="I111" s="4" t="n">
        <v>116.82</v>
      </c>
      <c r="J111" s="4" t="n">
        <f aca="false">G111*H111</f>
        <v>6898.98</v>
      </c>
      <c r="K111" s="4" t="n">
        <f aca="false">G111*I111</f>
        <v>3855.06</v>
      </c>
      <c r="L111" s="4" t="n">
        <f aca="false">J111-K111</f>
        <v>3043.92</v>
      </c>
    </row>
    <row r="112" customFormat="false" ht="15" hidden="false" customHeight="false" outlineLevel="0" collapsed="false">
      <c r="A112" s="0" t="n">
        <v>1671</v>
      </c>
      <c r="B112" s="2" t="n">
        <v>45344</v>
      </c>
      <c r="C112" s="3" t="s">
        <v>32</v>
      </c>
      <c r="D112" s="3" t="s">
        <v>17</v>
      </c>
      <c r="E112" s="3" t="s">
        <v>27</v>
      </c>
      <c r="F112" s="3" t="s">
        <v>36</v>
      </c>
      <c r="G112" s="0" t="n">
        <v>27</v>
      </c>
      <c r="H112" s="4" t="n">
        <v>772.84</v>
      </c>
      <c r="I112" s="4" t="n">
        <v>442.6</v>
      </c>
      <c r="J112" s="4" t="n">
        <f aca="false">G112*H112</f>
        <v>20866.68</v>
      </c>
      <c r="K112" s="4" t="n">
        <f aca="false">G112*I112</f>
        <v>11950.2</v>
      </c>
      <c r="L112" s="4" t="n">
        <f aca="false">J112-K112</f>
        <v>8916.48</v>
      </c>
    </row>
    <row r="113" customFormat="false" ht="15" hidden="false" customHeight="false" outlineLevel="0" collapsed="false">
      <c r="A113" s="0" t="n">
        <v>2129</v>
      </c>
      <c r="B113" s="2" t="n">
        <v>45344</v>
      </c>
      <c r="C113" s="3" t="s">
        <v>32</v>
      </c>
      <c r="D113" s="3" t="s">
        <v>17</v>
      </c>
      <c r="E113" s="3" t="s">
        <v>44</v>
      </c>
      <c r="F113" s="3" t="s">
        <v>28</v>
      </c>
      <c r="G113" s="0" t="n">
        <v>8</v>
      </c>
      <c r="H113" s="4" t="n">
        <v>431.19</v>
      </c>
      <c r="I113" s="4" t="n">
        <v>280.09</v>
      </c>
      <c r="J113" s="4" t="n">
        <f aca="false">G113*H113</f>
        <v>3449.52</v>
      </c>
      <c r="K113" s="4" t="n">
        <f aca="false">G113*I113</f>
        <v>2240.72</v>
      </c>
      <c r="L113" s="4" t="n">
        <f aca="false">J113-K113</f>
        <v>1208.8</v>
      </c>
    </row>
    <row r="114" customFormat="false" ht="15" hidden="false" customHeight="false" outlineLevel="0" collapsed="false">
      <c r="A114" s="0" t="n">
        <v>2359</v>
      </c>
      <c r="B114" s="2" t="n">
        <v>45344</v>
      </c>
      <c r="C114" s="3" t="s">
        <v>12</v>
      </c>
      <c r="D114" s="3" t="s">
        <v>13</v>
      </c>
      <c r="E114" s="3" t="s">
        <v>45</v>
      </c>
      <c r="F114" s="3" t="s">
        <v>15</v>
      </c>
      <c r="G114" s="0" t="n">
        <v>24</v>
      </c>
      <c r="H114" s="4" t="n">
        <v>29.51</v>
      </c>
      <c r="I114" s="4" t="n">
        <v>17.95</v>
      </c>
      <c r="J114" s="4" t="n">
        <f aca="false">G114*H114</f>
        <v>708.24</v>
      </c>
      <c r="K114" s="4" t="n">
        <f aca="false">G114*I114</f>
        <v>430.8</v>
      </c>
      <c r="L114" s="4" t="n">
        <f aca="false">J114-K114</f>
        <v>277.44</v>
      </c>
    </row>
    <row r="115" customFormat="false" ht="15" hidden="false" customHeight="false" outlineLevel="0" collapsed="false">
      <c r="A115" s="0" t="n">
        <v>1533</v>
      </c>
      <c r="B115" s="2" t="n">
        <v>45345</v>
      </c>
      <c r="C115" s="3" t="s">
        <v>12</v>
      </c>
      <c r="D115" s="3" t="s">
        <v>20</v>
      </c>
      <c r="E115" s="3" t="s">
        <v>21</v>
      </c>
      <c r="F115" s="3" t="s">
        <v>28</v>
      </c>
      <c r="G115" s="0" t="n">
        <v>20</v>
      </c>
      <c r="H115" s="4" t="n">
        <v>85.43</v>
      </c>
      <c r="I115" s="4" t="n">
        <v>57.31</v>
      </c>
      <c r="J115" s="4" t="n">
        <f aca="false">G115*H115</f>
        <v>1708.6</v>
      </c>
      <c r="K115" s="4" t="n">
        <f aca="false">G115*I115</f>
        <v>1146.2</v>
      </c>
      <c r="L115" s="4" t="n">
        <f aca="false">J115-K115</f>
        <v>562.4</v>
      </c>
    </row>
    <row r="116" customFormat="false" ht="15" hidden="false" customHeight="false" outlineLevel="0" collapsed="false">
      <c r="A116" s="0" t="n">
        <v>2203</v>
      </c>
      <c r="B116" s="2" t="n">
        <v>45346</v>
      </c>
      <c r="C116" s="3" t="s">
        <v>32</v>
      </c>
      <c r="D116" s="3" t="s">
        <v>17</v>
      </c>
      <c r="E116" s="3" t="s">
        <v>27</v>
      </c>
      <c r="F116" s="3" t="s">
        <v>25</v>
      </c>
      <c r="G116" s="0" t="n">
        <v>34</v>
      </c>
      <c r="H116" s="4" t="n">
        <v>407.52</v>
      </c>
      <c r="I116" s="4" t="n">
        <v>282.59</v>
      </c>
      <c r="J116" s="4" t="n">
        <f aca="false">G116*H116</f>
        <v>13855.68</v>
      </c>
      <c r="K116" s="4" t="n">
        <f aca="false">G116*I116</f>
        <v>9608.06</v>
      </c>
      <c r="L116" s="4" t="n">
        <f aca="false">J116-K116</f>
        <v>4247.62</v>
      </c>
    </row>
    <row r="117" customFormat="false" ht="15" hidden="false" customHeight="false" outlineLevel="0" collapsed="false">
      <c r="A117" s="0" t="n">
        <v>2498</v>
      </c>
      <c r="B117" s="2" t="n">
        <v>45346</v>
      </c>
      <c r="C117" s="3" t="s">
        <v>12</v>
      </c>
      <c r="D117" s="3" t="s">
        <v>20</v>
      </c>
      <c r="E117" s="3" t="s">
        <v>34</v>
      </c>
      <c r="F117" s="3" t="s">
        <v>15</v>
      </c>
      <c r="G117" s="0" t="n">
        <v>7</v>
      </c>
      <c r="H117" s="4" t="n">
        <v>273.41</v>
      </c>
      <c r="I117" s="4" t="n">
        <v>187.35</v>
      </c>
      <c r="J117" s="4" t="n">
        <f aca="false">G117*H117</f>
        <v>1913.87</v>
      </c>
      <c r="K117" s="4" t="n">
        <f aca="false">G117*I117</f>
        <v>1311.45</v>
      </c>
      <c r="L117" s="4" t="n">
        <f aca="false">J117-K117</f>
        <v>602.42</v>
      </c>
    </row>
    <row r="118" customFormat="false" ht="15" hidden="false" customHeight="false" outlineLevel="0" collapsed="false">
      <c r="A118" s="0" t="n">
        <v>2489</v>
      </c>
      <c r="B118" s="2" t="n">
        <v>45347</v>
      </c>
      <c r="C118" s="3" t="s">
        <v>23</v>
      </c>
      <c r="D118" s="3" t="s">
        <v>20</v>
      </c>
      <c r="E118" s="3" t="s">
        <v>34</v>
      </c>
      <c r="F118" s="3" t="s">
        <v>39</v>
      </c>
      <c r="G118" s="0" t="n">
        <v>38</v>
      </c>
      <c r="H118" s="4" t="n">
        <v>34.08</v>
      </c>
      <c r="I118" s="4" t="n">
        <v>20.18</v>
      </c>
      <c r="J118" s="4" t="n">
        <f aca="false">G118*H118</f>
        <v>1295.04</v>
      </c>
      <c r="K118" s="4" t="n">
        <f aca="false">G118*I118</f>
        <v>766.84</v>
      </c>
      <c r="L118" s="4" t="n">
        <f aca="false">J118-K118</f>
        <v>528.2</v>
      </c>
    </row>
    <row r="119" customFormat="false" ht="15" hidden="false" customHeight="false" outlineLevel="0" collapsed="false">
      <c r="A119" s="0" t="n">
        <v>1008</v>
      </c>
      <c r="B119" s="2" t="n">
        <v>45349</v>
      </c>
      <c r="C119" s="3" t="s">
        <v>12</v>
      </c>
      <c r="D119" s="3" t="s">
        <v>17</v>
      </c>
      <c r="E119" s="3" t="s">
        <v>40</v>
      </c>
      <c r="F119" s="3" t="s">
        <v>36</v>
      </c>
      <c r="G119" s="0" t="n">
        <v>18</v>
      </c>
      <c r="H119" s="4" t="n">
        <v>115.6</v>
      </c>
      <c r="I119" s="4" t="n">
        <v>63.94</v>
      </c>
      <c r="J119" s="4" t="n">
        <f aca="false">G119*H119</f>
        <v>2080.8</v>
      </c>
      <c r="K119" s="4" t="n">
        <f aca="false">G119*I119</f>
        <v>1150.92</v>
      </c>
      <c r="L119" s="4" t="n">
        <f aca="false">J119-K119</f>
        <v>929.88</v>
      </c>
    </row>
    <row r="120" customFormat="false" ht="15" hidden="false" customHeight="false" outlineLevel="0" collapsed="false">
      <c r="A120" s="0" t="n">
        <v>1126</v>
      </c>
      <c r="B120" s="2" t="n">
        <v>45349</v>
      </c>
      <c r="C120" s="3" t="s">
        <v>32</v>
      </c>
      <c r="D120" s="3" t="s">
        <v>17</v>
      </c>
      <c r="E120" s="3" t="s">
        <v>40</v>
      </c>
      <c r="F120" s="3" t="s">
        <v>28</v>
      </c>
      <c r="G120" s="0" t="n">
        <v>29</v>
      </c>
      <c r="H120" s="4" t="n">
        <v>91.59</v>
      </c>
      <c r="I120" s="4" t="n">
        <v>68.17</v>
      </c>
      <c r="J120" s="4" t="n">
        <f aca="false">G120*H120</f>
        <v>2656.11</v>
      </c>
      <c r="K120" s="4" t="n">
        <f aca="false">G120*I120</f>
        <v>1976.93</v>
      </c>
      <c r="L120" s="4" t="n">
        <f aca="false">J120-K120</f>
        <v>679.18</v>
      </c>
    </row>
    <row r="121" customFormat="false" ht="15" hidden="false" customHeight="false" outlineLevel="0" collapsed="false">
      <c r="A121" s="0" t="n">
        <v>1315</v>
      </c>
      <c r="B121" s="2" t="n">
        <v>45349</v>
      </c>
      <c r="C121" s="3" t="s">
        <v>16</v>
      </c>
      <c r="D121" s="3" t="s">
        <v>13</v>
      </c>
      <c r="E121" s="3" t="s">
        <v>45</v>
      </c>
      <c r="F121" s="3" t="s">
        <v>15</v>
      </c>
      <c r="G121" s="0" t="n">
        <v>33</v>
      </c>
      <c r="H121" s="4" t="n">
        <v>47.49</v>
      </c>
      <c r="I121" s="4" t="n">
        <v>25.81</v>
      </c>
      <c r="J121" s="4" t="n">
        <f aca="false">G121*H121</f>
        <v>1567.17</v>
      </c>
      <c r="K121" s="4" t="n">
        <f aca="false">G121*I121</f>
        <v>851.73</v>
      </c>
      <c r="L121" s="4" t="n">
        <f aca="false">J121-K121</f>
        <v>715.44</v>
      </c>
    </row>
    <row r="122" customFormat="false" ht="15" hidden="false" customHeight="false" outlineLevel="0" collapsed="false">
      <c r="A122" s="0" t="n">
        <v>1586</v>
      </c>
      <c r="B122" s="2" t="n">
        <v>45349</v>
      </c>
      <c r="C122" s="3" t="s">
        <v>32</v>
      </c>
      <c r="D122" s="3" t="s">
        <v>20</v>
      </c>
      <c r="E122" s="3" t="s">
        <v>34</v>
      </c>
      <c r="F122" s="3" t="s">
        <v>36</v>
      </c>
      <c r="G122" s="0" t="n">
        <v>24</v>
      </c>
      <c r="H122" s="4" t="n">
        <v>106.26</v>
      </c>
      <c r="I122" s="4" t="n">
        <v>64.97</v>
      </c>
      <c r="J122" s="4" t="n">
        <f aca="false">G122*H122</f>
        <v>2550.24</v>
      </c>
      <c r="K122" s="4" t="n">
        <f aca="false">G122*I122</f>
        <v>1559.28</v>
      </c>
      <c r="L122" s="4" t="n">
        <f aca="false">J122-K122</f>
        <v>990.96</v>
      </c>
    </row>
    <row r="123" customFormat="false" ht="15" hidden="false" customHeight="false" outlineLevel="0" collapsed="false">
      <c r="A123" s="0" t="n">
        <v>2724</v>
      </c>
      <c r="B123" s="2" t="n">
        <v>45349</v>
      </c>
      <c r="C123" s="3" t="s">
        <v>23</v>
      </c>
      <c r="D123" s="3" t="s">
        <v>20</v>
      </c>
      <c r="E123" s="3" t="s">
        <v>34</v>
      </c>
      <c r="F123" s="3" t="s">
        <v>28</v>
      </c>
      <c r="G123" s="0" t="n">
        <v>15</v>
      </c>
      <c r="H123" s="4" t="n">
        <v>28.4</v>
      </c>
      <c r="I123" s="4" t="n">
        <v>18.78</v>
      </c>
      <c r="J123" s="4" t="n">
        <f aca="false">G123*H123</f>
        <v>426</v>
      </c>
      <c r="K123" s="4" t="n">
        <f aca="false">G123*I123</f>
        <v>281.7</v>
      </c>
      <c r="L123" s="4" t="n">
        <f aca="false">J123-K123</f>
        <v>144.3</v>
      </c>
    </row>
    <row r="124" customFormat="false" ht="15" hidden="false" customHeight="false" outlineLevel="0" collapsed="false">
      <c r="A124" s="0" t="n">
        <v>1404</v>
      </c>
      <c r="B124" s="2" t="n">
        <v>45350</v>
      </c>
      <c r="C124" s="3" t="s">
        <v>12</v>
      </c>
      <c r="D124" s="3" t="s">
        <v>20</v>
      </c>
      <c r="E124" s="3" t="s">
        <v>21</v>
      </c>
      <c r="F124" s="3" t="s">
        <v>22</v>
      </c>
      <c r="G124" s="0" t="n">
        <v>13</v>
      </c>
      <c r="H124" s="4" t="n">
        <v>74.53</v>
      </c>
      <c r="I124" s="4" t="n">
        <v>51.87</v>
      </c>
      <c r="J124" s="4" t="n">
        <f aca="false">G124*H124</f>
        <v>968.89</v>
      </c>
      <c r="K124" s="4" t="n">
        <f aca="false">G124*I124</f>
        <v>674.31</v>
      </c>
      <c r="L124" s="4" t="n">
        <f aca="false">J124-K124</f>
        <v>294.58</v>
      </c>
    </row>
    <row r="125" customFormat="false" ht="15" hidden="false" customHeight="false" outlineLevel="0" collapsed="false">
      <c r="A125" s="0" t="n">
        <v>1895</v>
      </c>
      <c r="B125" s="2" t="n">
        <v>45350</v>
      </c>
      <c r="C125" s="3" t="s">
        <v>12</v>
      </c>
      <c r="D125" s="3" t="s">
        <v>17</v>
      </c>
      <c r="E125" s="3" t="s">
        <v>44</v>
      </c>
      <c r="F125" s="3" t="s">
        <v>25</v>
      </c>
      <c r="G125" s="0" t="n">
        <v>19</v>
      </c>
      <c r="H125" s="4" t="n">
        <v>375.69</v>
      </c>
      <c r="I125" s="4" t="n">
        <v>269.95</v>
      </c>
      <c r="J125" s="4" t="n">
        <f aca="false">G125*H125</f>
        <v>7138.11</v>
      </c>
      <c r="K125" s="4" t="n">
        <f aca="false">G125*I125</f>
        <v>5129.05</v>
      </c>
      <c r="L125" s="4" t="n">
        <f aca="false">J125-K125</f>
        <v>2009.06</v>
      </c>
    </row>
    <row r="126" customFormat="false" ht="15" hidden="false" customHeight="false" outlineLevel="0" collapsed="false">
      <c r="A126" s="0" t="n">
        <v>2553</v>
      </c>
      <c r="B126" s="2" t="n">
        <v>45350</v>
      </c>
      <c r="C126" s="3" t="s">
        <v>16</v>
      </c>
      <c r="D126" s="3" t="s">
        <v>13</v>
      </c>
      <c r="E126" s="3" t="s">
        <v>45</v>
      </c>
      <c r="F126" s="3" t="s">
        <v>36</v>
      </c>
      <c r="G126" s="0" t="n">
        <v>31</v>
      </c>
      <c r="H126" s="4" t="n">
        <v>42.15</v>
      </c>
      <c r="I126" s="4" t="n">
        <v>22.29</v>
      </c>
      <c r="J126" s="4" t="n">
        <f aca="false">G126*H126</f>
        <v>1306.65</v>
      </c>
      <c r="K126" s="4" t="n">
        <f aca="false">G126*I126</f>
        <v>690.99</v>
      </c>
      <c r="L126" s="4" t="n">
        <f aca="false">J126-K126</f>
        <v>615.66</v>
      </c>
    </row>
    <row r="127" customFormat="false" ht="15" hidden="false" customHeight="false" outlineLevel="0" collapsed="false">
      <c r="A127" s="0" t="n">
        <v>2675</v>
      </c>
      <c r="B127" s="2" t="n">
        <v>45352</v>
      </c>
      <c r="C127" s="3" t="s">
        <v>26</v>
      </c>
      <c r="D127" s="3" t="s">
        <v>13</v>
      </c>
      <c r="E127" s="3" t="s">
        <v>14</v>
      </c>
      <c r="F127" s="3" t="s">
        <v>22</v>
      </c>
      <c r="G127" s="0" t="n">
        <v>6</v>
      </c>
      <c r="H127" s="4" t="n">
        <v>22.22</v>
      </c>
      <c r="I127" s="4" t="n">
        <v>16.15</v>
      </c>
      <c r="J127" s="4" t="n">
        <f aca="false">G127*H127</f>
        <v>133.32</v>
      </c>
      <c r="K127" s="4" t="n">
        <f aca="false">G127*I127</f>
        <v>96.9</v>
      </c>
      <c r="L127" s="4" t="n">
        <f aca="false">J127-K127</f>
        <v>36.42</v>
      </c>
    </row>
    <row r="128" customFormat="false" ht="15" hidden="false" customHeight="false" outlineLevel="0" collapsed="false">
      <c r="A128" s="0" t="n">
        <v>1728</v>
      </c>
      <c r="B128" s="2" t="n">
        <v>45353</v>
      </c>
      <c r="C128" s="3" t="s">
        <v>12</v>
      </c>
      <c r="D128" s="3" t="s">
        <v>29</v>
      </c>
      <c r="E128" s="3" t="s">
        <v>41</v>
      </c>
      <c r="F128" s="3" t="s">
        <v>33</v>
      </c>
      <c r="G128" s="0" t="n">
        <v>20</v>
      </c>
      <c r="H128" s="4" t="n">
        <v>141.16</v>
      </c>
      <c r="I128" s="4" t="n">
        <v>91.87</v>
      </c>
      <c r="J128" s="4" t="n">
        <f aca="false">G128*H128</f>
        <v>2823.2</v>
      </c>
      <c r="K128" s="4" t="n">
        <f aca="false">G128*I128</f>
        <v>1837.4</v>
      </c>
      <c r="L128" s="4" t="n">
        <f aca="false">J128-K128</f>
        <v>985.8</v>
      </c>
    </row>
    <row r="129" customFormat="false" ht="15" hidden="false" customHeight="false" outlineLevel="0" collapsed="false">
      <c r="A129" s="0" t="n">
        <v>2267</v>
      </c>
      <c r="B129" s="2" t="n">
        <v>45353</v>
      </c>
      <c r="C129" s="3" t="s">
        <v>32</v>
      </c>
      <c r="D129" s="3" t="s">
        <v>17</v>
      </c>
      <c r="E129" s="3" t="s">
        <v>27</v>
      </c>
      <c r="F129" s="3" t="s">
        <v>33</v>
      </c>
      <c r="G129" s="0" t="n">
        <v>31</v>
      </c>
      <c r="H129" s="4" t="n">
        <v>570.57</v>
      </c>
      <c r="I129" s="4" t="n">
        <v>316.15</v>
      </c>
      <c r="J129" s="4" t="n">
        <f aca="false">G129*H129</f>
        <v>17687.67</v>
      </c>
      <c r="K129" s="4" t="n">
        <f aca="false">G129*I129</f>
        <v>9800.65</v>
      </c>
      <c r="L129" s="4" t="n">
        <f aca="false">J129-K129</f>
        <v>7887.02</v>
      </c>
    </row>
    <row r="130" customFormat="false" ht="15" hidden="false" customHeight="false" outlineLevel="0" collapsed="false">
      <c r="A130" s="0" t="n">
        <v>2007</v>
      </c>
      <c r="B130" s="2" t="n">
        <v>45354</v>
      </c>
      <c r="C130" s="3" t="s">
        <v>32</v>
      </c>
      <c r="D130" s="3" t="s">
        <v>29</v>
      </c>
      <c r="E130" s="3" t="s">
        <v>30</v>
      </c>
      <c r="F130" s="3" t="s">
        <v>33</v>
      </c>
      <c r="G130" s="0" t="n">
        <v>35</v>
      </c>
      <c r="H130" s="4" t="n">
        <v>226.89</v>
      </c>
      <c r="I130" s="4" t="n">
        <v>138.62</v>
      </c>
      <c r="J130" s="4" t="n">
        <f aca="false">G130*H130</f>
        <v>7941.15</v>
      </c>
      <c r="K130" s="4" t="n">
        <f aca="false">G130*I130</f>
        <v>4851.7</v>
      </c>
      <c r="L130" s="4" t="n">
        <f aca="false">J130-K130</f>
        <v>3089.45</v>
      </c>
    </row>
    <row r="131" customFormat="false" ht="15" hidden="false" customHeight="false" outlineLevel="0" collapsed="false">
      <c r="A131" s="0" t="n">
        <v>1128</v>
      </c>
      <c r="B131" s="2" t="n">
        <v>45355</v>
      </c>
      <c r="C131" s="3" t="s">
        <v>23</v>
      </c>
      <c r="D131" s="3" t="s">
        <v>17</v>
      </c>
      <c r="E131" s="3" t="s">
        <v>40</v>
      </c>
      <c r="F131" s="3" t="s">
        <v>25</v>
      </c>
      <c r="G131" s="0" t="n">
        <v>33</v>
      </c>
      <c r="H131" s="4" t="n">
        <v>602.75</v>
      </c>
      <c r="I131" s="4" t="n">
        <v>380.35</v>
      </c>
      <c r="J131" s="4" t="n">
        <f aca="false">G131*H131</f>
        <v>19890.75</v>
      </c>
      <c r="K131" s="4" t="n">
        <f aca="false">G131*I131</f>
        <v>12551.55</v>
      </c>
      <c r="L131" s="4" t="n">
        <f aca="false">J131-K131</f>
        <v>7339.2</v>
      </c>
    </row>
    <row r="132" customFormat="false" ht="15" hidden="false" customHeight="false" outlineLevel="0" collapsed="false">
      <c r="A132" s="0" t="n">
        <v>1899</v>
      </c>
      <c r="B132" s="2" t="n">
        <v>45355</v>
      </c>
      <c r="C132" s="3" t="s">
        <v>32</v>
      </c>
      <c r="D132" s="3" t="s">
        <v>20</v>
      </c>
      <c r="E132" s="3" t="s">
        <v>21</v>
      </c>
      <c r="F132" s="3" t="s">
        <v>39</v>
      </c>
      <c r="G132" s="0" t="n">
        <v>4</v>
      </c>
      <c r="H132" s="4" t="n">
        <v>138.42</v>
      </c>
      <c r="I132" s="4" t="n">
        <v>77.93</v>
      </c>
      <c r="J132" s="4" t="n">
        <f aca="false">G132*H132</f>
        <v>553.68</v>
      </c>
      <c r="K132" s="4" t="n">
        <f aca="false">G132*I132</f>
        <v>311.72</v>
      </c>
      <c r="L132" s="4" t="n">
        <f aca="false">J132-K132</f>
        <v>241.96</v>
      </c>
    </row>
    <row r="133" customFormat="false" ht="15" hidden="false" customHeight="false" outlineLevel="0" collapsed="false">
      <c r="A133" s="0" t="n">
        <v>2639</v>
      </c>
      <c r="B133" s="2" t="n">
        <v>45355</v>
      </c>
      <c r="C133" s="3" t="s">
        <v>12</v>
      </c>
      <c r="D133" s="3" t="s">
        <v>29</v>
      </c>
      <c r="E133" s="3" t="s">
        <v>43</v>
      </c>
      <c r="F133" s="3" t="s">
        <v>39</v>
      </c>
      <c r="G133" s="0" t="n">
        <v>6</v>
      </c>
      <c r="H133" s="4" t="n">
        <v>410.19</v>
      </c>
      <c r="I133" s="4" t="n">
        <v>285.39</v>
      </c>
      <c r="J133" s="4" t="n">
        <f aca="false">G133*H133</f>
        <v>2461.14</v>
      </c>
      <c r="K133" s="4" t="n">
        <f aca="false">G133*I133</f>
        <v>1712.34</v>
      </c>
      <c r="L133" s="4" t="n">
        <f aca="false">J133-K133</f>
        <v>748.8</v>
      </c>
    </row>
    <row r="134" customFormat="false" ht="15" hidden="false" customHeight="false" outlineLevel="0" collapsed="false">
      <c r="A134" s="0" t="n">
        <v>1548</v>
      </c>
      <c r="B134" s="2" t="n">
        <v>45356</v>
      </c>
      <c r="C134" s="3" t="s">
        <v>16</v>
      </c>
      <c r="D134" s="3" t="s">
        <v>29</v>
      </c>
      <c r="E134" s="3" t="s">
        <v>41</v>
      </c>
      <c r="F134" s="3" t="s">
        <v>28</v>
      </c>
      <c r="G134" s="0" t="n">
        <v>2</v>
      </c>
      <c r="H134" s="4" t="n">
        <v>410.87</v>
      </c>
      <c r="I134" s="4" t="n">
        <v>217.57</v>
      </c>
      <c r="J134" s="4" t="n">
        <f aca="false">G134*H134</f>
        <v>821.74</v>
      </c>
      <c r="K134" s="4" t="n">
        <f aca="false">G134*I134</f>
        <v>435.14</v>
      </c>
      <c r="L134" s="4" t="n">
        <f aca="false">J134-K134</f>
        <v>386.6</v>
      </c>
    </row>
    <row r="135" customFormat="false" ht="15" hidden="false" customHeight="false" outlineLevel="0" collapsed="false">
      <c r="A135" s="0" t="n">
        <v>2487</v>
      </c>
      <c r="B135" s="2" t="n">
        <v>45356</v>
      </c>
      <c r="C135" s="3" t="s">
        <v>26</v>
      </c>
      <c r="D135" s="3" t="s">
        <v>17</v>
      </c>
      <c r="E135" s="3" t="s">
        <v>18</v>
      </c>
      <c r="F135" s="3" t="s">
        <v>39</v>
      </c>
      <c r="G135" s="0" t="n">
        <v>5</v>
      </c>
      <c r="H135" s="4" t="n">
        <v>128.22</v>
      </c>
      <c r="I135" s="4" t="n">
        <v>90.5</v>
      </c>
      <c r="J135" s="4" t="n">
        <f aca="false">G135*H135</f>
        <v>641.1</v>
      </c>
      <c r="K135" s="4" t="n">
        <f aca="false">G135*I135</f>
        <v>452.5</v>
      </c>
      <c r="L135" s="4" t="n">
        <f aca="false">J135-K135</f>
        <v>188.6</v>
      </c>
    </row>
    <row r="136" customFormat="false" ht="15" hidden="false" customHeight="false" outlineLevel="0" collapsed="false">
      <c r="A136" s="0" t="n">
        <v>2602</v>
      </c>
      <c r="B136" s="2" t="n">
        <v>45356</v>
      </c>
      <c r="C136" s="3" t="s">
        <v>23</v>
      </c>
      <c r="D136" s="3" t="s">
        <v>20</v>
      </c>
      <c r="E136" s="3" t="s">
        <v>42</v>
      </c>
      <c r="F136" s="3" t="s">
        <v>19</v>
      </c>
      <c r="G136" s="0" t="n">
        <v>17</v>
      </c>
      <c r="H136" s="4" t="n">
        <v>31.71</v>
      </c>
      <c r="I136" s="4" t="n">
        <v>20.14</v>
      </c>
      <c r="J136" s="4" t="n">
        <f aca="false">G136*H136</f>
        <v>539.07</v>
      </c>
      <c r="K136" s="4" t="n">
        <f aca="false">G136*I136</f>
        <v>342.38</v>
      </c>
      <c r="L136" s="4" t="n">
        <f aca="false">J136-K136</f>
        <v>196.69</v>
      </c>
    </row>
    <row r="137" customFormat="false" ht="15" hidden="false" customHeight="false" outlineLevel="0" collapsed="false">
      <c r="A137" s="0" t="n">
        <v>1551</v>
      </c>
      <c r="B137" s="2" t="n">
        <v>45357</v>
      </c>
      <c r="C137" s="3" t="s">
        <v>26</v>
      </c>
      <c r="D137" s="3" t="s">
        <v>17</v>
      </c>
      <c r="E137" s="3" t="s">
        <v>18</v>
      </c>
      <c r="F137" s="3" t="s">
        <v>39</v>
      </c>
      <c r="G137" s="0" t="n">
        <v>5</v>
      </c>
      <c r="H137" s="4" t="n">
        <v>735.74</v>
      </c>
      <c r="I137" s="4" t="n">
        <v>492.65</v>
      </c>
      <c r="J137" s="4" t="n">
        <f aca="false">G137*H137</f>
        <v>3678.7</v>
      </c>
      <c r="K137" s="4" t="n">
        <f aca="false">G137*I137</f>
        <v>2463.25</v>
      </c>
      <c r="L137" s="4" t="n">
        <f aca="false">J137-K137</f>
        <v>1215.45</v>
      </c>
    </row>
    <row r="138" customFormat="false" ht="15" hidden="false" customHeight="false" outlineLevel="0" collapsed="false">
      <c r="A138" s="0" t="n">
        <v>2575</v>
      </c>
      <c r="B138" s="2" t="n">
        <v>45357</v>
      </c>
      <c r="C138" s="3" t="s">
        <v>16</v>
      </c>
      <c r="D138" s="3" t="s">
        <v>13</v>
      </c>
      <c r="E138" s="3" t="s">
        <v>24</v>
      </c>
      <c r="F138" s="3" t="s">
        <v>28</v>
      </c>
      <c r="G138" s="0" t="n">
        <v>2</v>
      </c>
      <c r="H138" s="4" t="n">
        <v>58.85</v>
      </c>
      <c r="I138" s="4" t="n">
        <v>33.99</v>
      </c>
      <c r="J138" s="4" t="n">
        <f aca="false">G138*H138</f>
        <v>117.7</v>
      </c>
      <c r="K138" s="4" t="n">
        <f aca="false">G138*I138</f>
        <v>67.98</v>
      </c>
      <c r="L138" s="4" t="n">
        <f aca="false">J138-K138</f>
        <v>49.72</v>
      </c>
    </row>
    <row r="139" customFormat="false" ht="15" hidden="false" customHeight="false" outlineLevel="0" collapsed="false">
      <c r="A139" s="0" t="n">
        <v>1494</v>
      </c>
      <c r="B139" s="2" t="n">
        <v>45358</v>
      </c>
      <c r="C139" s="3" t="s">
        <v>32</v>
      </c>
      <c r="D139" s="3" t="s">
        <v>20</v>
      </c>
      <c r="E139" s="3" t="s">
        <v>34</v>
      </c>
      <c r="F139" s="3" t="s">
        <v>25</v>
      </c>
      <c r="G139" s="0" t="n">
        <v>18</v>
      </c>
      <c r="H139" s="4" t="n">
        <v>78.53</v>
      </c>
      <c r="I139" s="4" t="n">
        <v>40.41</v>
      </c>
      <c r="J139" s="4" t="n">
        <f aca="false">G139*H139</f>
        <v>1413.54</v>
      </c>
      <c r="K139" s="4" t="n">
        <f aca="false">G139*I139</f>
        <v>727.38</v>
      </c>
      <c r="L139" s="4" t="n">
        <f aca="false">J139-K139</f>
        <v>686.16</v>
      </c>
    </row>
    <row r="140" customFormat="false" ht="15" hidden="false" customHeight="false" outlineLevel="0" collapsed="false">
      <c r="A140" s="0" t="n">
        <v>2377</v>
      </c>
      <c r="B140" s="2" t="n">
        <v>45358</v>
      </c>
      <c r="C140" s="3" t="s">
        <v>23</v>
      </c>
      <c r="D140" s="3" t="s">
        <v>29</v>
      </c>
      <c r="E140" s="3" t="s">
        <v>37</v>
      </c>
      <c r="F140" s="3" t="s">
        <v>25</v>
      </c>
      <c r="G140" s="0" t="n">
        <v>32</v>
      </c>
      <c r="H140" s="4" t="n">
        <v>93.45</v>
      </c>
      <c r="I140" s="4" t="n">
        <v>62.26</v>
      </c>
      <c r="J140" s="4" t="n">
        <f aca="false">G140*H140</f>
        <v>2990.4</v>
      </c>
      <c r="K140" s="4" t="n">
        <f aca="false">G140*I140</f>
        <v>1992.32</v>
      </c>
      <c r="L140" s="4" t="n">
        <f aca="false">J140-K140</f>
        <v>998.08</v>
      </c>
    </row>
    <row r="141" customFormat="false" ht="15" hidden="false" customHeight="false" outlineLevel="0" collapsed="false">
      <c r="A141" s="0" t="n">
        <v>1130</v>
      </c>
      <c r="B141" s="2" t="n">
        <v>45359</v>
      </c>
      <c r="C141" s="3" t="s">
        <v>32</v>
      </c>
      <c r="D141" s="3" t="s">
        <v>17</v>
      </c>
      <c r="E141" s="3" t="s">
        <v>35</v>
      </c>
      <c r="F141" s="3" t="s">
        <v>36</v>
      </c>
      <c r="G141" s="0" t="n">
        <v>19</v>
      </c>
      <c r="H141" s="4" t="n">
        <v>271.68</v>
      </c>
      <c r="I141" s="4" t="n">
        <v>146.05</v>
      </c>
      <c r="J141" s="4" t="n">
        <f aca="false">G141*H141</f>
        <v>5161.92</v>
      </c>
      <c r="K141" s="4" t="n">
        <f aca="false">G141*I141</f>
        <v>2774.95</v>
      </c>
      <c r="L141" s="4" t="n">
        <f aca="false">J141-K141</f>
        <v>2386.97</v>
      </c>
    </row>
    <row r="142" customFormat="false" ht="15" hidden="false" customHeight="false" outlineLevel="0" collapsed="false">
      <c r="A142" s="0" t="n">
        <v>1574</v>
      </c>
      <c r="B142" s="2" t="n">
        <v>45359</v>
      </c>
      <c r="C142" s="3" t="s">
        <v>12</v>
      </c>
      <c r="D142" s="3" t="s">
        <v>20</v>
      </c>
      <c r="E142" s="3" t="s">
        <v>42</v>
      </c>
      <c r="F142" s="3" t="s">
        <v>25</v>
      </c>
      <c r="G142" s="0" t="n">
        <v>26</v>
      </c>
      <c r="H142" s="4" t="n">
        <v>50.62</v>
      </c>
      <c r="I142" s="4" t="n">
        <v>28.8</v>
      </c>
      <c r="J142" s="4" t="n">
        <f aca="false">G142*H142</f>
        <v>1316.12</v>
      </c>
      <c r="K142" s="4" t="n">
        <f aca="false">G142*I142</f>
        <v>748.8</v>
      </c>
      <c r="L142" s="4" t="n">
        <f aca="false">J142-K142</f>
        <v>567.32</v>
      </c>
    </row>
    <row r="143" customFormat="false" ht="15" hidden="false" customHeight="false" outlineLevel="0" collapsed="false">
      <c r="A143" s="0" t="n">
        <v>2371</v>
      </c>
      <c r="B143" s="2" t="n">
        <v>45359</v>
      </c>
      <c r="C143" s="3" t="s">
        <v>32</v>
      </c>
      <c r="D143" s="3" t="s">
        <v>17</v>
      </c>
      <c r="E143" s="3" t="s">
        <v>18</v>
      </c>
      <c r="F143" s="3" t="s">
        <v>36</v>
      </c>
      <c r="G143" s="0" t="n">
        <v>28</v>
      </c>
      <c r="H143" s="4" t="n">
        <v>189.4</v>
      </c>
      <c r="I143" s="4" t="n">
        <v>100.3</v>
      </c>
      <c r="J143" s="4" t="n">
        <f aca="false">G143*H143</f>
        <v>5303.2</v>
      </c>
      <c r="K143" s="4" t="n">
        <f aca="false">G143*I143</f>
        <v>2808.4</v>
      </c>
      <c r="L143" s="4" t="n">
        <f aca="false">J143-K143</f>
        <v>2494.8</v>
      </c>
    </row>
    <row r="144" customFormat="false" ht="15" hidden="false" customHeight="false" outlineLevel="0" collapsed="false">
      <c r="A144" s="0" t="n">
        <v>2509</v>
      </c>
      <c r="B144" s="2" t="n">
        <v>45359</v>
      </c>
      <c r="C144" s="3" t="s">
        <v>26</v>
      </c>
      <c r="D144" s="3" t="s">
        <v>29</v>
      </c>
      <c r="E144" s="3" t="s">
        <v>43</v>
      </c>
      <c r="F144" s="3" t="s">
        <v>28</v>
      </c>
      <c r="G144" s="0" t="n">
        <v>35</v>
      </c>
      <c r="H144" s="4" t="n">
        <v>395.49</v>
      </c>
      <c r="I144" s="4" t="n">
        <v>262.49</v>
      </c>
      <c r="J144" s="4" t="n">
        <f aca="false">G144*H144</f>
        <v>13842.15</v>
      </c>
      <c r="K144" s="4" t="n">
        <f aca="false">G144*I144</f>
        <v>9187.15</v>
      </c>
      <c r="L144" s="4" t="n">
        <f aca="false">J144-K144</f>
        <v>4655</v>
      </c>
    </row>
    <row r="145" customFormat="false" ht="15" hidden="false" customHeight="false" outlineLevel="0" collapsed="false">
      <c r="A145" s="0" t="n">
        <v>1234</v>
      </c>
      <c r="B145" s="2" t="n">
        <v>45360</v>
      </c>
      <c r="C145" s="3" t="s">
        <v>32</v>
      </c>
      <c r="D145" s="3" t="s">
        <v>17</v>
      </c>
      <c r="E145" s="3" t="s">
        <v>27</v>
      </c>
      <c r="F145" s="3" t="s">
        <v>22</v>
      </c>
      <c r="G145" s="0" t="n">
        <v>22</v>
      </c>
      <c r="H145" s="4" t="n">
        <v>604.29</v>
      </c>
      <c r="I145" s="4" t="n">
        <v>338.99</v>
      </c>
      <c r="J145" s="4" t="n">
        <f aca="false">G145*H145</f>
        <v>13294.38</v>
      </c>
      <c r="K145" s="4" t="n">
        <f aca="false">G145*I145</f>
        <v>7457.78</v>
      </c>
      <c r="L145" s="4" t="n">
        <f aca="false">J145-K145</f>
        <v>5836.6</v>
      </c>
    </row>
    <row r="146" customFormat="false" ht="15" hidden="false" customHeight="false" outlineLevel="0" collapsed="false">
      <c r="A146" s="0" t="n">
        <v>1983</v>
      </c>
      <c r="B146" s="2" t="n">
        <v>45360</v>
      </c>
      <c r="C146" s="3" t="s">
        <v>23</v>
      </c>
      <c r="D146" s="3" t="s">
        <v>20</v>
      </c>
      <c r="E146" s="3" t="s">
        <v>21</v>
      </c>
      <c r="F146" s="3" t="s">
        <v>25</v>
      </c>
      <c r="G146" s="0" t="n">
        <v>37</v>
      </c>
      <c r="H146" s="4" t="n">
        <v>53.02</v>
      </c>
      <c r="I146" s="4" t="n">
        <v>29.57</v>
      </c>
      <c r="J146" s="4" t="n">
        <f aca="false">G146*H146</f>
        <v>1961.74</v>
      </c>
      <c r="K146" s="4" t="n">
        <f aca="false">G146*I146</f>
        <v>1094.09</v>
      </c>
      <c r="L146" s="4" t="n">
        <f aca="false">J146-K146</f>
        <v>867.65</v>
      </c>
    </row>
    <row r="147" customFormat="false" ht="15" hidden="false" customHeight="false" outlineLevel="0" collapsed="false">
      <c r="A147" s="0" t="n">
        <v>2354</v>
      </c>
      <c r="B147" s="2" t="n">
        <v>45360</v>
      </c>
      <c r="C147" s="3" t="s">
        <v>23</v>
      </c>
      <c r="D147" s="3" t="s">
        <v>13</v>
      </c>
      <c r="E147" s="3" t="s">
        <v>45</v>
      </c>
      <c r="F147" s="3" t="s">
        <v>15</v>
      </c>
      <c r="G147" s="0" t="n">
        <v>30</v>
      </c>
      <c r="H147" s="4" t="n">
        <v>30.93</v>
      </c>
      <c r="I147" s="4" t="n">
        <v>21.08</v>
      </c>
      <c r="J147" s="4" t="n">
        <f aca="false">G147*H147</f>
        <v>927.9</v>
      </c>
      <c r="K147" s="4" t="n">
        <f aca="false">G147*I147</f>
        <v>632.4</v>
      </c>
      <c r="L147" s="4" t="n">
        <f aca="false">J147-K147</f>
        <v>295.5</v>
      </c>
    </row>
    <row r="148" customFormat="false" ht="15" hidden="false" customHeight="false" outlineLevel="0" collapsed="false">
      <c r="A148" s="0" t="n">
        <v>2629</v>
      </c>
      <c r="B148" s="2" t="n">
        <v>45360</v>
      </c>
      <c r="C148" s="3" t="s">
        <v>23</v>
      </c>
      <c r="D148" s="3" t="s">
        <v>29</v>
      </c>
      <c r="E148" s="3" t="s">
        <v>37</v>
      </c>
      <c r="F148" s="3" t="s">
        <v>15</v>
      </c>
      <c r="G148" s="0" t="n">
        <v>17</v>
      </c>
      <c r="H148" s="4" t="n">
        <v>230.98</v>
      </c>
      <c r="I148" s="4" t="n">
        <v>118.58</v>
      </c>
      <c r="J148" s="4" t="n">
        <f aca="false">G148*H148</f>
        <v>3926.66</v>
      </c>
      <c r="K148" s="4" t="n">
        <f aca="false">G148*I148</f>
        <v>2015.86</v>
      </c>
      <c r="L148" s="4" t="n">
        <f aca="false">J148-K148</f>
        <v>1910.8</v>
      </c>
    </row>
    <row r="149" customFormat="false" ht="15" hidden="false" customHeight="false" outlineLevel="0" collapsed="false">
      <c r="A149" s="0" t="n">
        <v>2225</v>
      </c>
      <c r="B149" s="2" t="n">
        <v>45361</v>
      </c>
      <c r="C149" s="3" t="s">
        <v>12</v>
      </c>
      <c r="D149" s="3" t="s">
        <v>20</v>
      </c>
      <c r="E149" s="3" t="s">
        <v>38</v>
      </c>
      <c r="F149" s="3" t="s">
        <v>28</v>
      </c>
      <c r="G149" s="0" t="n">
        <v>10</v>
      </c>
      <c r="H149" s="4" t="n">
        <v>161.01</v>
      </c>
      <c r="I149" s="4" t="n">
        <v>119.73</v>
      </c>
      <c r="J149" s="4" t="n">
        <f aca="false">G149*H149</f>
        <v>1610.1</v>
      </c>
      <c r="K149" s="4" t="n">
        <f aca="false">G149*I149</f>
        <v>1197.3</v>
      </c>
      <c r="L149" s="4" t="n">
        <f aca="false">J149-K149</f>
        <v>412.8</v>
      </c>
    </row>
    <row r="150" customFormat="false" ht="15" hidden="false" customHeight="false" outlineLevel="0" collapsed="false">
      <c r="A150" s="0" t="n">
        <v>1193</v>
      </c>
      <c r="B150" s="2" t="n">
        <v>45362</v>
      </c>
      <c r="C150" s="3" t="s">
        <v>23</v>
      </c>
      <c r="D150" s="3" t="s">
        <v>17</v>
      </c>
      <c r="E150" s="3" t="s">
        <v>40</v>
      </c>
      <c r="F150" s="3" t="s">
        <v>36</v>
      </c>
      <c r="G150" s="0" t="n">
        <v>12</v>
      </c>
      <c r="H150" s="4" t="n">
        <v>705.94</v>
      </c>
      <c r="I150" s="4" t="n">
        <v>427.16</v>
      </c>
      <c r="J150" s="4" t="n">
        <f aca="false">G150*H150</f>
        <v>8471.28</v>
      </c>
      <c r="K150" s="4" t="n">
        <f aca="false">G150*I150</f>
        <v>5125.92</v>
      </c>
      <c r="L150" s="4" t="n">
        <f aca="false">J150-K150</f>
        <v>3345.36</v>
      </c>
    </row>
    <row r="151" customFormat="false" ht="15" hidden="false" customHeight="false" outlineLevel="0" collapsed="false">
      <c r="A151" s="0" t="n">
        <v>1018</v>
      </c>
      <c r="B151" s="2" t="n">
        <v>45364</v>
      </c>
      <c r="C151" s="3" t="s">
        <v>16</v>
      </c>
      <c r="D151" s="3" t="s">
        <v>13</v>
      </c>
      <c r="E151" s="3" t="s">
        <v>31</v>
      </c>
      <c r="F151" s="3" t="s">
        <v>28</v>
      </c>
      <c r="G151" s="0" t="n">
        <v>14</v>
      </c>
      <c r="H151" s="4" t="n">
        <v>44.23</v>
      </c>
      <c r="I151" s="4" t="n">
        <v>24.8</v>
      </c>
      <c r="J151" s="4" t="n">
        <f aca="false">G151*H151</f>
        <v>619.22</v>
      </c>
      <c r="K151" s="4" t="n">
        <f aca="false">G151*I151</f>
        <v>347.2</v>
      </c>
      <c r="L151" s="4" t="n">
        <f aca="false">J151-K151</f>
        <v>272.02</v>
      </c>
    </row>
    <row r="152" customFormat="false" ht="15" hidden="false" customHeight="false" outlineLevel="0" collapsed="false">
      <c r="A152" s="0" t="n">
        <v>1509</v>
      </c>
      <c r="B152" s="2" t="n">
        <v>45364</v>
      </c>
      <c r="C152" s="3" t="s">
        <v>32</v>
      </c>
      <c r="D152" s="3" t="s">
        <v>29</v>
      </c>
      <c r="E152" s="3" t="s">
        <v>41</v>
      </c>
      <c r="F152" s="3" t="s">
        <v>22</v>
      </c>
      <c r="G152" s="0" t="n">
        <v>9</v>
      </c>
      <c r="H152" s="4" t="n">
        <v>101.19</v>
      </c>
      <c r="I152" s="4" t="n">
        <v>52.77</v>
      </c>
      <c r="J152" s="4" t="n">
        <f aca="false">G152*H152</f>
        <v>910.71</v>
      </c>
      <c r="K152" s="4" t="n">
        <f aca="false">G152*I152</f>
        <v>474.93</v>
      </c>
      <c r="L152" s="4" t="n">
        <f aca="false">J152-K152</f>
        <v>435.78</v>
      </c>
    </row>
    <row r="153" customFormat="false" ht="15" hidden="false" customHeight="false" outlineLevel="0" collapsed="false">
      <c r="A153" s="0" t="n">
        <v>2465</v>
      </c>
      <c r="B153" s="2" t="n">
        <v>45364</v>
      </c>
      <c r="C153" s="3" t="s">
        <v>26</v>
      </c>
      <c r="D153" s="3" t="s">
        <v>29</v>
      </c>
      <c r="E153" s="3" t="s">
        <v>30</v>
      </c>
      <c r="F153" s="3" t="s">
        <v>15</v>
      </c>
      <c r="G153" s="0" t="n">
        <v>15</v>
      </c>
      <c r="H153" s="4" t="n">
        <v>224.04</v>
      </c>
      <c r="I153" s="4" t="n">
        <v>119.82</v>
      </c>
      <c r="J153" s="4" t="n">
        <f aca="false">G153*H153</f>
        <v>3360.6</v>
      </c>
      <c r="K153" s="4" t="n">
        <f aca="false">G153*I153</f>
        <v>1797.3</v>
      </c>
      <c r="L153" s="4" t="n">
        <f aca="false">J153-K153</f>
        <v>1563.3</v>
      </c>
    </row>
    <row r="154" customFormat="false" ht="15" hidden="false" customHeight="false" outlineLevel="0" collapsed="false">
      <c r="A154" s="0" t="n">
        <v>1745</v>
      </c>
      <c r="B154" s="2" t="n">
        <v>45365</v>
      </c>
      <c r="C154" s="3" t="s">
        <v>32</v>
      </c>
      <c r="D154" s="3" t="s">
        <v>17</v>
      </c>
      <c r="E154" s="3" t="s">
        <v>35</v>
      </c>
      <c r="F154" s="3" t="s">
        <v>39</v>
      </c>
      <c r="G154" s="0" t="n">
        <v>22</v>
      </c>
      <c r="H154" s="4" t="n">
        <v>225.18</v>
      </c>
      <c r="I154" s="4" t="n">
        <v>151.07</v>
      </c>
      <c r="J154" s="4" t="n">
        <f aca="false">G154*H154</f>
        <v>4953.96</v>
      </c>
      <c r="K154" s="4" t="n">
        <f aca="false">G154*I154</f>
        <v>3323.54</v>
      </c>
      <c r="L154" s="4" t="n">
        <f aca="false">J154-K154</f>
        <v>1630.42</v>
      </c>
    </row>
    <row r="155" customFormat="false" ht="15" hidden="false" customHeight="false" outlineLevel="0" collapsed="false">
      <c r="A155" s="0" t="n">
        <v>2218</v>
      </c>
      <c r="B155" s="2" t="n">
        <v>45366</v>
      </c>
      <c r="C155" s="3" t="s">
        <v>12</v>
      </c>
      <c r="D155" s="3" t="s">
        <v>20</v>
      </c>
      <c r="E155" s="3" t="s">
        <v>34</v>
      </c>
      <c r="F155" s="3" t="s">
        <v>22</v>
      </c>
      <c r="G155" s="0" t="n">
        <v>3</v>
      </c>
      <c r="H155" s="4" t="n">
        <v>278.81</v>
      </c>
      <c r="I155" s="4" t="n">
        <v>139.74</v>
      </c>
      <c r="J155" s="4" t="n">
        <f aca="false">G155*H155</f>
        <v>836.43</v>
      </c>
      <c r="K155" s="4" t="n">
        <f aca="false">G155*I155</f>
        <v>419.22</v>
      </c>
      <c r="L155" s="4" t="n">
        <f aca="false">J155-K155</f>
        <v>417.21</v>
      </c>
    </row>
    <row r="156" customFormat="false" ht="15" hidden="false" customHeight="false" outlineLevel="0" collapsed="false">
      <c r="A156" s="0" t="n">
        <v>2747</v>
      </c>
      <c r="B156" s="2" t="n">
        <v>45366</v>
      </c>
      <c r="C156" s="3" t="s">
        <v>12</v>
      </c>
      <c r="D156" s="3" t="s">
        <v>17</v>
      </c>
      <c r="E156" s="3" t="s">
        <v>40</v>
      </c>
      <c r="F156" s="3" t="s">
        <v>25</v>
      </c>
      <c r="G156" s="0" t="n">
        <v>28</v>
      </c>
      <c r="H156" s="4" t="n">
        <v>880.98</v>
      </c>
      <c r="I156" s="4" t="n">
        <v>588.77</v>
      </c>
      <c r="J156" s="4" t="n">
        <f aca="false">G156*H156</f>
        <v>24667.44</v>
      </c>
      <c r="K156" s="4" t="n">
        <f aca="false">G156*I156</f>
        <v>16485.56</v>
      </c>
      <c r="L156" s="4" t="n">
        <f aca="false">J156-K156</f>
        <v>8181.88000000001</v>
      </c>
    </row>
    <row r="157" customFormat="false" ht="15" hidden="false" customHeight="false" outlineLevel="0" collapsed="false">
      <c r="A157" s="0" t="n">
        <v>1158</v>
      </c>
      <c r="B157" s="2" t="n">
        <v>45367</v>
      </c>
      <c r="C157" s="3" t="s">
        <v>12</v>
      </c>
      <c r="D157" s="3" t="s">
        <v>29</v>
      </c>
      <c r="E157" s="3" t="s">
        <v>30</v>
      </c>
      <c r="F157" s="3" t="s">
        <v>28</v>
      </c>
      <c r="G157" s="0" t="n">
        <v>30</v>
      </c>
      <c r="H157" s="4" t="n">
        <v>448.74</v>
      </c>
      <c r="I157" s="4" t="n">
        <v>296.15</v>
      </c>
      <c r="J157" s="4" t="n">
        <f aca="false">G157*H157</f>
        <v>13462.2</v>
      </c>
      <c r="K157" s="4" t="n">
        <f aca="false">G157*I157</f>
        <v>8884.5</v>
      </c>
      <c r="L157" s="4" t="n">
        <f aca="false">J157-K157</f>
        <v>4577.7</v>
      </c>
    </row>
    <row r="158" customFormat="false" ht="15" hidden="false" customHeight="false" outlineLevel="0" collapsed="false">
      <c r="A158" s="0" t="n">
        <v>1169</v>
      </c>
      <c r="B158" s="2" t="n">
        <v>45367</v>
      </c>
      <c r="C158" s="3" t="s">
        <v>23</v>
      </c>
      <c r="D158" s="3" t="s">
        <v>20</v>
      </c>
      <c r="E158" s="3" t="s">
        <v>38</v>
      </c>
      <c r="F158" s="3" t="s">
        <v>25</v>
      </c>
      <c r="G158" s="0" t="n">
        <v>9</v>
      </c>
      <c r="H158" s="4" t="n">
        <v>114.94</v>
      </c>
      <c r="I158" s="4" t="n">
        <v>84.45</v>
      </c>
      <c r="J158" s="4" t="n">
        <f aca="false">G158*H158</f>
        <v>1034.46</v>
      </c>
      <c r="K158" s="4" t="n">
        <f aca="false">G158*I158</f>
        <v>760.05</v>
      </c>
      <c r="L158" s="4" t="n">
        <f aca="false">J158-K158</f>
        <v>274.41</v>
      </c>
    </row>
    <row r="159" customFormat="false" ht="15" hidden="false" customHeight="false" outlineLevel="0" collapsed="false">
      <c r="A159" s="0" t="n">
        <v>2028</v>
      </c>
      <c r="B159" s="2" t="n">
        <v>45367</v>
      </c>
      <c r="C159" s="3" t="s">
        <v>32</v>
      </c>
      <c r="D159" s="3" t="s">
        <v>17</v>
      </c>
      <c r="E159" s="3" t="s">
        <v>18</v>
      </c>
      <c r="F159" s="3" t="s">
        <v>25</v>
      </c>
      <c r="G159" s="0" t="n">
        <v>34</v>
      </c>
      <c r="H159" s="4" t="n">
        <v>326.72</v>
      </c>
      <c r="I159" s="4" t="n">
        <v>166.27</v>
      </c>
      <c r="J159" s="4" t="n">
        <f aca="false">G159*H159</f>
        <v>11108.48</v>
      </c>
      <c r="K159" s="4" t="n">
        <f aca="false">G159*I159</f>
        <v>5653.18</v>
      </c>
      <c r="L159" s="4" t="n">
        <f aca="false">J159-K159</f>
        <v>5455.3</v>
      </c>
    </row>
    <row r="160" customFormat="false" ht="15" hidden="false" customHeight="false" outlineLevel="0" collapsed="false">
      <c r="A160" s="0" t="n">
        <v>2356</v>
      </c>
      <c r="B160" s="2" t="n">
        <v>45367</v>
      </c>
      <c r="C160" s="3" t="s">
        <v>16</v>
      </c>
      <c r="D160" s="3" t="s">
        <v>29</v>
      </c>
      <c r="E160" s="3" t="s">
        <v>43</v>
      </c>
      <c r="F160" s="3" t="s">
        <v>25</v>
      </c>
      <c r="G160" s="0" t="n">
        <v>39</v>
      </c>
      <c r="H160" s="4" t="n">
        <v>205.8</v>
      </c>
      <c r="I160" s="4" t="n">
        <v>127.97</v>
      </c>
      <c r="J160" s="4" t="n">
        <f aca="false">G160*H160</f>
        <v>8026.2</v>
      </c>
      <c r="K160" s="4" t="n">
        <f aca="false">G160*I160</f>
        <v>4990.83</v>
      </c>
      <c r="L160" s="4" t="n">
        <f aca="false">J160-K160</f>
        <v>3035.37</v>
      </c>
    </row>
    <row r="161" customFormat="false" ht="15" hidden="false" customHeight="false" outlineLevel="0" collapsed="false">
      <c r="A161" s="0" t="n">
        <v>2790</v>
      </c>
      <c r="B161" s="2" t="n">
        <v>45367</v>
      </c>
      <c r="C161" s="3" t="s">
        <v>23</v>
      </c>
      <c r="D161" s="3" t="s">
        <v>17</v>
      </c>
      <c r="E161" s="3" t="s">
        <v>18</v>
      </c>
      <c r="F161" s="3" t="s">
        <v>15</v>
      </c>
      <c r="G161" s="0" t="n">
        <v>3</v>
      </c>
      <c r="H161" s="4" t="n">
        <v>730.27</v>
      </c>
      <c r="I161" s="4" t="n">
        <v>472.44</v>
      </c>
      <c r="J161" s="4" t="n">
        <f aca="false">G161*H161</f>
        <v>2190.81</v>
      </c>
      <c r="K161" s="4" t="n">
        <f aca="false">G161*I161</f>
        <v>1417.32</v>
      </c>
      <c r="L161" s="4" t="n">
        <f aca="false">J161-K161</f>
        <v>773.49</v>
      </c>
    </row>
    <row r="162" customFormat="false" ht="15" hidden="false" customHeight="false" outlineLevel="0" collapsed="false">
      <c r="A162" s="0" t="n">
        <v>1215</v>
      </c>
      <c r="B162" s="2" t="n">
        <v>45368</v>
      </c>
      <c r="C162" s="3" t="s">
        <v>32</v>
      </c>
      <c r="D162" s="3" t="s">
        <v>17</v>
      </c>
      <c r="E162" s="3" t="s">
        <v>44</v>
      </c>
      <c r="F162" s="3" t="s">
        <v>33</v>
      </c>
      <c r="G162" s="0" t="n">
        <v>2</v>
      </c>
      <c r="H162" s="4" t="n">
        <v>867.63</v>
      </c>
      <c r="I162" s="4" t="n">
        <v>520.21</v>
      </c>
      <c r="J162" s="4" t="n">
        <f aca="false">G162*H162</f>
        <v>1735.26</v>
      </c>
      <c r="K162" s="4" t="n">
        <f aca="false">G162*I162</f>
        <v>1040.42</v>
      </c>
      <c r="L162" s="4" t="n">
        <f aca="false">J162-K162</f>
        <v>694.84</v>
      </c>
    </row>
    <row r="163" customFormat="false" ht="15" hidden="false" customHeight="false" outlineLevel="0" collapsed="false">
      <c r="A163" s="0" t="n">
        <v>1939</v>
      </c>
      <c r="B163" s="2" t="n">
        <v>45368</v>
      </c>
      <c r="C163" s="3" t="s">
        <v>23</v>
      </c>
      <c r="D163" s="3" t="s">
        <v>17</v>
      </c>
      <c r="E163" s="3" t="s">
        <v>44</v>
      </c>
      <c r="F163" s="3" t="s">
        <v>22</v>
      </c>
      <c r="G163" s="0" t="n">
        <v>14</v>
      </c>
      <c r="H163" s="4" t="n">
        <v>453.25</v>
      </c>
      <c r="I163" s="4" t="n">
        <v>318.86</v>
      </c>
      <c r="J163" s="4" t="n">
        <f aca="false">G163*H163</f>
        <v>6345.5</v>
      </c>
      <c r="K163" s="4" t="n">
        <f aca="false">G163*I163</f>
        <v>4464.04</v>
      </c>
      <c r="L163" s="4" t="n">
        <f aca="false">J163-K163</f>
        <v>1881.46</v>
      </c>
    </row>
    <row r="164" customFormat="false" ht="15" hidden="false" customHeight="false" outlineLevel="0" collapsed="false">
      <c r="A164" s="0" t="n">
        <v>1096</v>
      </c>
      <c r="B164" s="2" t="n">
        <v>45369</v>
      </c>
      <c r="C164" s="3" t="s">
        <v>12</v>
      </c>
      <c r="D164" s="3" t="s">
        <v>13</v>
      </c>
      <c r="E164" s="3" t="s">
        <v>14</v>
      </c>
      <c r="F164" s="3" t="s">
        <v>33</v>
      </c>
      <c r="G164" s="0" t="n">
        <v>6</v>
      </c>
      <c r="H164" s="4" t="n">
        <v>3.79</v>
      </c>
      <c r="I164" s="4" t="n">
        <v>2.53</v>
      </c>
      <c r="J164" s="4" t="n">
        <f aca="false">G164*H164</f>
        <v>22.74</v>
      </c>
      <c r="K164" s="4" t="n">
        <f aca="false">G164*I164</f>
        <v>15.18</v>
      </c>
      <c r="L164" s="4" t="n">
        <f aca="false">J164-K164</f>
        <v>7.56</v>
      </c>
    </row>
    <row r="165" customFormat="false" ht="15" hidden="false" customHeight="false" outlineLevel="0" collapsed="false">
      <c r="A165" s="0" t="n">
        <v>1621</v>
      </c>
      <c r="B165" s="2" t="n">
        <v>45369</v>
      </c>
      <c r="C165" s="3" t="s">
        <v>16</v>
      </c>
      <c r="D165" s="3" t="s">
        <v>13</v>
      </c>
      <c r="E165" s="3" t="s">
        <v>31</v>
      </c>
      <c r="F165" s="3" t="s">
        <v>15</v>
      </c>
      <c r="G165" s="0" t="n">
        <v>4</v>
      </c>
      <c r="H165" s="4" t="n">
        <v>35.69</v>
      </c>
      <c r="I165" s="4" t="n">
        <v>26.39</v>
      </c>
      <c r="J165" s="4" t="n">
        <f aca="false">G165*H165</f>
        <v>142.76</v>
      </c>
      <c r="K165" s="4" t="n">
        <f aca="false">G165*I165</f>
        <v>105.56</v>
      </c>
      <c r="L165" s="4" t="n">
        <f aca="false">J165-K165</f>
        <v>37.2</v>
      </c>
    </row>
    <row r="166" customFormat="false" ht="15" hidden="false" customHeight="false" outlineLevel="0" collapsed="false">
      <c r="A166" s="0" t="n">
        <v>2253</v>
      </c>
      <c r="B166" s="2" t="n">
        <v>45369</v>
      </c>
      <c r="C166" s="3" t="s">
        <v>26</v>
      </c>
      <c r="D166" s="3" t="s">
        <v>17</v>
      </c>
      <c r="E166" s="3" t="s">
        <v>40</v>
      </c>
      <c r="F166" s="3" t="s">
        <v>25</v>
      </c>
      <c r="G166" s="0" t="n">
        <v>10</v>
      </c>
      <c r="H166" s="4" t="n">
        <v>549.51</v>
      </c>
      <c r="I166" s="4" t="n">
        <v>320.21</v>
      </c>
      <c r="J166" s="4" t="n">
        <f aca="false">G166*H166</f>
        <v>5495.1</v>
      </c>
      <c r="K166" s="4" t="n">
        <f aca="false">G166*I166</f>
        <v>3202.1</v>
      </c>
      <c r="L166" s="4" t="n">
        <f aca="false">J166-K166</f>
        <v>2293</v>
      </c>
    </row>
    <row r="167" customFormat="false" ht="15" hidden="false" customHeight="false" outlineLevel="0" collapsed="false">
      <c r="A167" s="0" t="n">
        <v>1216</v>
      </c>
      <c r="B167" s="2" t="n">
        <v>45370</v>
      </c>
      <c r="C167" s="3" t="s">
        <v>32</v>
      </c>
      <c r="D167" s="3" t="s">
        <v>13</v>
      </c>
      <c r="E167" s="3" t="s">
        <v>46</v>
      </c>
      <c r="F167" s="3" t="s">
        <v>39</v>
      </c>
      <c r="G167" s="0" t="n">
        <v>37</v>
      </c>
      <c r="H167" s="4" t="n">
        <v>25.18</v>
      </c>
      <c r="I167" s="4" t="n">
        <v>17.35</v>
      </c>
      <c r="J167" s="4" t="n">
        <f aca="false">G167*H167</f>
        <v>931.66</v>
      </c>
      <c r="K167" s="4" t="n">
        <f aca="false">G167*I167</f>
        <v>641.95</v>
      </c>
      <c r="L167" s="4" t="n">
        <f aca="false">J167-K167</f>
        <v>289.71</v>
      </c>
    </row>
    <row r="168" customFormat="false" ht="15" hidden="false" customHeight="false" outlineLevel="0" collapsed="false">
      <c r="A168" s="0" t="n">
        <v>1879</v>
      </c>
      <c r="B168" s="2" t="n">
        <v>45370</v>
      </c>
      <c r="C168" s="3" t="s">
        <v>26</v>
      </c>
      <c r="D168" s="3" t="s">
        <v>20</v>
      </c>
      <c r="E168" s="3" t="s">
        <v>34</v>
      </c>
      <c r="F168" s="3" t="s">
        <v>19</v>
      </c>
      <c r="G168" s="0" t="n">
        <v>31</v>
      </c>
      <c r="H168" s="4" t="n">
        <v>103.86</v>
      </c>
      <c r="I168" s="4" t="n">
        <v>62.62</v>
      </c>
      <c r="J168" s="4" t="n">
        <f aca="false">G168*H168</f>
        <v>3219.66</v>
      </c>
      <c r="K168" s="4" t="n">
        <f aca="false">G168*I168</f>
        <v>1941.22</v>
      </c>
      <c r="L168" s="4" t="n">
        <f aca="false">J168-K168</f>
        <v>1278.44</v>
      </c>
    </row>
    <row r="169" customFormat="false" ht="15" hidden="false" customHeight="false" outlineLevel="0" collapsed="false">
      <c r="A169" s="0" t="n">
        <v>2315</v>
      </c>
      <c r="B169" s="2" t="n">
        <v>45370</v>
      </c>
      <c r="C169" s="3" t="s">
        <v>12</v>
      </c>
      <c r="D169" s="3" t="s">
        <v>20</v>
      </c>
      <c r="E169" s="3" t="s">
        <v>21</v>
      </c>
      <c r="F169" s="3" t="s">
        <v>39</v>
      </c>
      <c r="G169" s="0" t="n">
        <v>1</v>
      </c>
      <c r="H169" s="4" t="n">
        <v>69.46</v>
      </c>
      <c r="I169" s="4" t="n">
        <v>41.27</v>
      </c>
      <c r="J169" s="4" t="n">
        <f aca="false">G169*H169</f>
        <v>69.46</v>
      </c>
      <c r="K169" s="4" t="n">
        <f aca="false">G169*I169</f>
        <v>41.27</v>
      </c>
      <c r="L169" s="4" t="n">
        <f aca="false">J169-K169</f>
        <v>28.19</v>
      </c>
    </row>
    <row r="170" customFormat="false" ht="15" hidden="false" customHeight="false" outlineLevel="0" collapsed="false">
      <c r="A170" s="0" t="n">
        <v>2445</v>
      </c>
      <c r="B170" s="2" t="n">
        <v>45370</v>
      </c>
      <c r="C170" s="3" t="s">
        <v>12</v>
      </c>
      <c r="D170" s="3" t="s">
        <v>13</v>
      </c>
      <c r="E170" s="3" t="s">
        <v>31</v>
      </c>
      <c r="F170" s="3" t="s">
        <v>22</v>
      </c>
      <c r="G170" s="0" t="n">
        <v>21</v>
      </c>
      <c r="H170" s="4" t="n">
        <v>5.3</v>
      </c>
      <c r="I170" s="4" t="n">
        <v>3.44</v>
      </c>
      <c r="J170" s="4" t="n">
        <f aca="false">G170*H170</f>
        <v>111.3</v>
      </c>
      <c r="K170" s="4" t="n">
        <f aca="false">G170*I170</f>
        <v>72.24</v>
      </c>
      <c r="L170" s="4" t="n">
        <f aca="false">J170-K170</f>
        <v>39.06</v>
      </c>
    </row>
    <row r="171" customFormat="false" ht="15" hidden="false" customHeight="false" outlineLevel="0" collapsed="false">
      <c r="A171" s="0" t="n">
        <v>2467</v>
      </c>
      <c r="B171" s="2" t="n">
        <v>45370</v>
      </c>
      <c r="C171" s="3" t="s">
        <v>26</v>
      </c>
      <c r="D171" s="3" t="s">
        <v>29</v>
      </c>
      <c r="E171" s="3" t="s">
        <v>30</v>
      </c>
      <c r="F171" s="3" t="s">
        <v>15</v>
      </c>
      <c r="G171" s="0" t="n">
        <v>9</v>
      </c>
      <c r="H171" s="4" t="n">
        <v>393.8</v>
      </c>
      <c r="I171" s="4" t="n">
        <v>258.97</v>
      </c>
      <c r="J171" s="4" t="n">
        <f aca="false">G171*H171</f>
        <v>3544.2</v>
      </c>
      <c r="K171" s="4" t="n">
        <f aca="false">G171*I171</f>
        <v>2330.73</v>
      </c>
      <c r="L171" s="4" t="n">
        <f aca="false">J171-K171</f>
        <v>1213.47</v>
      </c>
    </row>
    <row r="172" customFormat="false" ht="15" hidden="false" customHeight="false" outlineLevel="0" collapsed="false">
      <c r="A172" s="0" t="n">
        <v>1015</v>
      </c>
      <c r="B172" s="2" t="n">
        <v>45372</v>
      </c>
      <c r="C172" s="3" t="s">
        <v>26</v>
      </c>
      <c r="D172" s="3" t="s">
        <v>20</v>
      </c>
      <c r="E172" s="3" t="s">
        <v>42</v>
      </c>
      <c r="F172" s="3" t="s">
        <v>19</v>
      </c>
      <c r="G172" s="0" t="n">
        <v>9</v>
      </c>
      <c r="H172" s="4" t="n">
        <v>167.75</v>
      </c>
      <c r="I172" s="4" t="n">
        <v>109.31</v>
      </c>
      <c r="J172" s="4" t="n">
        <f aca="false">G172*H172</f>
        <v>1509.75</v>
      </c>
      <c r="K172" s="4" t="n">
        <f aca="false">G172*I172</f>
        <v>983.79</v>
      </c>
      <c r="L172" s="4" t="n">
        <f aca="false">J172-K172</f>
        <v>525.96</v>
      </c>
    </row>
    <row r="173" customFormat="false" ht="15" hidden="false" customHeight="false" outlineLevel="0" collapsed="false">
      <c r="A173" s="0" t="n">
        <v>1149</v>
      </c>
      <c r="B173" s="2" t="n">
        <v>45373</v>
      </c>
      <c r="C173" s="3" t="s">
        <v>32</v>
      </c>
      <c r="D173" s="3" t="s">
        <v>29</v>
      </c>
      <c r="E173" s="3" t="s">
        <v>43</v>
      </c>
      <c r="F173" s="3" t="s">
        <v>28</v>
      </c>
      <c r="G173" s="0" t="n">
        <v>39</v>
      </c>
      <c r="H173" s="4" t="n">
        <v>266.44</v>
      </c>
      <c r="I173" s="4" t="n">
        <v>181.63</v>
      </c>
      <c r="J173" s="4" t="n">
        <f aca="false">G173*H173</f>
        <v>10391.16</v>
      </c>
      <c r="K173" s="4" t="n">
        <f aca="false">G173*I173</f>
        <v>7083.57</v>
      </c>
      <c r="L173" s="4" t="n">
        <f aca="false">J173-K173</f>
        <v>3307.59</v>
      </c>
    </row>
    <row r="174" customFormat="false" ht="15" hidden="false" customHeight="false" outlineLevel="0" collapsed="false">
      <c r="A174" s="0" t="n">
        <v>1427</v>
      </c>
      <c r="B174" s="2" t="n">
        <v>45373</v>
      </c>
      <c r="C174" s="3" t="s">
        <v>12</v>
      </c>
      <c r="D174" s="3" t="s">
        <v>13</v>
      </c>
      <c r="E174" s="3" t="s">
        <v>14</v>
      </c>
      <c r="F174" s="3" t="s">
        <v>25</v>
      </c>
      <c r="G174" s="0" t="n">
        <v>7</v>
      </c>
      <c r="H174" s="4" t="n">
        <v>53.09</v>
      </c>
      <c r="I174" s="4" t="n">
        <v>31.81</v>
      </c>
      <c r="J174" s="4" t="n">
        <f aca="false">G174*H174</f>
        <v>371.63</v>
      </c>
      <c r="K174" s="4" t="n">
        <f aca="false">G174*I174</f>
        <v>222.67</v>
      </c>
      <c r="L174" s="4" t="n">
        <f aca="false">J174-K174</f>
        <v>148.96</v>
      </c>
    </row>
    <row r="175" customFormat="false" ht="15" hidden="false" customHeight="false" outlineLevel="0" collapsed="false">
      <c r="A175" s="0" t="n">
        <v>1434</v>
      </c>
      <c r="B175" s="2" t="n">
        <v>45373</v>
      </c>
      <c r="C175" s="3" t="s">
        <v>23</v>
      </c>
      <c r="D175" s="3" t="s">
        <v>13</v>
      </c>
      <c r="E175" s="3" t="s">
        <v>46</v>
      </c>
      <c r="F175" s="3" t="s">
        <v>15</v>
      </c>
      <c r="G175" s="0" t="n">
        <v>19</v>
      </c>
      <c r="H175" s="4" t="n">
        <v>33.32</v>
      </c>
      <c r="I175" s="4" t="n">
        <v>17.23</v>
      </c>
      <c r="J175" s="4" t="n">
        <f aca="false">G175*H175</f>
        <v>633.08</v>
      </c>
      <c r="K175" s="4" t="n">
        <f aca="false">G175*I175</f>
        <v>327.37</v>
      </c>
      <c r="L175" s="4" t="n">
        <f aca="false">J175-K175</f>
        <v>305.71</v>
      </c>
    </row>
    <row r="176" customFormat="false" ht="15" hidden="false" customHeight="false" outlineLevel="0" collapsed="false">
      <c r="A176" s="0" t="n">
        <v>1451</v>
      </c>
      <c r="B176" s="2" t="n">
        <v>45373</v>
      </c>
      <c r="C176" s="3" t="s">
        <v>23</v>
      </c>
      <c r="D176" s="3" t="s">
        <v>17</v>
      </c>
      <c r="E176" s="3" t="s">
        <v>40</v>
      </c>
      <c r="F176" s="3" t="s">
        <v>36</v>
      </c>
      <c r="G176" s="0" t="n">
        <v>24</v>
      </c>
      <c r="H176" s="4" t="n">
        <v>727.17</v>
      </c>
      <c r="I176" s="4" t="n">
        <v>497.08</v>
      </c>
      <c r="J176" s="4" t="n">
        <f aca="false">G176*H176</f>
        <v>17452.08</v>
      </c>
      <c r="K176" s="4" t="n">
        <f aca="false">G176*I176</f>
        <v>11929.92</v>
      </c>
      <c r="L176" s="4" t="n">
        <f aca="false">J176-K176</f>
        <v>5522.16</v>
      </c>
    </row>
    <row r="177" customFormat="false" ht="15" hidden="false" customHeight="false" outlineLevel="0" collapsed="false">
      <c r="A177" s="0" t="n">
        <v>1773</v>
      </c>
      <c r="B177" s="2" t="n">
        <v>45373</v>
      </c>
      <c r="C177" s="3" t="s">
        <v>26</v>
      </c>
      <c r="D177" s="3" t="s">
        <v>13</v>
      </c>
      <c r="E177" s="3" t="s">
        <v>31</v>
      </c>
      <c r="F177" s="3" t="s">
        <v>28</v>
      </c>
      <c r="G177" s="0" t="n">
        <v>19</v>
      </c>
      <c r="H177" s="4" t="n">
        <v>24.42</v>
      </c>
      <c r="I177" s="4" t="n">
        <v>16.64</v>
      </c>
      <c r="J177" s="4" t="n">
        <f aca="false">G177*H177</f>
        <v>463.98</v>
      </c>
      <c r="K177" s="4" t="n">
        <f aca="false">G177*I177</f>
        <v>316.16</v>
      </c>
      <c r="L177" s="4" t="n">
        <f aca="false">J177-K177</f>
        <v>147.82</v>
      </c>
    </row>
    <row r="178" customFormat="false" ht="15" hidden="false" customHeight="false" outlineLevel="0" collapsed="false">
      <c r="A178" s="0" t="n">
        <v>2098</v>
      </c>
      <c r="B178" s="2" t="n">
        <v>45373</v>
      </c>
      <c r="C178" s="3" t="s">
        <v>23</v>
      </c>
      <c r="D178" s="3" t="s">
        <v>17</v>
      </c>
      <c r="E178" s="3" t="s">
        <v>44</v>
      </c>
      <c r="F178" s="3" t="s">
        <v>15</v>
      </c>
      <c r="G178" s="0" t="n">
        <v>20</v>
      </c>
      <c r="H178" s="4" t="n">
        <v>577.09</v>
      </c>
      <c r="I178" s="4" t="n">
        <v>295.59</v>
      </c>
      <c r="J178" s="4" t="n">
        <f aca="false">G178*H178</f>
        <v>11541.8</v>
      </c>
      <c r="K178" s="4" t="n">
        <f aca="false">G178*I178</f>
        <v>5911.8</v>
      </c>
      <c r="L178" s="4" t="n">
        <f aca="false">J178-K178</f>
        <v>5630</v>
      </c>
    </row>
    <row r="179" customFormat="false" ht="15" hidden="false" customHeight="false" outlineLevel="0" collapsed="false">
      <c r="A179" s="0" t="n">
        <v>2260</v>
      </c>
      <c r="B179" s="2" t="n">
        <v>45373</v>
      </c>
      <c r="C179" s="3" t="s">
        <v>23</v>
      </c>
      <c r="D179" s="3" t="s">
        <v>17</v>
      </c>
      <c r="E179" s="3" t="s">
        <v>27</v>
      </c>
      <c r="F179" s="3" t="s">
        <v>33</v>
      </c>
      <c r="G179" s="0" t="n">
        <v>38</v>
      </c>
      <c r="H179" s="4" t="n">
        <v>707.96</v>
      </c>
      <c r="I179" s="4" t="n">
        <v>523.77</v>
      </c>
      <c r="J179" s="4" t="n">
        <f aca="false">G179*H179</f>
        <v>26902.48</v>
      </c>
      <c r="K179" s="4" t="n">
        <f aca="false">G179*I179</f>
        <v>19903.26</v>
      </c>
      <c r="L179" s="4" t="n">
        <f aca="false">J179-K179</f>
        <v>6999.22000000001</v>
      </c>
    </row>
    <row r="180" customFormat="false" ht="15" hidden="false" customHeight="false" outlineLevel="0" collapsed="false">
      <c r="A180" s="0" t="n">
        <v>1213</v>
      </c>
      <c r="B180" s="2" t="n">
        <v>45374</v>
      </c>
      <c r="C180" s="3" t="s">
        <v>26</v>
      </c>
      <c r="D180" s="3" t="s">
        <v>17</v>
      </c>
      <c r="E180" s="3" t="s">
        <v>18</v>
      </c>
      <c r="F180" s="3" t="s">
        <v>36</v>
      </c>
      <c r="G180" s="0" t="n">
        <v>25</v>
      </c>
      <c r="H180" s="4" t="n">
        <v>524.27</v>
      </c>
      <c r="I180" s="4" t="n">
        <v>327.65</v>
      </c>
      <c r="J180" s="4" t="n">
        <f aca="false">G180*H180</f>
        <v>13106.75</v>
      </c>
      <c r="K180" s="4" t="n">
        <f aca="false">G180*I180</f>
        <v>8191.25</v>
      </c>
      <c r="L180" s="4" t="n">
        <f aca="false">J180-K180</f>
        <v>4915.5</v>
      </c>
    </row>
    <row r="181" customFormat="false" ht="15" hidden="false" customHeight="false" outlineLevel="0" collapsed="false">
      <c r="A181" s="0" t="n">
        <v>1546</v>
      </c>
      <c r="B181" s="2" t="n">
        <v>45374</v>
      </c>
      <c r="C181" s="3" t="s">
        <v>23</v>
      </c>
      <c r="D181" s="3" t="s">
        <v>29</v>
      </c>
      <c r="E181" s="3" t="s">
        <v>37</v>
      </c>
      <c r="F181" s="3" t="s">
        <v>19</v>
      </c>
      <c r="G181" s="0" t="n">
        <v>36</v>
      </c>
      <c r="H181" s="4" t="n">
        <v>160.22</v>
      </c>
      <c r="I181" s="4" t="n">
        <v>116.02</v>
      </c>
      <c r="J181" s="4" t="n">
        <f aca="false">G181*H181</f>
        <v>5767.92</v>
      </c>
      <c r="K181" s="4" t="n">
        <f aca="false">G181*I181</f>
        <v>4176.72</v>
      </c>
      <c r="L181" s="4" t="n">
        <f aca="false">J181-K181</f>
        <v>1591.2</v>
      </c>
    </row>
    <row r="182" customFormat="false" ht="15" hidden="false" customHeight="false" outlineLevel="0" collapsed="false">
      <c r="A182" s="0" t="n">
        <v>1069</v>
      </c>
      <c r="B182" s="2" t="n">
        <v>45375</v>
      </c>
      <c r="C182" s="3" t="s">
        <v>12</v>
      </c>
      <c r="D182" s="3" t="s">
        <v>13</v>
      </c>
      <c r="E182" s="3" t="s">
        <v>24</v>
      </c>
      <c r="F182" s="3" t="s">
        <v>25</v>
      </c>
      <c r="G182" s="0" t="n">
        <v>11</v>
      </c>
      <c r="H182" s="4" t="n">
        <v>28.68</v>
      </c>
      <c r="I182" s="4" t="n">
        <v>16</v>
      </c>
      <c r="J182" s="4" t="n">
        <f aca="false">G182*H182</f>
        <v>315.48</v>
      </c>
      <c r="K182" s="4" t="n">
        <f aca="false">G182*I182</f>
        <v>176</v>
      </c>
      <c r="L182" s="4" t="n">
        <f aca="false">J182-K182</f>
        <v>139.48</v>
      </c>
    </row>
    <row r="183" customFormat="false" ht="15" hidden="false" customHeight="false" outlineLevel="0" collapsed="false">
      <c r="A183" s="0" t="n">
        <v>1131</v>
      </c>
      <c r="B183" s="2" t="n">
        <v>45375</v>
      </c>
      <c r="C183" s="3" t="s">
        <v>16</v>
      </c>
      <c r="D183" s="3" t="s">
        <v>13</v>
      </c>
      <c r="E183" s="3" t="s">
        <v>31</v>
      </c>
      <c r="F183" s="3" t="s">
        <v>15</v>
      </c>
      <c r="G183" s="0" t="n">
        <v>26</v>
      </c>
      <c r="H183" s="4" t="n">
        <v>43.4</v>
      </c>
      <c r="I183" s="4" t="n">
        <v>28.68</v>
      </c>
      <c r="J183" s="4" t="n">
        <f aca="false">G183*H183</f>
        <v>1128.4</v>
      </c>
      <c r="K183" s="4" t="n">
        <f aca="false">G183*I183</f>
        <v>745.68</v>
      </c>
      <c r="L183" s="4" t="n">
        <f aca="false">J183-K183</f>
        <v>382.72</v>
      </c>
    </row>
    <row r="184" customFormat="false" ht="15" hidden="false" customHeight="false" outlineLevel="0" collapsed="false">
      <c r="A184" s="0" t="n">
        <v>1139</v>
      </c>
      <c r="B184" s="2" t="n">
        <v>45375</v>
      </c>
      <c r="C184" s="3" t="s">
        <v>32</v>
      </c>
      <c r="D184" s="3" t="s">
        <v>13</v>
      </c>
      <c r="E184" s="3" t="s">
        <v>45</v>
      </c>
      <c r="F184" s="3" t="s">
        <v>33</v>
      </c>
      <c r="G184" s="0" t="n">
        <v>7</v>
      </c>
      <c r="H184" s="4" t="n">
        <v>40.05</v>
      </c>
      <c r="I184" s="4" t="n">
        <v>22.9</v>
      </c>
      <c r="J184" s="4" t="n">
        <f aca="false">G184*H184</f>
        <v>280.35</v>
      </c>
      <c r="K184" s="4" t="n">
        <f aca="false">G184*I184</f>
        <v>160.3</v>
      </c>
      <c r="L184" s="4" t="n">
        <f aca="false">J184-K184</f>
        <v>120.05</v>
      </c>
    </row>
    <row r="185" customFormat="false" ht="15" hidden="false" customHeight="false" outlineLevel="0" collapsed="false">
      <c r="A185" s="0" t="n">
        <v>2342</v>
      </c>
      <c r="B185" s="2" t="n">
        <v>45375</v>
      </c>
      <c r="C185" s="3" t="s">
        <v>23</v>
      </c>
      <c r="D185" s="3" t="s">
        <v>20</v>
      </c>
      <c r="E185" s="3" t="s">
        <v>21</v>
      </c>
      <c r="F185" s="3" t="s">
        <v>19</v>
      </c>
      <c r="G185" s="0" t="n">
        <v>25</v>
      </c>
      <c r="H185" s="4" t="n">
        <v>234.22</v>
      </c>
      <c r="I185" s="4" t="n">
        <v>129.12</v>
      </c>
      <c r="J185" s="4" t="n">
        <f aca="false">G185*H185</f>
        <v>5855.5</v>
      </c>
      <c r="K185" s="4" t="n">
        <f aca="false">G185*I185</f>
        <v>3228</v>
      </c>
      <c r="L185" s="4" t="n">
        <f aca="false">J185-K185</f>
        <v>2627.5</v>
      </c>
    </row>
    <row r="186" customFormat="false" ht="15" hidden="false" customHeight="false" outlineLevel="0" collapsed="false">
      <c r="A186" s="0" t="n">
        <v>2530</v>
      </c>
      <c r="B186" s="2" t="n">
        <v>45376</v>
      </c>
      <c r="C186" s="3" t="s">
        <v>23</v>
      </c>
      <c r="D186" s="3" t="s">
        <v>29</v>
      </c>
      <c r="E186" s="3" t="s">
        <v>30</v>
      </c>
      <c r="F186" s="3" t="s">
        <v>19</v>
      </c>
      <c r="G186" s="0" t="n">
        <v>1</v>
      </c>
      <c r="H186" s="4" t="n">
        <v>416.68</v>
      </c>
      <c r="I186" s="4" t="n">
        <v>232.25</v>
      </c>
      <c r="J186" s="4" t="n">
        <f aca="false">G186*H186</f>
        <v>416.68</v>
      </c>
      <c r="K186" s="4" t="n">
        <f aca="false">G186*I186</f>
        <v>232.25</v>
      </c>
      <c r="L186" s="4" t="n">
        <f aca="false">J186-K186</f>
        <v>184.43</v>
      </c>
    </row>
    <row r="187" customFormat="false" ht="15" hidden="false" customHeight="false" outlineLevel="0" collapsed="false">
      <c r="A187" s="0" t="n">
        <v>1428</v>
      </c>
      <c r="B187" s="2" t="n">
        <v>45377</v>
      </c>
      <c r="C187" s="3" t="s">
        <v>26</v>
      </c>
      <c r="D187" s="3" t="s">
        <v>29</v>
      </c>
      <c r="E187" s="3" t="s">
        <v>37</v>
      </c>
      <c r="F187" s="3" t="s">
        <v>25</v>
      </c>
      <c r="G187" s="0" t="n">
        <v>25</v>
      </c>
      <c r="H187" s="4" t="n">
        <v>199.35</v>
      </c>
      <c r="I187" s="4" t="n">
        <v>106.22</v>
      </c>
      <c r="J187" s="4" t="n">
        <f aca="false">G187*H187</f>
        <v>4983.75</v>
      </c>
      <c r="K187" s="4" t="n">
        <f aca="false">G187*I187</f>
        <v>2655.5</v>
      </c>
      <c r="L187" s="4" t="n">
        <f aca="false">J187-K187</f>
        <v>2328.25</v>
      </c>
    </row>
    <row r="188" customFormat="false" ht="15" hidden="false" customHeight="false" outlineLevel="0" collapsed="false">
      <c r="A188" s="0" t="n">
        <v>1618</v>
      </c>
      <c r="B188" s="2" t="n">
        <v>45378</v>
      </c>
      <c r="C188" s="3" t="s">
        <v>26</v>
      </c>
      <c r="D188" s="3" t="s">
        <v>29</v>
      </c>
      <c r="E188" s="3" t="s">
        <v>30</v>
      </c>
      <c r="F188" s="3" t="s">
        <v>33</v>
      </c>
      <c r="G188" s="0" t="n">
        <v>11</v>
      </c>
      <c r="H188" s="4" t="n">
        <v>273.58</v>
      </c>
      <c r="I188" s="4" t="n">
        <v>175.64</v>
      </c>
      <c r="J188" s="4" t="n">
        <f aca="false">G188*H188</f>
        <v>3009.38</v>
      </c>
      <c r="K188" s="4" t="n">
        <f aca="false">G188*I188</f>
        <v>1932.04</v>
      </c>
      <c r="L188" s="4" t="n">
        <f aca="false">J188-K188</f>
        <v>1077.34</v>
      </c>
    </row>
    <row r="189" customFormat="false" ht="15" hidden="false" customHeight="false" outlineLevel="0" collapsed="false">
      <c r="A189" s="0" t="n">
        <v>1702</v>
      </c>
      <c r="B189" s="2" t="n">
        <v>45378</v>
      </c>
      <c r="C189" s="3" t="s">
        <v>16</v>
      </c>
      <c r="D189" s="3" t="s">
        <v>29</v>
      </c>
      <c r="E189" s="3" t="s">
        <v>41</v>
      </c>
      <c r="F189" s="3" t="s">
        <v>22</v>
      </c>
      <c r="G189" s="0" t="n">
        <v>32</v>
      </c>
      <c r="H189" s="4" t="n">
        <v>263.55</v>
      </c>
      <c r="I189" s="4" t="n">
        <v>188.42</v>
      </c>
      <c r="J189" s="4" t="n">
        <f aca="false">G189*H189</f>
        <v>8433.6</v>
      </c>
      <c r="K189" s="4" t="n">
        <f aca="false">G189*I189</f>
        <v>6029.44</v>
      </c>
      <c r="L189" s="4" t="n">
        <f aca="false">J189-K189</f>
        <v>2404.16</v>
      </c>
    </row>
    <row r="190" customFormat="false" ht="15" hidden="false" customHeight="false" outlineLevel="0" collapsed="false">
      <c r="A190" s="0" t="n">
        <v>1818</v>
      </c>
      <c r="B190" s="2" t="n">
        <v>45378</v>
      </c>
      <c r="C190" s="3" t="s">
        <v>26</v>
      </c>
      <c r="D190" s="3" t="s">
        <v>29</v>
      </c>
      <c r="E190" s="3" t="s">
        <v>43</v>
      </c>
      <c r="F190" s="3" t="s">
        <v>19</v>
      </c>
      <c r="G190" s="0" t="n">
        <v>28</v>
      </c>
      <c r="H190" s="4" t="n">
        <v>184.3</v>
      </c>
      <c r="I190" s="4" t="n">
        <v>135.73</v>
      </c>
      <c r="J190" s="4" t="n">
        <f aca="false">G190*H190</f>
        <v>5160.4</v>
      </c>
      <c r="K190" s="4" t="n">
        <f aca="false">G190*I190</f>
        <v>3800.44</v>
      </c>
      <c r="L190" s="4" t="n">
        <f aca="false">J190-K190</f>
        <v>1359.96</v>
      </c>
    </row>
    <row r="191" customFormat="false" ht="15" hidden="false" customHeight="false" outlineLevel="0" collapsed="false">
      <c r="A191" s="0" t="n">
        <v>1870</v>
      </c>
      <c r="B191" s="2" t="n">
        <v>45378</v>
      </c>
      <c r="C191" s="3" t="s">
        <v>26</v>
      </c>
      <c r="D191" s="3" t="s">
        <v>13</v>
      </c>
      <c r="E191" s="3" t="s">
        <v>24</v>
      </c>
      <c r="F191" s="3" t="s">
        <v>36</v>
      </c>
      <c r="G191" s="0" t="n">
        <v>34</v>
      </c>
      <c r="H191" s="4" t="n">
        <v>13.34</v>
      </c>
      <c r="I191" s="4" t="n">
        <v>8.96</v>
      </c>
      <c r="J191" s="4" t="n">
        <f aca="false">G191*H191</f>
        <v>453.56</v>
      </c>
      <c r="K191" s="4" t="n">
        <f aca="false">G191*I191</f>
        <v>304.64</v>
      </c>
      <c r="L191" s="4" t="n">
        <f aca="false">J191-K191</f>
        <v>148.92</v>
      </c>
    </row>
    <row r="192" customFormat="false" ht="15" hidden="false" customHeight="false" outlineLevel="0" collapsed="false">
      <c r="A192" s="0" t="n">
        <v>1067</v>
      </c>
      <c r="B192" s="2" t="n">
        <v>45379</v>
      </c>
      <c r="C192" s="3" t="s">
        <v>12</v>
      </c>
      <c r="D192" s="3" t="s">
        <v>17</v>
      </c>
      <c r="E192" s="3" t="s">
        <v>35</v>
      </c>
      <c r="F192" s="3" t="s">
        <v>36</v>
      </c>
      <c r="G192" s="0" t="n">
        <v>39</v>
      </c>
      <c r="H192" s="4" t="n">
        <v>560.75</v>
      </c>
      <c r="I192" s="4" t="n">
        <v>407.74</v>
      </c>
      <c r="J192" s="4" t="n">
        <f aca="false">G192*H192</f>
        <v>21869.25</v>
      </c>
      <c r="K192" s="4" t="n">
        <f aca="false">G192*I192</f>
        <v>15901.86</v>
      </c>
      <c r="L192" s="4" t="n">
        <f aca="false">J192-K192</f>
        <v>5967.39</v>
      </c>
    </row>
    <row r="193" customFormat="false" ht="15" hidden="false" customHeight="false" outlineLevel="0" collapsed="false">
      <c r="A193" s="0" t="n">
        <v>1219</v>
      </c>
      <c r="B193" s="2" t="n">
        <v>45379</v>
      </c>
      <c r="C193" s="3" t="s">
        <v>16</v>
      </c>
      <c r="D193" s="3" t="s">
        <v>29</v>
      </c>
      <c r="E193" s="3" t="s">
        <v>37</v>
      </c>
      <c r="F193" s="3" t="s">
        <v>25</v>
      </c>
      <c r="G193" s="0" t="n">
        <v>6</v>
      </c>
      <c r="H193" s="4" t="n">
        <v>409.23</v>
      </c>
      <c r="I193" s="4" t="n">
        <v>244.48</v>
      </c>
      <c r="J193" s="4" t="n">
        <f aca="false">G193*H193</f>
        <v>2455.38</v>
      </c>
      <c r="K193" s="4" t="n">
        <f aca="false">G193*I193</f>
        <v>1466.88</v>
      </c>
      <c r="L193" s="4" t="n">
        <f aca="false">J193-K193</f>
        <v>988.5</v>
      </c>
    </row>
    <row r="194" customFormat="false" ht="15" hidden="false" customHeight="false" outlineLevel="0" collapsed="false">
      <c r="A194" s="0" t="n">
        <v>2564</v>
      </c>
      <c r="B194" s="2" t="n">
        <v>45379</v>
      </c>
      <c r="C194" s="3" t="s">
        <v>23</v>
      </c>
      <c r="D194" s="3" t="s">
        <v>20</v>
      </c>
      <c r="E194" s="3" t="s">
        <v>42</v>
      </c>
      <c r="F194" s="3" t="s">
        <v>36</v>
      </c>
      <c r="G194" s="0" t="n">
        <v>15</v>
      </c>
      <c r="H194" s="4" t="n">
        <v>284.64</v>
      </c>
      <c r="I194" s="4" t="n">
        <v>149.94</v>
      </c>
      <c r="J194" s="4" t="n">
        <f aca="false">G194*H194</f>
        <v>4269.6</v>
      </c>
      <c r="K194" s="4" t="n">
        <f aca="false">G194*I194</f>
        <v>2249.1</v>
      </c>
      <c r="L194" s="4" t="n">
        <f aca="false">J194-K194</f>
        <v>2020.5</v>
      </c>
    </row>
    <row r="195" customFormat="false" ht="15" hidden="false" customHeight="false" outlineLevel="0" collapsed="false">
      <c r="A195" s="0" t="n">
        <v>1492</v>
      </c>
      <c r="B195" s="2" t="n">
        <v>45381</v>
      </c>
      <c r="C195" s="3" t="s">
        <v>26</v>
      </c>
      <c r="D195" s="3" t="s">
        <v>17</v>
      </c>
      <c r="E195" s="3" t="s">
        <v>18</v>
      </c>
      <c r="F195" s="3" t="s">
        <v>19</v>
      </c>
      <c r="G195" s="0" t="n">
        <v>11</v>
      </c>
      <c r="H195" s="4" t="n">
        <v>624.56</v>
      </c>
      <c r="I195" s="4" t="n">
        <v>435.21</v>
      </c>
      <c r="J195" s="4" t="n">
        <f aca="false">G195*H195</f>
        <v>6870.16</v>
      </c>
      <c r="K195" s="4" t="n">
        <f aca="false">G195*I195</f>
        <v>4787.31</v>
      </c>
      <c r="L195" s="4" t="n">
        <f aca="false">J195-K195</f>
        <v>2082.85</v>
      </c>
    </row>
    <row r="196" customFormat="false" ht="15" hidden="false" customHeight="false" outlineLevel="0" collapsed="false">
      <c r="A196" s="0" t="n">
        <v>1471</v>
      </c>
      <c r="B196" s="2" t="n">
        <v>45382</v>
      </c>
      <c r="C196" s="3" t="s">
        <v>12</v>
      </c>
      <c r="D196" s="3" t="s">
        <v>13</v>
      </c>
      <c r="E196" s="3" t="s">
        <v>46</v>
      </c>
      <c r="F196" s="3" t="s">
        <v>28</v>
      </c>
      <c r="G196" s="0" t="n">
        <v>36</v>
      </c>
      <c r="H196" s="4" t="n">
        <v>4.22</v>
      </c>
      <c r="I196" s="4" t="n">
        <v>2.46</v>
      </c>
      <c r="J196" s="4" t="n">
        <f aca="false">G196*H196</f>
        <v>151.92</v>
      </c>
      <c r="K196" s="4" t="n">
        <f aca="false">G196*I196</f>
        <v>88.56</v>
      </c>
      <c r="L196" s="4" t="n">
        <f aca="false">J196-K196</f>
        <v>63.36</v>
      </c>
    </row>
    <row r="197" customFormat="false" ht="15" hidden="false" customHeight="false" outlineLevel="0" collapsed="false">
      <c r="A197" s="0" t="n">
        <v>2664</v>
      </c>
      <c r="B197" s="2" t="n">
        <v>45382</v>
      </c>
      <c r="C197" s="3" t="s">
        <v>16</v>
      </c>
      <c r="D197" s="3" t="s">
        <v>13</v>
      </c>
      <c r="E197" s="3" t="s">
        <v>14</v>
      </c>
      <c r="F197" s="3" t="s">
        <v>39</v>
      </c>
      <c r="G197" s="0" t="n">
        <v>20</v>
      </c>
      <c r="H197" s="4" t="n">
        <v>7.71</v>
      </c>
      <c r="I197" s="4" t="n">
        <v>3.99</v>
      </c>
      <c r="J197" s="4" t="n">
        <f aca="false">G197*H197</f>
        <v>154.2</v>
      </c>
      <c r="K197" s="4" t="n">
        <f aca="false">G197*I197</f>
        <v>79.8</v>
      </c>
      <c r="L197" s="4" t="n">
        <f aca="false">J197-K197</f>
        <v>74.4</v>
      </c>
    </row>
    <row r="198" customFormat="false" ht="15" hidden="false" customHeight="false" outlineLevel="0" collapsed="false">
      <c r="A198" s="0" t="n">
        <v>1642</v>
      </c>
      <c r="B198" s="2" t="n">
        <v>45383</v>
      </c>
      <c r="C198" s="3" t="s">
        <v>23</v>
      </c>
      <c r="D198" s="3" t="s">
        <v>13</v>
      </c>
      <c r="E198" s="3" t="s">
        <v>31</v>
      </c>
      <c r="F198" s="3" t="s">
        <v>19</v>
      </c>
      <c r="G198" s="0" t="n">
        <v>4</v>
      </c>
      <c r="H198" s="4" t="n">
        <v>27.45</v>
      </c>
      <c r="I198" s="4" t="n">
        <v>16.25</v>
      </c>
      <c r="J198" s="4" t="n">
        <f aca="false">G198*H198</f>
        <v>109.8</v>
      </c>
      <c r="K198" s="4" t="n">
        <f aca="false">G198*I198</f>
        <v>65</v>
      </c>
      <c r="L198" s="4" t="n">
        <f aca="false">J198-K198</f>
        <v>44.8</v>
      </c>
    </row>
    <row r="199" customFormat="false" ht="15" hidden="false" customHeight="false" outlineLevel="0" collapsed="false">
      <c r="A199" s="0" t="n">
        <v>1892</v>
      </c>
      <c r="B199" s="2" t="n">
        <v>45383</v>
      </c>
      <c r="C199" s="3" t="s">
        <v>26</v>
      </c>
      <c r="D199" s="3" t="s">
        <v>13</v>
      </c>
      <c r="E199" s="3" t="s">
        <v>14</v>
      </c>
      <c r="F199" s="3" t="s">
        <v>15</v>
      </c>
      <c r="G199" s="0" t="n">
        <v>31</v>
      </c>
      <c r="H199" s="4" t="n">
        <v>46.5</v>
      </c>
      <c r="I199" s="4" t="n">
        <v>34.18</v>
      </c>
      <c r="J199" s="4" t="n">
        <f aca="false">G199*H199</f>
        <v>1441.5</v>
      </c>
      <c r="K199" s="4" t="n">
        <f aca="false">G199*I199</f>
        <v>1059.58</v>
      </c>
      <c r="L199" s="4" t="n">
        <f aca="false">J199-K199</f>
        <v>381.92</v>
      </c>
    </row>
    <row r="200" customFormat="false" ht="15" hidden="false" customHeight="false" outlineLevel="0" collapsed="false">
      <c r="A200" s="0" t="n">
        <v>1087</v>
      </c>
      <c r="B200" s="2" t="n">
        <v>45384</v>
      </c>
      <c r="C200" s="3" t="s">
        <v>23</v>
      </c>
      <c r="D200" s="3" t="s">
        <v>17</v>
      </c>
      <c r="E200" s="3" t="s">
        <v>27</v>
      </c>
      <c r="F200" s="3" t="s">
        <v>28</v>
      </c>
      <c r="G200" s="0" t="n">
        <v>11</v>
      </c>
      <c r="H200" s="4" t="n">
        <v>642.96</v>
      </c>
      <c r="I200" s="4" t="n">
        <v>368.64</v>
      </c>
      <c r="J200" s="4" t="n">
        <f aca="false">G200*H200</f>
        <v>7072.56</v>
      </c>
      <c r="K200" s="4" t="n">
        <f aca="false">G200*I200</f>
        <v>4055.04</v>
      </c>
      <c r="L200" s="4" t="n">
        <f aca="false">J200-K200</f>
        <v>3017.52</v>
      </c>
    </row>
    <row r="201" customFormat="false" ht="15" hidden="false" customHeight="false" outlineLevel="0" collapsed="false">
      <c r="A201" s="0" t="n">
        <v>1127</v>
      </c>
      <c r="B201" s="2" t="n">
        <v>45384</v>
      </c>
      <c r="C201" s="3" t="s">
        <v>16</v>
      </c>
      <c r="D201" s="3" t="s">
        <v>20</v>
      </c>
      <c r="E201" s="3" t="s">
        <v>21</v>
      </c>
      <c r="F201" s="3" t="s">
        <v>22</v>
      </c>
      <c r="G201" s="0" t="n">
        <v>29</v>
      </c>
      <c r="H201" s="4" t="n">
        <v>189.4</v>
      </c>
      <c r="I201" s="4" t="n">
        <v>118.44</v>
      </c>
      <c r="J201" s="4" t="n">
        <f aca="false">G201*H201</f>
        <v>5492.6</v>
      </c>
      <c r="K201" s="4" t="n">
        <f aca="false">G201*I201</f>
        <v>3434.76</v>
      </c>
      <c r="L201" s="4" t="n">
        <f aca="false">J201-K201</f>
        <v>2057.84</v>
      </c>
    </row>
    <row r="202" customFormat="false" ht="15" hidden="false" customHeight="false" outlineLevel="0" collapsed="false">
      <c r="A202" s="0" t="n">
        <v>1631</v>
      </c>
      <c r="B202" s="2" t="n">
        <v>45384</v>
      </c>
      <c r="C202" s="3" t="s">
        <v>12</v>
      </c>
      <c r="D202" s="3" t="s">
        <v>17</v>
      </c>
      <c r="E202" s="3" t="s">
        <v>40</v>
      </c>
      <c r="F202" s="3" t="s">
        <v>33</v>
      </c>
      <c r="G202" s="0" t="n">
        <v>38</v>
      </c>
      <c r="H202" s="4" t="n">
        <v>679.28</v>
      </c>
      <c r="I202" s="4" t="n">
        <v>376.66</v>
      </c>
      <c r="J202" s="4" t="n">
        <f aca="false">G202*H202</f>
        <v>25812.64</v>
      </c>
      <c r="K202" s="4" t="n">
        <f aca="false">G202*I202</f>
        <v>14313.08</v>
      </c>
      <c r="L202" s="4" t="n">
        <f aca="false">J202-K202</f>
        <v>11499.56</v>
      </c>
    </row>
    <row r="203" customFormat="false" ht="15" hidden="false" customHeight="false" outlineLevel="0" collapsed="false">
      <c r="A203" s="0" t="n">
        <v>2539</v>
      </c>
      <c r="B203" s="2" t="n">
        <v>45384</v>
      </c>
      <c r="C203" s="3" t="s">
        <v>16</v>
      </c>
      <c r="D203" s="3" t="s">
        <v>20</v>
      </c>
      <c r="E203" s="3" t="s">
        <v>21</v>
      </c>
      <c r="F203" s="3" t="s">
        <v>39</v>
      </c>
      <c r="G203" s="0" t="n">
        <v>7</v>
      </c>
      <c r="H203" s="4" t="n">
        <v>143.07</v>
      </c>
      <c r="I203" s="4" t="n">
        <v>75.86</v>
      </c>
      <c r="J203" s="4" t="n">
        <f aca="false">G203*H203</f>
        <v>1001.49</v>
      </c>
      <c r="K203" s="4" t="n">
        <f aca="false">G203*I203</f>
        <v>531.02</v>
      </c>
      <c r="L203" s="4" t="n">
        <f aca="false">J203-K203</f>
        <v>470.47</v>
      </c>
    </row>
    <row r="204" customFormat="false" ht="15" hidden="false" customHeight="false" outlineLevel="0" collapsed="false">
      <c r="A204" s="0" t="n">
        <v>2651</v>
      </c>
      <c r="B204" s="2" t="n">
        <v>45384</v>
      </c>
      <c r="C204" s="3" t="s">
        <v>12</v>
      </c>
      <c r="D204" s="3" t="s">
        <v>20</v>
      </c>
      <c r="E204" s="3" t="s">
        <v>38</v>
      </c>
      <c r="F204" s="3" t="s">
        <v>36</v>
      </c>
      <c r="G204" s="0" t="n">
        <v>39</v>
      </c>
      <c r="H204" s="4" t="n">
        <v>243.23</v>
      </c>
      <c r="I204" s="4" t="n">
        <v>160.83</v>
      </c>
      <c r="J204" s="4" t="n">
        <f aca="false">G204*H204</f>
        <v>9485.97</v>
      </c>
      <c r="K204" s="4" t="n">
        <f aca="false">G204*I204</f>
        <v>6272.37</v>
      </c>
      <c r="L204" s="4" t="n">
        <f aca="false">J204-K204</f>
        <v>3213.6</v>
      </c>
    </row>
    <row r="205" customFormat="false" ht="15" hidden="false" customHeight="false" outlineLevel="0" collapsed="false">
      <c r="A205" s="0" t="n">
        <v>2510</v>
      </c>
      <c r="B205" s="2" t="n">
        <v>45385</v>
      </c>
      <c r="C205" s="3" t="s">
        <v>32</v>
      </c>
      <c r="D205" s="3" t="s">
        <v>13</v>
      </c>
      <c r="E205" s="3" t="s">
        <v>24</v>
      </c>
      <c r="F205" s="3" t="s">
        <v>36</v>
      </c>
      <c r="G205" s="0" t="n">
        <v>29</v>
      </c>
      <c r="H205" s="4" t="n">
        <v>14.17</v>
      </c>
      <c r="I205" s="4" t="n">
        <v>7.18</v>
      </c>
      <c r="J205" s="4" t="n">
        <f aca="false">G205*H205</f>
        <v>410.93</v>
      </c>
      <c r="K205" s="4" t="n">
        <f aca="false">G205*I205</f>
        <v>208.22</v>
      </c>
      <c r="L205" s="4" t="n">
        <f aca="false">J205-K205</f>
        <v>202.71</v>
      </c>
    </row>
    <row r="206" customFormat="false" ht="15" hidden="false" customHeight="false" outlineLevel="0" collapsed="false">
      <c r="A206" s="0" t="n">
        <v>2737</v>
      </c>
      <c r="B206" s="2" t="n">
        <v>45385</v>
      </c>
      <c r="C206" s="3" t="s">
        <v>26</v>
      </c>
      <c r="D206" s="3" t="s">
        <v>20</v>
      </c>
      <c r="E206" s="3" t="s">
        <v>42</v>
      </c>
      <c r="F206" s="3" t="s">
        <v>19</v>
      </c>
      <c r="G206" s="0" t="n">
        <v>25</v>
      </c>
      <c r="H206" s="4" t="n">
        <v>161.59</v>
      </c>
      <c r="I206" s="4" t="n">
        <v>87.19</v>
      </c>
      <c r="J206" s="4" t="n">
        <f aca="false">G206*H206</f>
        <v>4039.75</v>
      </c>
      <c r="K206" s="4" t="n">
        <f aca="false">G206*I206</f>
        <v>2179.75</v>
      </c>
      <c r="L206" s="4" t="n">
        <f aca="false">J206-K206</f>
        <v>1860</v>
      </c>
    </row>
    <row r="207" customFormat="false" ht="15" hidden="false" customHeight="false" outlineLevel="0" collapsed="false">
      <c r="A207" s="0" t="n">
        <v>1786</v>
      </c>
      <c r="B207" s="2" t="n">
        <v>45386</v>
      </c>
      <c r="C207" s="3" t="s">
        <v>23</v>
      </c>
      <c r="D207" s="3" t="s">
        <v>20</v>
      </c>
      <c r="E207" s="3" t="s">
        <v>42</v>
      </c>
      <c r="F207" s="3" t="s">
        <v>39</v>
      </c>
      <c r="G207" s="0" t="n">
        <v>28</v>
      </c>
      <c r="H207" s="4" t="n">
        <v>160.18</v>
      </c>
      <c r="I207" s="4" t="n">
        <v>101.44</v>
      </c>
      <c r="J207" s="4" t="n">
        <f aca="false">G207*H207</f>
        <v>4485.04</v>
      </c>
      <c r="K207" s="4" t="n">
        <f aca="false">G207*I207</f>
        <v>2840.32</v>
      </c>
      <c r="L207" s="4" t="n">
        <f aca="false">J207-K207</f>
        <v>1644.72</v>
      </c>
    </row>
    <row r="208" customFormat="false" ht="15" hidden="false" customHeight="false" outlineLevel="0" collapsed="false">
      <c r="A208" s="0" t="n">
        <v>1938</v>
      </c>
      <c r="B208" s="2" t="n">
        <v>45386</v>
      </c>
      <c r="C208" s="3" t="s">
        <v>32</v>
      </c>
      <c r="D208" s="3" t="s">
        <v>29</v>
      </c>
      <c r="E208" s="3" t="s">
        <v>30</v>
      </c>
      <c r="F208" s="3" t="s">
        <v>33</v>
      </c>
      <c r="G208" s="0" t="n">
        <v>36</v>
      </c>
      <c r="H208" s="4" t="n">
        <v>351.8</v>
      </c>
      <c r="I208" s="4" t="n">
        <v>237.02</v>
      </c>
      <c r="J208" s="4" t="n">
        <f aca="false">G208*H208</f>
        <v>12664.8</v>
      </c>
      <c r="K208" s="4" t="n">
        <f aca="false">G208*I208</f>
        <v>8532.72</v>
      </c>
      <c r="L208" s="4" t="n">
        <f aca="false">J208-K208</f>
        <v>4132.08</v>
      </c>
    </row>
    <row r="209" customFormat="false" ht="15" hidden="false" customHeight="false" outlineLevel="0" collapsed="false">
      <c r="A209" s="0" t="n">
        <v>2281</v>
      </c>
      <c r="B209" s="2" t="n">
        <v>45386</v>
      </c>
      <c r="C209" s="3" t="s">
        <v>32</v>
      </c>
      <c r="D209" s="3" t="s">
        <v>29</v>
      </c>
      <c r="E209" s="3" t="s">
        <v>43</v>
      </c>
      <c r="F209" s="3" t="s">
        <v>25</v>
      </c>
      <c r="G209" s="0" t="n">
        <v>27</v>
      </c>
      <c r="H209" s="4" t="n">
        <v>248.24</v>
      </c>
      <c r="I209" s="4" t="n">
        <v>149.96</v>
      </c>
      <c r="J209" s="4" t="n">
        <f aca="false">G209*H209</f>
        <v>6702.48</v>
      </c>
      <c r="K209" s="4" t="n">
        <f aca="false">G209*I209</f>
        <v>4048.92</v>
      </c>
      <c r="L209" s="4" t="n">
        <f aca="false">J209-K209</f>
        <v>2653.56</v>
      </c>
    </row>
    <row r="210" customFormat="false" ht="15" hidden="false" customHeight="false" outlineLevel="0" collapsed="false">
      <c r="A210" s="0" t="n">
        <v>2311</v>
      </c>
      <c r="B210" s="2" t="n">
        <v>45386</v>
      </c>
      <c r="C210" s="3" t="s">
        <v>26</v>
      </c>
      <c r="D210" s="3" t="s">
        <v>13</v>
      </c>
      <c r="E210" s="3" t="s">
        <v>45</v>
      </c>
      <c r="F210" s="3" t="s">
        <v>28</v>
      </c>
      <c r="G210" s="0" t="n">
        <v>25</v>
      </c>
      <c r="H210" s="4" t="n">
        <v>16.76</v>
      </c>
      <c r="I210" s="4" t="n">
        <v>9.68</v>
      </c>
      <c r="J210" s="4" t="n">
        <f aca="false">G210*H210</f>
        <v>419</v>
      </c>
      <c r="K210" s="4" t="n">
        <f aca="false">G210*I210</f>
        <v>242</v>
      </c>
      <c r="L210" s="4" t="n">
        <f aca="false">J210-K210</f>
        <v>177</v>
      </c>
    </row>
    <row r="211" customFormat="false" ht="15" hidden="false" customHeight="false" outlineLevel="0" collapsed="false">
      <c r="A211" s="0" t="n">
        <v>1932</v>
      </c>
      <c r="B211" s="2" t="n">
        <v>45389</v>
      </c>
      <c r="C211" s="3" t="s">
        <v>23</v>
      </c>
      <c r="D211" s="3" t="s">
        <v>29</v>
      </c>
      <c r="E211" s="3" t="s">
        <v>43</v>
      </c>
      <c r="F211" s="3" t="s">
        <v>33</v>
      </c>
      <c r="G211" s="0" t="n">
        <v>23</v>
      </c>
      <c r="H211" s="4" t="n">
        <v>211.53</v>
      </c>
      <c r="I211" s="4" t="n">
        <v>126.57</v>
      </c>
      <c r="J211" s="4" t="n">
        <f aca="false">G211*H211</f>
        <v>4865.19</v>
      </c>
      <c r="K211" s="4" t="n">
        <f aca="false">G211*I211</f>
        <v>2911.11</v>
      </c>
      <c r="L211" s="4" t="n">
        <f aca="false">J211-K211</f>
        <v>1954.08</v>
      </c>
    </row>
    <row r="212" customFormat="false" ht="15" hidden="false" customHeight="false" outlineLevel="0" collapsed="false">
      <c r="A212" s="0" t="n">
        <v>2165</v>
      </c>
      <c r="B212" s="2" t="n">
        <v>45389</v>
      </c>
      <c r="C212" s="3" t="s">
        <v>23</v>
      </c>
      <c r="D212" s="3" t="s">
        <v>29</v>
      </c>
      <c r="E212" s="3" t="s">
        <v>30</v>
      </c>
      <c r="F212" s="3" t="s">
        <v>39</v>
      </c>
      <c r="G212" s="0" t="n">
        <v>15</v>
      </c>
      <c r="H212" s="4" t="n">
        <v>206.47</v>
      </c>
      <c r="I212" s="4" t="n">
        <v>127.09</v>
      </c>
      <c r="J212" s="4" t="n">
        <f aca="false">G212*H212</f>
        <v>3097.05</v>
      </c>
      <c r="K212" s="4" t="n">
        <f aca="false">G212*I212</f>
        <v>1906.35</v>
      </c>
      <c r="L212" s="4" t="n">
        <f aca="false">J212-K212</f>
        <v>1190.7</v>
      </c>
    </row>
    <row r="213" customFormat="false" ht="15" hidden="false" customHeight="false" outlineLevel="0" collapsed="false">
      <c r="A213" s="0" t="n">
        <v>2265</v>
      </c>
      <c r="B213" s="2" t="n">
        <v>45389</v>
      </c>
      <c r="C213" s="3" t="s">
        <v>26</v>
      </c>
      <c r="D213" s="3" t="s">
        <v>20</v>
      </c>
      <c r="E213" s="3" t="s">
        <v>21</v>
      </c>
      <c r="F213" s="3" t="s">
        <v>19</v>
      </c>
      <c r="G213" s="0" t="n">
        <v>18</v>
      </c>
      <c r="H213" s="4" t="n">
        <v>104.99</v>
      </c>
      <c r="I213" s="4" t="n">
        <v>77.57</v>
      </c>
      <c r="J213" s="4" t="n">
        <f aca="false">G213*H213</f>
        <v>1889.82</v>
      </c>
      <c r="K213" s="4" t="n">
        <f aca="false">G213*I213</f>
        <v>1396.26</v>
      </c>
      <c r="L213" s="4" t="n">
        <f aca="false">J213-K213</f>
        <v>493.56</v>
      </c>
    </row>
    <row r="214" customFormat="false" ht="15" hidden="false" customHeight="false" outlineLevel="0" collapsed="false">
      <c r="A214" s="0" t="n">
        <v>1767</v>
      </c>
      <c r="B214" s="2" t="n">
        <v>45390</v>
      </c>
      <c r="C214" s="3" t="s">
        <v>12</v>
      </c>
      <c r="D214" s="3" t="s">
        <v>13</v>
      </c>
      <c r="E214" s="3" t="s">
        <v>45</v>
      </c>
      <c r="F214" s="3" t="s">
        <v>36</v>
      </c>
      <c r="G214" s="0" t="n">
        <v>33</v>
      </c>
      <c r="H214" s="4" t="n">
        <v>21.65</v>
      </c>
      <c r="I214" s="4" t="n">
        <v>11.95</v>
      </c>
      <c r="J214" s="4" t="n">
        <f aca="false">G214*H214</f>
        <v>714.45</v>
      </c>
      <c r="K214" s="4" t="n">
        <f aca="false">G214*I214</f>
        <v>394.35</v>
      </c>
      <c r="L214" s="4" t="n">
        <f aca="false">J214-K214</f>
        <v>320.1</v>
      </c>
    </row>
    <row r="215" customFormat="false" ht="15" hidden="false" customHeight="false" outlineLevel="0" collapsed="false">
      <c r="A215" s="0" t="n">
        <v>2698</v>
      </c>
      <c r="B215" s="2" t="n">
        <v>45390</v>
      </c>
      <c r="C215" s="3" t="s">
        <v>16</v>
      </c>
      <c r="D215" s="3" t="s">
        <v>13</v>
      </c>
      <c r="E215" s="3" t="s">
        <v>24</v>
      </c>
      <c r="F215" s="3" t="s">
        <v>28</v>
      </c>
      <c r="G215" s="0" t="n">
        <v>11</v>
      </c>
      <c r="H215" s="4" t="n">
        <v>13.13</v>
      </c>
      <c r="I215" s="4" t="n">
        <v>6.98</v>
      </c>
      <c r="J215" s="4" t="n">
        <f aca="false">G215*H215</f>
        <v>144.43</v>
      </c>
      <c r="K215" s="4" t="n">
        <f aca="false">G215*I215</f>
        <v>76.78</v>
      </c>
      <c r="L215" s="4" t="n">
        <f aca="false">J215-K215</f>
        <v>67.65</v>
      </c>
    </row>
    <row r="216" customFormat="false" ht="15" hidden="false" customHeight="false" outlineLevel="0" collapsed="false">
      <c r="A216" s="0" t="n">
        <v>1004</v>
      </c>
      <c r="B216" s="2" t="n">
        <v>45391</v>
      </c>
      <c r="C216" s="3" t="s">
        <v>32</v>
      </c>
      <c r="D216" s="3" t="s">
        <v>29</v>
      </c>
      <c r="E216" s="3" t="s">
        <v>43</v>
      </c>
      <c r="F216" s="3" t="s">
        <v>22</v>
      </c>
      <c r="G216" s="0" t="n">
        <v>30</v>
      </c>
      <c r="H216" s="4" t="n">
        <v>238.98</v>
      </c>
      <c r="I216" s="4" t="n">
        <v>169.04</v>
      </c>
      <c r="J216" s="4" t="n">
        <f aca="false">G216*H216</f>
        <v>7169.4</v>
      </c>
      <c r="K216" s="4" t="n">
        <f aca="false">G216*I216</f>
        <v>5071.2</v>
      </c>
      <c r="L216" s="4" t="n">
        <f aca="false">J216-K216</f>
        <v>2098.2</v>
      </c>
    </row>
    <row r="217" customFormat="false" ht="15" hidden="false" customHeight="false" outlineLevel="0" collapsed="false">
      <c r="A217" s="0" t="n">
        <v>1165</v>
      </c>
      <c r="B217" s="2" t="n">
        <v>45391</v>
      </c>
      <c r="C217" s="3" t="s">
        <v>26</v>
      </c>
      <c r="D217" s="3" t="s">
        <v>29</v>
      </c>
      <c r="E217" s="3" t="s">
        <v>41</v>
      </c>
      <c r="F217" s="3" t="s">
        <v>36</v>
      </c>
      <c r="G217" s="0" t="n">
        <v>16</v>
      </c>
      <c r="H217" s="4" t="n">
        <v>421.66</v>
      </c>
      <c r="I217" s="4" t="n">
        <v>286.85</v>
      </c>
      <c r="J217" s="4" t="n">
        <f aca="false">G217*H217</f>
        <v>6746.56</v>
      </c>
      <c r="K217" s="4" t="n">
        <f aca="false">G217*I217</f>
        <v>4589.6</v>
      </c>
      <c r="L217" s="4" t="n">
        <f aca="false">J217-K217</f>
        <v>2156.96</v>
      </c>
    </row>
    <row r="218" customFormat="false" ht="15" hidden="false" customHeight="false" outlineLevel="0" collapsed="false">
      <c r="A218" s="0" t="n">
        <v>2101</v>
      </c>
      <c r="B218" s="2" t="n">
        <v>45391</v>
      </c>
      <c r="C218" s="3" t="s">
        <v>12</v>
      </c>
      <c r="D218" s="3" t="s">
        <v>13</v>
      </c>
      <c r="E218" s="3" t="s">
        <v>45</v>
      </c>
      <c r="F218" s="3" t="s">
        <v>33</v>
      </c>
      <c r="G218" s="0" t="n">
        <v>15</v>
      </c>
      <c r="H218" s="4" t="n">
        <v>19.41</v>
      </c>
      <c r="I218" s="4" t="n">
        <v>12.56</v>
      </c>
      <c r="J218" s="4" t="n">
        <f aca="false">G218*H218</f>
        <v>291.15</v>
      </c>
      <c r="K218" s="4" t="n">
        <f aca="false">G218*I218</f>
        <v>188.4</v>
      </c>
      <c r="L218" s="4" t="n">
        <f aca="false">J218-K218</f>
        <v>102.75</v>
      </c>
    </row>
    <row r="219" customFormat="false" ht="15" hidden="false" customHeight="false" outlineLevel="0" collapsed="false">
      <c r="A219" s="0" t="n">
        <v>1206</v>
      </c>
      <c r="B219" s="2" t="n">
        <v>45392</v>
      </c>
      <c r="C219" s="3" t="s">
        <v>23</v>
      </c>
      <c r="D219" s="3" t="s">
        <v>29</v>
      </c>
      <c r="E219" s="3" t="s">
        <v>37</v>
      </c>
      <c r="F219" s="3" t="s">
        <v>33</v>
      </c>
      <c r="G219" s="0" t="n">
        <v>21</v>
      </c>
      <c r="H219" s="4" t="n">
        <v>172.94</v>
      </c>
      <c r="I219" s="4" t="n">
        <v>97.74</v>
      </c>
      <c r="J219" s="4" t="n">
        <f aca="false">G219*H219</f>
        <v>3631.74</v>
      </c>
      <c r="K219" s="4" t="n">
        <f aca="false">G219*I219</f>
        <v>2052.54</v>
      </c>
      <c r="L219" s="4" t="n">
        <f aca="false">J219-K219</f>
        <v>1579.2</v>
      </c>
    </row>
    <row r="220" customFormat="false" ht="15" hidden="false" customHeight="false" outlineLevel="0" collapsed="false">
      <c r="A220" s="0" t="n">
        <v>1505</v>
      </c>
      <c r="B220" s="2" t="n">
        <v>45392</v>
      </c>
      <c r="C220" s="3" t="s">
        <v>16</v>
      </c>
      <c r="D220" s="3" t="s">
        <v>13</v>
      </c>
      <c r="E220" s="3" t="s">
        <v>24</v>
      </c>
      <c r="F220" s="3" t="s">
        <v>22</v>
      </c>
      <c r="G220" s="0" t="n">
        <v>30</v>
      </c>
      <c r="H220" s="4" t="n">
        <v>52.29</v>
      </c>
      <c r="I220" s="4" t="n">
        <v>26.72</v>
      </c>
      <c r="J220" s="4" t="n">
        <f aca="false">G220*H220</f>
        <v>1568.7</v>
      </c>
      <c r="K220" s="4" t="n">
        <f aca="false">G220*I220</f>
        <v>801.6</v>
      </c>
      <c r="L220" s="4" t="n">
        <f aca="false">J220-K220</f>
        <v>767.1</v>
      </c>
    </row>
    <row r="221" customFormat="false" ht="15" hidden="false" customHeight="false" outlineLevel="0" collapsed="false">
      <c r="A221" s="0" t="n">
        <v>1944</v>
      </c>
      <c r="B221" s="2" t="n">
        <v>45392</v>
      </c>
      <c r="C221" s="3" t="s">
        <v>26</v>
      </c>
      <c r="D221" s="3" t="s">
        <v>20</v>
      </c>
      <c r="E221" s="3" t="s">
        <v>21</v>
      </c>
      <c r="F221" s="3" t="s">
        <v>39</v>
      </c>
      <c r="G221" s="0" t="n">
        <v>19</v>
      </c>
      <c r="H221" s="4" t="n">
        <v>190.09</v>
      </c>
      <c r="I221" s="4" t="n">
        <v>119.69</v>
      </c>
      <c r="J221" s="4" t="n">
        <f aca="false">G221*H221</f>
        <v>3611.71</v>
      </c>
      <c r="K221" s="4" t="n">
        <f aca="false">G221*I221</f>
        <v>2274.11</v>
      </c>
      <c r="L221" s="4" t="n">
        <f aca="false">J221-K221</f>
        <v>1337.6</v>
      </c>
    </row>
    <row r="222" customFormat="false" ht="15" hidden="false" customHeight="false" outlineLevel="0" collapsed="false">
      <c r="A222" s="0" t="n">
        <v>1820</v>
      </c>
      <c r="B222" s="2" t="n">
        <v>45393</v>
      </c>
      <c r="C222" s="3" t="s">
        <v>26</v>
      </c>
      <c r="D222" s="3" t="s">
        <v>13</v>
      </c>
      <c r="E222" s="3" t="s">
        <v>45</v>
      </c>
      <c r="F222" s="3" t="s">
        <v>39</v>
      </c>
      <c r="G222" s="0" t="n">
        <v>10</v>
      </c>
      <c r="H222" s="4" t="n">
        <v>50.46</v>
      </c>
      <c r="I222" s="4" t="n">
        <v>27.96</v>
      </c>
      <c r="J222" s="4" t="n">
        <f aca="false">G222*H222</f>
        <v>504.6</v>
      </c>
      <c r="K222" s="4" t="n">
        <f aca="false">G222*I222</f>
        <v>279.6</v>
      </c>
      <c r="L222" s="4" t="n">
        <f aca="false">J222-K222</f>
        <v>225</v>
      </c>
    </row>
    <row r="223" customFormat="false" ht="15" hidden="false" customHeight="false" outlineLevel="0" collapsed="false">
      <c r="A223" s="0" t="n">
        <v>2157</v>
      </c>
      <c r="B223" s="2" t="n">
        <v>45394</v>
      </c>
      <c r="C223" s="3" t="s">
        <v>32</v>
      </c>
      <c r="D223" s="3" t="s">
        <v>29</v>
      </c>
      <c r="E223" s="3" t="s">
        <v>43</v>
      </c>
      <c r="F223" s="3" t="s">
        <v>25</v>
      </c>
      <c r="G223" s="0" t="n">
        <v>28</v>
      </c>
      <c r="H223" s="4" t="n">
        <v>176.33</v>
      </c>
      <c r="I223" s="4" t="n">
        <v>116.84</v>
      </c>
      <c r="J223" s="4" t="n">
        <f aca="false">G223*H223</f>
        <v>4937.24</v>
      </c>
      <c r="K223" s="4" t="n">
        <f aca="false">G223*I223</f>
        <v>3271.52</v>
      </c>
      <c r="L223" s="4" t="n">
        <f aca="false">J223-K223</f>
        <v>1665.72</v>
      </c>
    </row>
    <row r="224" customFormat="false" ht="15" hidden="false" customHeight="false" outlineLevel="0" collapsed="false">
      <c r="A224" s="0" t="n">
        <v>2405</v>
      </c>
      <c r="B224" s="2" t="n">
        <v>45394</v>
      </c>
      <c r="C224" s="3" t="s">
        <v>32</v>
      </c>
      <c r="D224" s="3" t="s">
        <v>17</v>
      </c>
      <c r="E224" s="3" t="s">
        <v>27</v>
      </c>
      <c r="F224" s="3" t="s">
        <v>15</v>
      </c>
      <c r="G224" s="0" t="n">
        <v>22</v>
      </c>
      <c r="H224" s="4" t="n">
        <v>327.38</v>
      </c>
      <c r="I224" s="4" t="n">
        <v>170.14</v>
      </c>
      <c r="J224" s="4" t="n">
        <f aca="false">G224*H224</f>
        <v>7202.36</v>
      </c>
      <c r="K224" s="4" t="n">
        <f aca="false">G224*I224</f>
        <v>3743.08</v>
      </c>
      <c r="L224" s="4" t="n">
        <f aca="false">J224-K224</f>
        <v>3459.28</v>
      </c>
    </row>
    <row r="225" customFormat="false" ht="15" hidden="false" customHeight="false" outlineLevel="0" collapsed="false">
      <c r="A225" s="0" t="n">
        <v>2430</v>
      </c>
      <c r="B225" s="2" t="n">
        <v>45394</v>
      </c>
      <c r="C225" s="3" t="s">
        <v>26</v>
      </c>
      <c r="D225" s="3" t="s">
        <v>13</v>
      </c>
      <c r="E225" s="3" t="s">
        <v>46</v>
      </c>
      <c r="F225" s="3" t="s">
        <v>15</v>
      </c>
      <c r="G225" s="0" t="n">
        <v>1</v>
      </c>
      <c r="H225" s="4" t="n">
        <v>22.89</v>
      </c>
      <c r="I225" s="4" t="n">
        <v>15.43</v>
      </c>
      <c r="J225" s="4" t="n">
        <f aca="false">G225*H225</f>
        <v>22.89</v>
      </c>
      <c r="K225" s="4" t="n">
        <f aca="false">G225*I225</f>
        <v>15.43</v>
      </c>
      <c r="L225" s="4" t="n">
        <f aca="false">J225-K225</f>
        <v>7.46</v>
      </c>
    </row>
    <row r="226" customFormat="false" ht="15" hidden="false" customHeight="false" outlineLevel="0" collapsed="false">
      <c r="A226" s="0" t="n">
        <v>2617</v>
      </c>
      <c r="B226" s="2" t="n">
        <v>45394</v>
      </c>
      <c r="C226" s="3" t="s">
        <v>26</v>
      </c>
      <c r="D226" s="3" t="s">
        <v>29</v>
      </c>
      <c r="E226" s="3" t="s">
        <v>43</v>
      </c>
      <c r="F226" s="3" t="s">
        <v>36</v>
      </c>
      <c r="G226" s="0" t="n">
        <v>4</v>
      </c>
      <c r="H226" s="4" t="n">
        <v>305.48</v>
      </c>
      <c r="I226" s="4" t="n">
        <v>197.71</v>
      </c>
      <c r="J226" s="4" t="n">
        <f aca="false">G226*H226</f>
        <v>1221.92</v>
      </c>
      <c r="K226" s="4" t="n">
        <f aca="false">G226*I226</f>
        <v>790.84</v>
      </c>
      <c r="L226" s="4" t="n">
        <f aca="false">J226-K226</f>
        <v>431.08</v>
      </c>
    </row>
    <row r="227" customFormat="false" ht="15" hidden="false" customHeight="false" outlineLevel="0" collapsed="false">
      <c r="A227" s="0" t="n">
        <v>1792</v>
      </c>
      <c r="B227" s="2" t="n">
        <v>45395</v>
      </c>
      <c r="C227" s="3" t="s">
        <v>26</v>
      </c>
      <c r="D227" s="3" t="s">
        <v>17</v>
      </c>
      <c r="E227" s="3" t="s">
        <v>40</v>
      </c>
      <c r="F227" s="3" t="s">
        <v>22</v>
      </c>
      <c r="G227" s="0" t="n">
        <v>38</v>
      </c>
      <c r="H227" s="4" t="n">
        <v>722.93</v>
      </c>
      <c r="I227" s="4" t="n">
        <v>429.36</v>
      </c>
      <c r="J227" s="4" t="n">
        <f aca="false">G227*H227</f>
        <v>27471.34</v>
      </c>
      <c r="K227" s="4" t="n">
        <f aca="false">G227*I227</f>
        <v>16315.68</v>
      </c>
      <c r="L227" s="4" t="n">
        <f aca="false">J227-K227</f>
        <v>11155.66</v>
      </c>
    </row>
    <row r="228" customFormat="false" ht="15" hidden="false" customHeight="false" outlineLevel="0" collapsed="false">
      <c r="A228" s="0" t="n">
        <v>2017</v>
      </c>
      <c r="B228" s="2" t="n">
        <v>45395</v>
      </c>
      <c r="C228" s="3" t="s">
        <v>12</v>
      </c>
      <c r="D228" s="3" t="s">
        <v>17</v>
      </c>
      <c r="E228" s="3" t="s">
        <v>18</v>
      </c>
      <c r="F228" s="3" t="s">
        <v>22</v>
      </c>
      <c r="G228" s="0" t="n">
        <v>11</v>
      </c>
      <c r="H228" s="4" t="n">
        <v>891.54</v>
      </c>
      <c r="I228" s="4" t="n">
        <v>647.32</v>
      </c>
      <c r="J228" s="4" t="n">
        <f aca="false">G228*H228</f>
        <v>9806.94</v>
      </c>
      <c r="K228" s="4" t="n">
        <f aca="false">G228*I228</f>
        <v>7120.52</v>
      </c>
      <c r="L228" s="4" t="n">
        <f aca="false">J228-K228</f>
        <v>2686.42</v>
      </c>
    </row>
    <row r="229" customFormat="false" ht="15" hidden="false" customHeight="false" outlineLevel="0" collapsed="false">
      <c r="A229" s="0" t="n">
        <v>2089</v>
      </c>
      <c r="B229" s="2" t="n">
        <v>45395</v>
      </c>
      <c r="C229" s="3" t="s">
        <v>23</v>
      </c>
      <c r="D229" s="3" t="s">
        <v>17</v>
      </c>
      <c r="E229" s="3" t="s">
        <v>44</v>
      </c>
      <c r="F229" s="3" t="s">
        <v>33</v>
      </c>
      <c r="G229" s="0" t="n">
        <v>9</v>
      </c>
      <c r="H229" s="4" t="n">
        <v>542.73</v>
      </c>
      <c r="I229" s="4" t="n">
        <v>401.61</v>
      </c>
      <c r="J229" s="4" t="n">
        <f aca="false">G229*H229</f>
        <v>4884.57</v>
      </c>
      <c r="K229" s="4" t="n">
        <f aca="false">G229*I229</f>
        <v>3614.49</v>
      </c>
      <c r="L229" s="4" t="n">
        <f aca="false">J229-K229</f>
        <v>1270.08</v>
      </c>
    </row>
    <row r="230" customFormat="false" ht="15" hidden="false" customHeight="false" outlineLevel="0" collapsed="false">
      <c r="A230" s="0" t="n">
        <v>2361</v>
      </c>
      <c r="B230" s="2" t="n">
        <v>45395</v>
      </c>
      <c r="C230" s="3" t="s">
        <v>12</v>
      </c>
      <c r="D230" s="3" t="s">
        <v>29</v>
      </c>
      <c r="E230" s="3" t="s">
        <v>30</v>
      </c>
      <c r="F230" s="3" t="s">
        <v>22</v>
      </c>
      <c r="G230" s="0" t="n">
        <v>33</v>
      </c>
      <c r="H230" s="4" t="n">
        <v>90.14</v>
      </c>
      <c r="I230" s="4" t="n">
        <v>63.06</v>
      </c>
      <c r="J230" s="4" t="n">
        <f aca="false">G230*H230</f>
        <v>2974.62</v>
      </c>
      <c r="K230" s="4" t="n">
        <f aca="false">G230*I230</f>
        <v>2080.98</v>
      </c>
      <c r="L230" s="4" t="n">
        <f aca="false">J230-K230</f>
        <v>893.64</v>
      </c>
    </row>
    <row r="231" customFormat="false" ht="15" hidden="false" customHeight="false" outlineLevel="0" collapsed="false">
      <c r="A231" s="0" t="n">
        <v>2542</v>
      </c>
      <c r="B231" s="2" t="n">
        <v>45395</v>
      </c>
      <c r="C231" s="3" t="s">
        <v>23</v>
      </c>
      <c r="D231" s="3" t="s">
        <v>29</v>
      </c>
      <c r="E231" s="3" t="s">
        <v>30</v>
      </c>
      <c r="F231" s="3" t="s">
        <v>15</v>
      </c>
      <c r="G231" s="0" t="n">
        <v>16</v>
      </c>
      <c r="H231" s="4" t="n">
        <v>456.62</v>
      </c>
      <c r="I231" s="4" t="n">
        <v>269.83</v>
      </c>
      <c r="J231" s="4" t="n">
        <f aca="false">G231*H231</f>
        <v>7305.92</v>
      </c>
      <c r="K231" s="4" t="n">
        <f aca="false">G231*I231</f>
        <v>4317.28</v>
      </c>
      <c r="L231" s="4" t="n">
        <f aca="false">J231-K231</f>
        <v>2988.64</v>
      </c>
    </row>
    <row r="232" customFormat="false" ht="15" hidden="false" customHeight="false" outlineLevel="0" collapsed="false">
      <c r="A232" s="0" t="n">
        <v>1245</v>
      </c>
      <c r="B232" s="2" t="n">
        <v>45396</v>
      </c>
      <c r="C232" s="3" t="s">
        <v>12</v>
      </c>
      <c r="D232" s="3" t="s">
        <v>29</v>
      </c>
      <c r="E232" s="3" t="s">
        <v>30</v>
      </c>
      <c r="F232" s="3" t="s">
        <v>28</v>
      </c>
      <c r="G232" s="0" t="n">
        <v>17</v>
      </c>
      <c r="H232" s="4" t="n">
        <v>264.41</v>
      </c>
      <c r="I232" s="4" t="n">
        <v>183.48</v>
      </c>
      <c r="J232" s="4" t="n">
        <f aca="false">G232*H232</f>
        <v>4494.97</v>
      </c>
      <c r="K232" s="4" t="n">
        <f aca="false">G232*I232</f>
        <v>3119.16</v>
      </c>
      <c r="L232" s="4" t="n">
        <f aca="false">J232-K232</f>
        <v>1375.81</v>
      </c>
    </row>
    <row r="233" customFormat="false" ht="15" hidden="false" customHeight="false" outlineLevel="0" collapsed="false">
      <c r="A233" s="0" t="n">
        <v>1281</v>
      </c>
      <c r="B233" s="2" t="n">
        <v>45396</v>
      </c>
      <c r="C233" s="3" t="s">
        <v>12</v>
      </c>
      <c r="D233" s="3" t="s">
        <v>17</v>
      </c>
      <c r="E233" s="3" t="s">
        <v>27</v>
      </c>
      <c r="F233" s="3" t="s">
        <v>22</v>
      </c>
      <c r="G233" s="0" t="n">
        <v>15</v>
      </c>
      <c r="H233" s="4" t="n">
        <v>169.8</v>
      </c>
      <c r="I233" s="4" t="n">
        <v>112.27</v>
      </c>
      <c r="J233" s="4" t="n">
        <f aca="false">G233*H233</f>
        <v>2547</v>
      </c>
      <c r="K233" s="4" t="n">
        <f aca="false">G233*I233</f>
        <v>1684.05</v>
      </c>
      <c r="L233" s="4" t="n">
        <f aca="false">J233-K233</f>
        <v>862.95</v>
      </c>
    </row>
    <row r="234" customFormat="false" ht="15" hidden="false" customHeight="false" outlineLevel="0" collapsed="false">
      <c r="A234" s="0" t="n">
        <v>1770</v>
      </c>
      <c r="B234" s="2" t="n">
        <v>45396</v>
      </c>
      <c r="C234" s="3" t="s">
        <v>16</v>
      </c>
      <c r="D234" s="3" t="s">
        <v>13</v>
      </c>
      <c r="E234" s="3" t="s">
        <v>31</v>
      </c>
      <c r="F234" s="3" t="s">
        <v>25</v>
      </c>
      <c r="G234" s="0" t="n">
        <v>39</v>
      </c>
      <c r="H234" s="4" t="n">
        <v>38.96</v>
      </c>
      <c r="I234" s="4" t="n">
        <v>26.99</v>
      </c>
      <c r="J234" s="4" t="n">
        <f aca="false">G234*H234</f>
        <v>1519.44</v>
      </c>
      <c r="K234" s="4" t="n">
        <f aca="false">G234*I234</f>
        <v>1052.61</v>
      </c>
      <c r="L234" s="4" t="n">
        <f aca="false">J234-K234</f>
        <v>466.83</v>
      </c>
    </row>
    <row r="235" customFormat="false" ht="15" hidden="false" customHeight="false" outlineLevel="0" collapsed="false">
      <c r="A235" s="0" t="n">
        <v>2459</v>
      </c>
      <c r="B235" s="2" t="n">
        <v>45396</v>
      </c>
      <c r="C235" s="3" t="s">
        <v>26</v>
      </c>
      <c r="D235" s="3" t="s">
        <v>17</v>
      </c>
      <c r="E235" s="3" t="s">
        <v>35</v>
      </c>
      <c r="F235" s="3" t="s">
        <v>28</v>
      </c>
      <c r="G235" s="0" t="n">
        <v>34</v>
      </c>
      <c r="H235" s="4" t="n">
        <v>451.82</v>
      </c>
      <c r="I235" s="4" t="n">
        <v>336.11</v>
      </c>
      <c r="J235" s="4" t="n">
        <f aca="false">G235*H235</f>
        <v>15361.88</v>
      </c>
      <c r="K235" s="4" t="n">
        <f aca="false">G235*I235</f>
        <v>11427.74</v>
      </c>
      <c r="L235" s="4" t="n">
        <f aca="false">J235-K235</f>
        <v>3934.14</v>
      </c>
    </row>
    <row r="236" customFormat="false" ht="15" hidden="false" customHeight="false" outlineLevel="0" collapsed="false">
      <c r="A236" s="0" t="n">
        <v>1514</v>
      </c>
      <c r="B236" s="2" t="n">
        <v>45397</v>
      </c>
      <c r="C236" s="3" t="s">
        <v>23</v>
      </c>
      <c r="D236" s="3" t="s">
        <v>17</v>
      </c>
      <c r="E236" s="3" t="s">
        <v>40</v>
      </c>
      <c r="F236" s="3" t="s">
        <v>25</v>
      </c>
      <c r="G236" s="0" t="n">
        <v>20</v>
      </c>
      <c r="H236" s="4" t="n">
        <v>507.51</v>
      </c>
      <c r="I236" s="4" t="n">
        <v>323.28</v>
      </c>
      <c r="J236" s="4" t="n">
        <f aca="false">G236*H236</f>
        <v>10150.2</v>
      </c>
      <c r="K236" s="4" t="n">
        <f aca="false">G236*I236</f>
        <v>6465.6</v>
      </c>
      <c r="L236" s="4" t="n">
        <f aca="false">J236-K236</f>
        <v>3684.6</v>
      </c>
    </row>
    <row r="237" customFormat="false" ht="15" hidden="false" customHeight="false" outlineLevel="0" collapsed="false">
      <c r="A237" s="0" t="n">
        <v>2179</v>
      </c>
      <c r="B237" s="2" t="n">
        <v>45397</v>
      </c>
      <c r="C237" s="3" t="s">
        <v>16</v>
      </c>
      <c r="D237" s="3" t="s">
        <v>20</v>
      </c>
      <c r="E237" s="3" t="s">
        <v>34</v>
      </c>
      <c r="F237" s="3" t="s">
        <v>28</v>
      </c>
      <c r="G237" s="0" t="n">
        <v>20</v>
      </c>
      <c r="H237" s="4" t="n">
        <v>63.03</v>
      </c>
      <c r="I237" s="4" t="n">
        <v>45.39</v>
      </c>
      <c r="J237" s="4" t="n">
        <f aca="false">G237*H237</f>
        <v>1260.6</v>
      </c>
      <c r="K237" s="4" t="n">
        <f aca="false">G237*I237</f>
        <v>907.8</v>
      </c>
      <c r="L237" s="4" t="n">
        <f aca="false">J237-K237</f>
        <v>352.8</v>
      </c>
    </row>
    <row r="238" customFormat="false" ht="15" hidden="false" customHeight="false" outlineLevel="0" collapsed="false">
      <c r="A238" s="0" t="n">
        <v>1978</v>
      </c>
      <c r="B238" s="2" t="n">
        <v>45399</v>
      </c>
      <c r="C238" s="3" t="s">
        <v>12</v>
      </c>
      <c r="D238" s="3" t="s">
        <v>20</v>
      </c>
      <c r="E238" s="3" t="s">
        <v>21</v>
      </c>
      <c r="F238" s="3" t="s">
        <v>25</v>
      </c>
      <c r="G238" s="0" t="n">
        <v>4</v>
      </c>
      <c r="H238" s="4" t="n">
        <v>40.41</v>
      </c>
      <c r="I238" s="4" t="n">
        <v>27.92</v>
      </c>
      <c r="J238" s="4" t="n">
        <f aca="false">G238*H238</f>
        <v>161.64</v>
      </c>
      <c r="K238" s="4" t="n">
        <f aca="false">G238*I238</f>
        <v>111.68</v>
      </c>
      <c r="L238" s="4" t="n">
        <f aca="false">J238-K238</f>
        <v>49.96</v>
      </c>
    </row>
    <row r="239" customFormat="false" ht="15" hidden="false" customHeight="false" outlineLevel="0" collapsed="false">
      <c r="A239" s="0" t="n">
        <v>2077</v>
      </c>
      <c r="B239" s="2" t="n">
        <v>45399</v>
      </c>
      <c r="C239" s="3" t="s">
        <v>32</v>
      </c>
      <c r="D239" s="3" t="s">
        <v>17</v>
      </c>
      <c r="E239" s="3" t="s">
        <v>44</v>
      </c>
      <c r="F239" s="3" t="s">
        <v>36</v>
      </c>
      <c r="G239" s="0" t="n">
        <v>31</v>
      </c>
      <c r="H239" s="4" t="n">
        <v>341.16</v>
      </c>
      <c r="I239" s="4" t="n">
        <v>196.7</v>
      </c>
      <c r="J239" s="4" t="n">
        <f aca="false">G239*H239</f>
        <v>10575.96</v>
      </c>
      <c r="K239" s="4" t="n">
        <f aca="false">G239*I239</f>
        <v>6097.7</v>
      </c>
      <c r="L239" s="4" t="n">
        <f aca="false">J239-K239</f>
        <v>4478.26</v>
      </c>
    </row>
    <row r="240" customFormat="false" ht="15" hidden="false" customHeight="false" outlineLevel="0" collapsed="false">
      <c r="A240" s="0" t="n">
        <v>1542</v>
      </c>
      <c r="B240" s="2" t="n">
        <v>45400</v>
      </c>
      <c r="C240" s="3" t="s">
        <v>23</v>
      </c>
      <c r="D240" s="3" t="s">
        <v>29</v>
      </c>
      <c r="E240" s="3" t="s">
        <v>30</v>
      </c>
      <c r="F240" s="3" t="s">
        <v>22</v>
      </c>
      <c r="G240" s="0" t="n">
        <v>5</v>
      </c>
      <c r="H240" s="4" t="n">
        <v>406.44</v>
      </c>
      <c r="I240" s="4" t="n">
        <v>253.79</v>
      </c>
      <c r="J240" s="4" t="n">
        <f aca="false">G240*H240</f>
        <v>2032.2</v>
      </c>
      <c r="K240" s="4" t="n">
        <f aca="false">G240*I240</f>
        <v>1268.95</v>
      </c>
      <c r="L240" s="4" t="n">
        <f aca="false">J240-K240</f>
        <v>763.25</v>
      </c>
    </row>
    <row r="241" customFormat="false" ht="15" hidden="false" customHeight="false" outlineLevel="0" collapsed="false">
      <c r="A241" s="0" t="n">
        <v>1866</v>
      </c>
      <c r="B241" s="2" t="n">
        <v>45400</v>
      </c>
      <c r="C241" s="3" t="s">
        <v>16</v>
      </c>
      <c r="D241" s="3" t="s">
        <v>29</v>
      </c>
      <c r="E241" s="3" t="s">
        <v>30</v>
      </c>
      <c r="F241" s="3" t="s">
        <v>39</v>
      </c>
      <c r="G241" s="0" t="n">
        <v>9</v>
      </c>
      <c r="H241" s="4" t="n">
        <v>266.62</v>
      </c>
      <c r="I241" s="4" t="n">
        <v>155.42</v>
      </c>
      <c r="J241" s="4" t="n">
        <f aca="false">G241*H241</f>
        <v>2399.58</v>
      </c>
      <c r="K241" s="4" t="n">
        <f aca="false">G241*I241</f>
        <v>1398.78</v>
      </c>
      <c r="L241" s="4" t="n">
        <f aca="false">J241-K241</f>
        <v>1000.8</v>
      </c>
    </row>
    <row r="242" customFormat="false" ht="15" hidden="false" customHeight="false" outlineLevel="0" collapsed="false">
      <c r="A242" s="0" t="n">
        <v>1044</v>
      </c>
      <c r="B242" s="2" t="n">
        <v>45401</v>
      </c>
      <c r="C242" s="3" t="s">
        <v>23</v>
      </c>
      <c r="D242" s="3" t="s">
        <v>13</v>
      </c>
      <c r="E242" s="3" t="s">
        <v>24</v>
      </c>
      <c r="F242" s="3" t="s">
        <v>28</v>
      </c>
      <c r="G242" s="0" t="n">
        <v>4</v>
      </c>
      <c r="H242" s="4" t="n">
        <v>55.3</v>
      </c>
      <c r="I242" s="4" t="n">
        <v>34.07</v>
      </c>
      <c r="J242" s="4" t="n">
        <f aca="false">G242*H242</f>
        <v>221.2</v>
      </c>
      <c r="K242" s="4" t="n">
        <f aca="false">G242*I242</f>
        <v>136.28</v>
      </c>
      <c r="L242" s="4" t="n">
        <f aca="false">J242-K242</f>
        <v>84.92</v>
      </c>
    </row>
    <row r="243" customFormat="false" ht="15" hidden="false" customHeight="false" outlineLevel="0" collapsed="false">
      <c r="A243" s="0" t="n">
        <v>1632</v>
      </c>
      <c r="B243" s="2" t="n">
        <v>45401</v>
      </c>
      <c r="C243" s="3" t="s">
        <v>12</v>
      </c>
      <c r="D243" s="3" t="s">
        <v>13</v>
      </c>
      <c r="E243" s="3" t="s">
        <v>31</v>
      </c>
      <c r="F243" s="3" t="s">
        <v>28</v>
      </c>
      <c r="G243" s="0" t="n">
        <v>27</v>
      </c>
      <c r="H243" s="4" t="n">
        <v>36.6</v>
      </c>
      <c r="I243" s="4" t="n">
        <v>26.98</v>
      </c>
      <c r="J243" s="4" t="n">
        <f aca="false">G243*H243</f>
        <v>988.2</v>
      </c>
      <c r="K243" s="4" t="n">
        <f aca="false">G243*I243</f>
        <v>728.46</v>
      </c>
      <c r="L243" s="4" t="n">
        <f aca="false">J243-K243</f>
        <v>259.74</v>
      </c>
    </row>
    <row r="244" customFormat="false" ht="15" hidden="false" customHeight="false" outlineLevel="0" collapsed="false">
      <c r="A244" s="0" t="n">
        <v>2140</v>
      </c>
      <c r="B244" s="2" t="n">
        <v>45401</v>
      </c>
      <c r="C244" s="3" t="s">
        <v>26</v>
      </c>
      <c r="D244" s="3" t="s">
        <v>13</v>
      </c>
      <c r="E244" s="3" t="s">
        <v>24</v>
      </c>
      <c r="F244" s="3" t="s">
        <v>33</v>
      </c>
      <c r="G244" s="0" t="n">
        <v>31</v>
      </c>
      <c r="H244" s="4" t="n">
        <v>36.8</v>
      </c>
      <c r="I244" s="4" t="n">
        <v>25.59</v>
      </c>
      <c r="J244" s="4" t="n">
        <f aca="false">G244*H244</f>
        <v>1140.8</v>
      </c>
      <c r="K244" s="4" t="n">
        <f aca="false">G244*I244</f>
        <v>793.29</v>
      </c>
      <c r="L244" s="4" t="n">
        <f aca="false">J244-K244</f>
        <v>347.51</v>
      </c>
    </row>
    <row r="245" customFormat="false" ht="15" hidden="false" customHeight="false" outlineLevel="0" collapsed="false">
      <c r="A245" s="0" t="n">
        <v>2523</v>
      </c>
      <c r="B245" s="2" t="n">
        <v>45401</v>
      </c>
      <c r="C245" s="3" t="s">
        <v>12</v>
      </c>
      <c r="D245" s="3" t="s">
        <v>13</v>
      </c>
      <c r="E245" s="3" t="s">
        <v>31</v>
      </c>
      <c r="F245" s="3" t="s">
        <v>39</v>
      </c>
      <c r="G245" s="0" t="n">
        <v>27</v>
      </c>
      <c r="H245" s="4" t="n">
        <v>51.21</v>
      </c>
      <c r="I245" s="4" t="n">
        <v>31.06</v>
      </c>
      <c r="J245" s="4" t="n">
        <f aca="false">G245*H245</f>
        <v>1382.67</v>
      </c>
      <c r="K245" s="4" t="n">
        <f aca="false">G245*I245</f>
        <v>838.62</v>
      </c>
      <c r="L245" s="4" t="n">
        <f aca="false">J245-K245</f>
        <v>544.05</v>
      </c>
    </row>
    <row r="246" customFormat="false" ht="15" hidden="false" customHeight="false" outlineLevel="0" collapsed="false">
      <c r="A246" s="0" t="n">
        <v>1168</v>
      </c>
      <c r="B246" s="2" t="n">
        <v>45402</v>
      </c>
      <c r="C246" s="3" t="s">
        <v>23</v>
      </c>
      <c r="D246" s="3" t="s">
        <v>13</v>
      </c>
      <c r="E246" s="3" t="s">
        <v>31</v>
      </c>
      <c r="F246" s="3" t="s">
        <v>33</v>
      </c>
      <c r="G246" s="0" t="n">
        <v>26</v>
      </c>
      <c r="H246" s="4" t="n">
        <v>25.83</v>
      </c>
      <c r="I246" s="4" t="n">
        <v>16.49</v>
      </c>
      <c r="J246" s="4" t="n">
        <f aca="false">G246*H246</f>
        <v>671.58</v>
      </c>
      <c r="K246" s="4" t="n">
        <f aca="false">G246*I246</f>
        <v>428.74</v>
      </c>
      <c r="L246" s="4" t="n">
        <f aca="false">J246-K246</f>
        <v>242.84</v>
      </c>
    </row>
    <row r="247" customFormat="false" ht="15" hidden="false" customHeight="false" outlineLevel="0" collapsed="false">
      <c r="A247" s="0" t="n">
        <v>1470</v>
      </c>
      <c r="B247" s="2" t="n">
        <v>45402</v>
      </c>
      <c r="C247" s="3" t="s">
        <v>26</v>
      </c>
      <c r="D247" s="3" t="s">
        <v>29</v>
      </c>
      <c r="E247" s="3" t="s">
        <v>41</v>
      </c>
      <c r="F247" s="3" t="s">
        <v>39</v>
      </c>
      <c r="G247" s="0" t="n">
        <v>25</v>
      </c>
      <c r="H247" s="4" t="n">
        <v>459.63</v>
      </c>
      <c r="I247" s="4" t="n">
        <v>298.43</v>
      </c>
      <c r="J247" s="4" t="n">
        <f aca="false">G247*H247</f>
        <v>11490.75</v>
      </c>
      <c r="K247" s="4" t="n">
        <f aca="false">G247*I247</f>
        <v>7460.75</v>
      </c>
      <c r="L247" s="4" t="n">
        <f aca="false">J247-K247</f>
        <v>4030</v>
      </c>
    </row>
    <row r="248" customFormat="false" ht="15" hidden="false" customHeight="false" outlineLevel="0" collapsed="false">
      <c r="A248" s="0" t="n">
        <v>2080</v>
      </c>
      <c r="B248" s="2" t="n">
        <v>45402</v>
      </c>
      <c r="C248" s="3" t="s">
        <v>23</v>
      </c>
      <c r="D248" s="3" t="s">
        <v>20</v>
      </c>
      <c r="E248" s="3" t="s">
        <v>38</v>
      </c>
      <c r="F248" s="3" t="s">
        <v>36</v>
      </c>
      <c r="G248" s="0" t="n">
        <v>38</v>
      </c>
      <c r="H248" s="4" t="n">
        <v>268.25</v>
      </c>
      <c r="I248" s="4" t="n">
        <v>198.86</v>
      </c>
      <c r="J248" s="4" t="n">
        <f aca="false">G248*H248</f>
        <v>10193.5</v>
      </c>
      <c r="K248" s="4" t="n">
        <f aca="false">G248*I248</f>
        <v>7556.68</v>
      </c>
      <c r="L248" s="4" t="n">
        <f aca="false">J248-K248</f>
        <v>2636.82</v>
      </c>
    </row>
    <row r="249" customFormat="false" ht="15" hidden="false" customHeight="false" outlineLevel="0" collapsed="false">
      <c r="A249" s="0" t="n">
        <v>2779</v>
      </c>
      <c r="B249" s="2" t="n">
        <v>45402</v>
      </c>
      <c r="C249" s="3" t="s">
        <v>12</v>
      </c>
      <c r="D249" s="3" t="s">
        <v>13</v>
      </c>
      <c r="E249" s="3" t="s">
        <v>45</v>
      </c>
      <c r="F249" s="3" t="s">
        <v>39</v>
      </c>
      <c r="G249" s="0" t="n">
        <v>2</v>
      </c>
      <c r="H249" s="4" t="n">
        <v>17.46</v>
      </c>
      <c r="I249" s="4" t="n">
        <v>11.75</v>
      </c>
      <c r="J249" s="4" t="n">
        <f aca="false">G249*H249</f>
        <v>34.92</v>
      </c>
      <c r="K249" s="4" t="n">
        <f aca="false">G249*I249</f>
        <v>23.5</v>
      </c>
      <c r="L249" s="4" t="n">
        <f aca="false">J249-K249</f>
        <v>11.42</v>
      </c>
    </row>
    <row r="250" customFormat="false" ht="15" hidden="false" customHeight="false" outlineLevel="0" collapsed="false">
      <c r="A250" s="0" t="n">
        <v>1517</v>
      </c>
      <c r="B250" s="2" t="n">
        <v>45403</v>
      </c>
      <c r="C250" s="3" t="s">
        <v>16</v>
      </c>
      <c r="D250" s="3" t="s">
        <v>20</v>
      </c>
      <c r="E250" s="3" t="s">
        <v>38</v>
      </c>
      <c r="F250" s="3" t="s">
        <v>28</v>
      </c>
      <c r="G250" s="0" t="n">
        <v>4</v>
      </c>
      <c r="H250" s="4" t="n">
        <v>272.91</v>
      </c>
      <c r="I250" s="4" t="n">
        <v>179.86</v>
      </c>
      <c r="J250" s="4" t="n">
        <f aca="false">G250*H250</f>
        <v>1091.64</v>
      </c>
      <c r="K250" s="4" t="n">
        <f aca="false">G250*I250</f>
        <v>719.44</v>
      </c>
      <c r="L250" s="4" t="n">
        <f aca="false">J250-K250</f>
        <v>372.2</v>
      </c>
    </row>
    <row r="251" customFormat="false" ht="15" hidden="false" customHeight="false" outlineLevel="0" collapsed="false">
      <c r="A251" s="0" t="n">
        <v>1839</v>
      </c>
      <c r="B251" s="2" t="n">
        <v>45403</v>
      </c>
      <c r="C251" s="3" t="s">
        <v>23</v>
      </c>
      <c r="D251" s="3" t="s">
        <v>20</v>
      </c>
      <c r="E251" s="3" t="s">
        <v>34</v>
      </c>
      <c r="F251" s="3" t="s">
        <v>19</v>
      </c>
      <c r="G251" s="0" t="n">
        <v>23</v>
      </c>
      <c r="H251" s="4" t="n">
        <v>218.58</v>
      </c>
      <c r="I251" s="4" t="n">
        <v>115.34</v>
      </c>
      <c r="J251" s="4" t="n">
        <f aca="false">G251*H251</f>
        <v>5027.34</v>
      </c>
      <c r="K251" s="4" t="n">
        <f aca="false">G251*I251</f>
        <v>2652.82</v>
      </c>
      <c r="L251" s="4" t="n">
        <f aca="false">J251-K251</f>
        <v>2374.52</v>
      </c>
    </row>
    <row r="252" customFormat="false" ht="15" hidden="false" customHeight="false" outlineLevel="0" collapsed="false">
      <c r="A252" s="0" t="n">
        <v>1945</v>
      </c>
      <c r="B252" s="2" t="n">
        <v>45403</v>
      </c>
      <c r="C252" s="3" t="s">
        <v>26</v>
      </c>
      <c r="D252" s="3" t="s">
        <v>13</v>
      </c>
      <c r="E252" s="3" t="s">
        <v>45</v>
      </c>
      <c r="F252" s="3" t="s">
        <v>39</v>
      </c>
      <c r="G252" s="0" t="n">
        <v>8</v>
      </c>
      <c r="H252" s="4" t="n">
        <v>5.03</v>
      </c>
      <c r="I252" s="4" t="n">
        <v>2.64</v>
      </c>
      <c r="J252" s="4" t="n">
        <f aca="false">G252*H252</f>
        <v>40.24</v>
      </c>
      <c r="K252" s="4" t="n">
        <f aca="false">G252*I252</f>
        <v>21.12</v>
      </c>
      <c r="L252" s="4" t="n">
        <f aca="false">J252-K252</f>
        <v>19.12</v>
      </c>
    </row>
    <row r="253" customFormat="false" ht="15" hidden="false" customHeight="false" outlineLevel="0" collapsed="false">
      <c r="A253" s="0" t="n">
        <v>2660</v>
      </c>
      <c r="B253" s="2" t="n">
        <v>45403</v>
      </c>
      <c r="C253" s="3" t="s">
        <v>26</v>
      </c>
      <c r="D253" s="3" t="s">
        <v>29</v>
      </c>
      <c r="E253" s="3" t="s">
        <v>37</v>
      </c>
      <c r="F253" s="3" t="s">
        <v>36</v>
      </c>
      <c r="G253" s="0" t="n">
        <v>6</v>
      </c>
      <c r="H253" s="4" t="n">
        <v>232.35</v>
      </c>
      <c r="I253" s="4" t="n">
        <v>166.26</v>
      </c>
      <c r="J253" s="4" t="n">
        <f aca="false">G253*H253</f>
        <v>1394.1</v>
      </c>
      <c r="K253" s="4" t="n">
        <f aca="false">G253*I253</f>
        <v>997.56</v>
      </c>
      <c r="L253" s="4" t="n">
        <f aca="false">J253-K253</f>
        <v>396.54</v>
      </c>
    </row>
    <row r="254" customFormat="false" ht="15" hidden="false" customHeight="false" outlineLevel="0" collapsed="false">
      <c r="A254" s="0" t="n">
        <v>2551</v>
      </c>
      <c r="B254" s="2" t="n">
        <v>45404</v>
      </c>
      <c r="C254" s="3" t="s">
        <v>23</v>
      </c>
      <c r="D254" s="3" t="s">
        <v>17</v>
      </c>
      <c r="E254" s="3" t="s">
        <v>40</v>
      </c>
      <c r="F254" s="3" t="s">
        <v>19</v>
      </c>
      <c r="G254" s="0" t="n">
        <v>14</v>
      </c>
      <c r="H254" s="4" t="n">
        <v>792.49</v>
      </c>
      <c r="I254" s="4" t="n">
        <v>550.57</v>
      </c>
      <c r="J254" s="4" t="n">
        <f aca="false">G254*H254</f>
        <v>11094.86</v>
      </c>
      <c r="K254" s="4" t="n">
        <f aca="false">G254*I254</f>
        <v>7707.98</v>
      </c>
      <c r="L254" s="4" t="n">
        <f aca="false">J254-K254</f>
        <v>3386.88</v>
      </c>
    </row>
    <row r="255" customFormat="false" ht="15" hidden="false" customHeight="false" outlineLevel="0" collapsed="false">
      <c r="A255" s="0" t="n">
        <v>1539</v>
      </c>
      <c r="B255" s="2" t="n">
        <v>45405</v>
      </c>
      <c r="C255" s="3" t="s">
        <v>12</v>
      </c>
      <c r="D255" s="3" t="s">
        <v>29</v>
      </c>
      <c r="E255" s="3" t="s">
        <v>43</v>
      </c>
      <c r="F255" s="3" t="s">
        <v>28</v>
      </c>
      <c r="G255" s="0" t="n">
        <v>5</v>
      </c>
      <c r="H255" s="4" t="n">
        <v>196.08</v>
      </c>
      <c r="I255" s="4" t="n">
        <v>142.32</v>
      </c>
      <c r="J255" s="4" t="n">
        <f aca="false">G255*H255</f>
        <v>980.4</v>
      </c>
      <c r="K255" s="4" t="n">
        <f aca="false">G255*I255</f>
        <v>711.6</v>
      </c>
      <c r="L255" s="4" t="n">
        <f aca="false">J255-K255</f>
        <v>268.8</v>
      </c>
    </row>
    <row r="256" customFormat="false" ht="15" hidden="false" customHeight="false" outlineLevel="0" collapsed="false">
      <c r="A256" s="0" t="n">
        <v>2142</v>
      </c>
      <c r="B256" s="2" t="n">
        <v>45405</v>
      </c>
      <c r="C256" s="3" t="s">
        <v>23</v>
      </c>
      <c r="D256" s="3" t="s">
        <v>13</v>
      </c>
      <c r="E256" s="3" t="s">
        <v>45</v>
      </c>
      <c r="F256" s="3" t="s">
        <v>33</v>
      </c>
      <c r="G256" s="0" t="n">
        <v>27</v>
      </c>
      <c r="H256" s="4" t="n">
        <v>52.82</v>
      </c>
      <c r="I256" s="4" t="n">
        <v>33.83</v>
      </c>
      <c r="J256" s="4" t="n">
        <f aca="false">G256*H256</f>
        <v>1426.14</v>
      </c>
      <c r="K256" s="4" t="n">
        <f aca="false">G256*I256</f>
        <v>913.41</v>
      </c>
      <c r="L256" s="4" t="n">
        <f aca="false">J256-K256</f>
        <v>512.73</v>
      </c>
    </row>
    <row r="257" customFormat="false" ht="15" hidden="false" customHeight="false" outlineLevel="0" collapsed="false">
      <c r="A257" s="0" t="n">
        <v>2171</v>
      </c>
      <c r="B257" s="2" t="n">
        <v>45405</v>
      </c>
      <c r="C257" s="3" t="s">
        <v>26</v>
      </c>
      <c r="D257" s="3" t="s">
        <v>29</v>
      </c>
      <c r="E257" s="3" t="s">
        <v>37</v>
      </c>
      <c r="F257" s="3" t="s">
        <v>33</v>
      </c>
      <c r="G257" s="0" t="n">
        <v>20</v>
      </c>
      <c r="H257" s="4" t="n">
        <v>474.61</v>
      </c>
      <c r="I257" s="4" t="n">
        <v>352.6</v>
      </c>
      <c r="J257" s="4" t="n">
        <f aca="false">G257*H257</f>
        <v>9492.2</v>
      </c>
      <c r="K257" s="4" t="n">
        <f aca="false">G257*I257</f>
        <v>7052</v>
      </c>
      <c r="L257" s="4" t="n">
        <f aca="false">J257-K257</f>
        <v>2440.2</v>
      </c>
    </row>
    <row r="258" customFormat="false" ht="15" hidden="false" customHeight="false" outlineLevel="0" collapsed="false">
      <c r="A258" s="0" t="n">
        <v>1261</v>
      </c>
      <c r="B258" s="2" t="n">
        <v>45407</v>
      </c>
      <c r="C258" s="3" t="s">
        <v>12</v>
      </c>
      <c r="D258" s="3" t="s">
        <v>20</v>
      </c>
      <c r="E258" s="3" t="s">
        <v>42</v>
      </c>
      <c r="F258" s="3" t="s">
        <v>22</v>
      </c>
      <c r="G258" s="0" t="n">
        <v>24</v>
      </c>
      <c r="H258" s="4" t="n">
        <v>179.15</v>
      </c>
      <c r="I258" s="4" t="n">
        <v>105.94</v>
      </c>
      <c r="J258" s="4" t="n">
        <f aca="false">G258*H258</f>
        <v>4299.6</v>
      </c>
      <c r="K258" s="4" t="n">
        <f aca="false">G258*I258</f>
        <v>2542.56</v>
      </c>
      <c r="L258" s="4" t="n">
        <f aca="false">J258-K258</f>
        <v>1757.04</v>
      </c>
    </row>
    <row r="259" customFormat="false" ht="15" hidden="false" customHeight="false" outlineLevel="0" collapsed="false">
      <c r="A259" s="0" t="n">
        <v>2793</v>
      </c>
      <c r="B259" s="2" t="n">
        <v>45407</v>
      </c>
      <c r="C259" s="3" t="s">
        <v>23</v>
      </c>
      <c r="D259" s="3" t="s">
        <v>13</v>
      </c>
      <c r="E259" s="3" t="s">
        <v>14</v>
      </c>
      <c r="F259" s="3" t="s">
        <v>33</v>
      </c>
      <c r="G259" s="0" t="n">
        <v>17</v>
      </c>
      <c r="H259" s="4" t="n">
        <v>39.82</v>
      </c>
      <c r="I259" s="4" t="n">
        <v>21.85</v>
      </c>
      <c r="J259" s="4" t="n">
        <f aca="false">G259*H259</f>
        <v>676.94</v>
      </c>
      <c r="K259" s="4" t="n">
        <f aca="false">G259*I259</f>
        <v>371.45</v>
      </c>
      <c r="L259" s="4" t="n">
        <f aca="false">J259-K259</f>
        <v>305.49</v>
      </c>
    </row>
    <row r="260" customFormat="false" ht="15" hidden="false" customHeight="false" outlineLevel="0" collapsed="false">
      <c r="A260" s="0" t="n">
        <v>1153</v>
      </c>
      <c r="B260" s="2" t="n">
        <v>45408</v>
      </c>
      <c r="C260" s="3" t="s">
        <v>26</v>
      </c>
      <c r="D260" s="3" t="s">
        <v>13</v>
      </c>
      <c r="E260" s="3" t="s">
        <v>14</v>
      </c>
      <c r="F260" s="3" t="s">
        <v>36</v>
      </c>
      <c r="G260" s="0" t="n">
        <v>36</v>
      </c>
      <c r="H260" s="4" t="n">
        <v>47.17</v>
      </c>
      <c r="I260" s="4" t="n">
        <v>30.8</v>
      </c>
      <c r="J260" s="4" t="n">
        <f aca="false">G260*H260</f>
        <v>1698.12</v>
      </c>
      <c r="K260" s="4" t="n">
        <f aca="false">G260*I260</f>
        <v>1108.8</v>
      </c>
      <c r="L260" s="4" t="n">
        <f aca="false">J260-K260</f>
        <v>589.32</v>
      </c>
    </row>
    <row r="261" customFormat="false" ht="15" hidden="false" customHeight="false" outlineLevel="0" collapsed="false">
      <c r="A261" s="0" t="n">
        <v>1627</v>
      </c>
      <c r="B261" s="2" t="n">
        <v>45408</v>
      </c>
      <c r="C261" s="3" t="s">
        <v>12</v>
      </c>
      <c r="D261" s="3" t="s">
        <v>13</v>
      </c>
      <c r="E261" s="3" t="s">
        <v>45</v>
      </c>
      <c r="F261" s="3" t="s">
        <v>39</v>
      </c>
      <c r="G261" s="0" t="n">
        <v>20</v>
      </c>
      <c r="H261" s="4" t="n">
        <v>34.91</v>
      </c>
      <c r="I261" s="4" t="n">
        <v>17.78</v>
      </c>
      <c r="J261" s="4" t="n">
        <f aca="false">G261*H261</f>
        <v>698.2</v>
      </c>
      <c r="K261" s="4" t="n">
        <f aca="false">G261*I261</f>
        <v>355.6</v>
      </c>
      <c r="L261" s="4" t="n">
        <f aca="false">J261-K261</f>
        <v>342.6</v>
      </c>
    </row>
    <row r="262" customFormat="false" ht="15" hidden="false" customHeight="false" outlineLevel="0" collapsed="false">
      <c r="A262" s="0" t="n">
        <v>2582</v>
      </c>
      <c r="B262" s="2" t="n">
        <v>45408</v>
      </c>
      <c r="C262" s="3" t="s">
        <v>16</v>
      </c>
      <c r="D262" s="3" t="s">
        <v>20</v>
      </c>
      <c r="E262" s="3" t="s">
        <v>42</v>
      </c>
      <c r="F262" s="3" t="s">
        <v>25</v>
      </c>
      <c r="G262" s="0" t="n">
        <v>17</v>
      </c>
      <c r="H262" s="4" t="n">
        <v>204.89</v>
      </c>
      <c r="I262" s="4" t="n">
        <v>103.79</v>
      </c>
      <c r="J262" s="4" t="n">
        <f aca="false">G262*H262</f>
        <v>3483.13</v>
      </c>
      <c r="K262" s="4" t="n">
        <f aca="false">G262*I262</f>
        <v>1764.43</v>
      </c>
      <c r="L262" s="4" t="n">
        <f aca="false">J262-K262</f>
        <v>1718.7</v>
      </c>
    </row>
    <row r="263" customFormat="false" ht="15" hidden="false" customHeight="false" outlineLevel="0" collapsed="false">
      <c r="A263" s="0" t="n">
        <v>1508</v>
      </c>
      <c r="B263" s="2" t="n">
        <v>45409</v>
      </c>
      <c r="C263" s="3" t="s">
        <v>26</v>
      </c>
      <c r="D263" s="3" t="s">
        <v>17</v>
      </c>
      <c r="E263" s="3" t="s">
        <v>44</v>
      </c>
      <c r="F263" s="3" t="s">
        <v>33</v>
      </c>
      <c r="G263" s="0" t="n">
        <v>36</v>
      </c>
      <c r="H263" s="4" t="n">
        <v>327.53</v>
      </c>
      <c r="I263" s="4" t="n">
        <v>183.81</v>
      </c>
      <c r="J263" s="4" t="n">
        <f aca="false">G263*H263</f>
        <v>11791.08</v>
      </c>
      <c r="K263" s="4" t="n">
        <f aca="false">G263*I263</f>
        <v>6617.16</v>
      </c>
      <c r="L263" s="4" t="n">
        <f aca="false">J263-K263</f>
        <v>5173.92</v>
      </c>
    </row>
    <row r="264" customFormat="false" ht="15" hidden="false" customHeight="false" outlineLevel="0" collapsed="false">
      <c r="A264" s="0" t="n">
        <v>1706</v>
      </c>
      <c r="B264" s="2" t="n">
        <v>45409</v>
      </c>
      <c r="C264" s="3" t="s">
        <v>32</v>
      </c>
      <c r="D264" s="3" t="s">
        <v>17</v>
      </c>
      <c r="E264" s="3" t="s">
        <v>40</v>
      </c>
      <c r="F264" s="3" t="s">
        <v>28</v>
      </c>
      <c r="G264" s="0" t="n">
        <v>36</v>
      </c>
      <c r="H264" s="4" t="n">
        <v>401.94</v>
      </c>
      <c r="I264" s="4" t="n">
        <v>290.02</v>
      </c>
      <c r="J264" s="4" t="n">
        <f aca="false">G264*H264</f>
        <v>14469.84</v>
      </c>
      <c r="K264" s="4" t="n">
        <f aca="false">G264*I264</f>
        <v>10440.72</v>
      </c>
      <c r="L264" s="4" t="n">
        <f aca="false">J264-K264</f>
        <v>4029.12</v>
      </c>
    </row>
    <row r="265" customFormat="false" ht="15" hidden="false" customHeight="false" outlineLevel="0" collapsed="false">
      <c r="A265" s="0" t="n">
        <v>2770</v>
      </c>
      <c r="B265" s="2" t="n">
        <v>45409</v>
      </c>
      <c r="C265" s="3" t="s">
        <v>12</v>
      </c>
      <c r="D265" s="3" t="s">
        <v>20</v>
      </c>
      <c r="E265" s="3" t="s">
        <v>38</v>
      </c>
      <c r="F265" s="3" t="s">
        <v>36</v>
      </c>
      <c r="G265" s="0" t="n">
        <v>23</v>
      </c>
      <c r="H265" s="4" t="n">
        <v>183.06</v>
      </c>
      <c r="I265" s="4" t="n">
        <v>120.27</v>
      </c>
      <c r="J265" s="4" t="n">
        <f aca="false">G265*H265</f>
        <v>4210.38</v>
      </c>
      <c r="K265" s="4" t="n">
        <f aca="false">G265*I265</f>
        <v>2766.21</v>
      </c>
      <c r="L265" s="4" t="n">
        <f aca="false">J265-K265</f>
        <v>1444.17</v>
      </c>
    </row>
    <row r="266" customFormat="false" ht="15" hidden="false" customHeight="false" outlineLevel="0" collapsed="false">
      <c r="A266" s="0" t="n">
        <v>1803</v>
      </c>
      <c r="B266" s="2" t="n">
        <v>45410</v>
      </c>
      <c r="C266" s="3" t="s">
        <v>16</v>
      </c>
      <c r="D266" s="3" t="s">
        <v>29</v>
      </c>
      <c r="E266" s="3" t="s">
        <v>37</v>
      </c>
      <c r="F266" s="3" t="s">
        <v>33</v>
      </c>
      <c r="G266" s="0" t="n">
        <v>25</v>
      </c>
      <c r="H266" s="4" t="n">
        <v>105.99</v>
      </c>
      <c r="I266" s="4" t="n">
        <v>75.44</v>
      </c>
      <c r="J266" s="4" t="n">
        <f aca="false">G266*H266</f>
        <v>2649.75</v>
      </c>
      <c r="K266" s="4" t="n">
        <f aca="false">G266*I266</f>
        <v>1886</v>
      </c>
      <c r="L266" s="4" t="n">
        <f aca="false">J266-K266</f>
        <v>763.75</v>
      </c>
    </row>
    <row r="267" customFormat="false" ht="15" hidden="false" customHeight="false" outlineLevel="0" collapsed="false">
      <c r="A267" s="0" t="n">
        <v>2647</v>
      </c>
      <c r="B267" s="2" t="n">
        <v>45413</v>
      </c>
      <c r="C267" s="3" t="s">
        <v>23</v>
      </c>
      <c r="D267" s="3" t="s">
        <v>20</v>
      </c>
      <c r="E267" s="3" t="s">
        <v>42</v>
      </c>
      <c r="F267" s="3" t="s">
        <v>33</v>
      </c>
      <c r="G267" s="0" t="n">
        <v>2</v>
      </c>
      <c r="H267" s="4" t="n">
        <v>146.99</v>
      </c>
      <c r="I267" s="4" t="n">
        <v>76.34</v>
      </c>
      <c r="J267" s="4" t="n">
        <f aca="false">G267*H267</f>
        <v>293.98</v>
      </c>
      <c r="K267" s="4" t="n">
        <f aca="false">G267*I267</f>
        <v>152.68</v>
      </c>
      <c r="L267" s="4" t="n">
        <f aca="false">J267-K267</f>
        <v>141.3</v>
      </c>
    </row>
    <row r="268" customFormat="false" ht="15" hidden="false" customHeight="false" outlineLevel="0" collapsed="false">
      <c r="A268" s="0" t="n">
        <v>1025</v>
      </c>
      <c r="B268" s="2" t="n">
        <v>45414</v>
      </c>
      <c r="C268" s="3" t="s">
        <v>16</v>
      </c>
      <c r="D268" s="3" t="s">
        <v>13</v>
      </c>
      <c r="E268" s="3" t="s">
        <v>46</v>
      </c>
      <c r="F268" s="3" t="s">
        <v>22</v>
      </c>
      <c r="G268" s="0" t="n">
        <v>40</v>
      </c>
      <c r="H268" s="4" t="n">
        <v>40.47</v>
      </c>
      <c r="I268" s="4" t="n">
        <v>22.87</v>
      </c>
      <c r="J268" s="4" t="n">
        <f aca="false">G268*H268</f>
        <v>1618.8</v>
      </c>
      <c r="K268" s="4" t="n">
        <f aca="false">G268*I268</f>
        <v>914.8</v>
      </c>
      <c r="L268" s="4" t="n">
        <f aca="false">J268-K268</f>
        <v>704</v>
      </c>
    </row>
    <row r="269" customFormat="false" ht="15" hidden="false" customHeight="false" outlineLevel="0" collapsed="false">
      <c r="A269" s="0" t="n">
        <v>1279</v>
      </c>
      <c r="B269" s="2" t="n">
        <v>45414</v>
      </c>
      <c r="C269" s="3" t="s">
        <v>26</v>
      </c>
      <c r="D269" s="3" t="s">
        <v>13</v>
      </c>
      <c r="E269" s="3" t="s">
        <v>31</v>
      </c>
      <c r="F269" s="3" t="s">
        <v>22</v>
      </c>
      <c r="G269" s="0" t="n">
        <v>14</v>
      </c>
      <c r="H269" s="4" t="n">
        <v>21.68</v>
      </c>
      <c r="I269" s="4" t="n">
        <v>12.77</v>
      </c>
      <c r="J269" s="4" t="n">
        <f aca="false">G269*H269</f>
        <v>303.52</v>
      </c>
      <c r="K269" s="4" t="n">
        <f aca="false">G269*I269</f>
        <v>178.78</v>
      </c>
      <c r="L269" s="4" t="n">
        <f aca="false">J269-K269</f>
        <v>124.74</v>
      </c>
    </row>
    <row r="270" customFormat="false" ht="15" hidden="false" customHeight="false" outlineLevel="0" collapsed="false">
      <c r="A270" s="0" t="n">
        <v>1930</v>
      </c>
      <c r="B270" s="2" t="n">
        <v>45414</v>
      </c>
      <c r="C270" s="3" t="s">
        <v>26</v>
      </c>
      <c r="D270" s="3" t="s">
        <v>20</v>
      </c>
      <c r="E270" s="3" t="s">
        <v>34</v>
      </c>
      <c r="F270" s="3" t="s">
        <v>33</v>
      </c>
      <c r="G270" s="0" t="n">
        <v>38</v>
      </c>
      <c r="H270" s="4" t="n">
        <v>200.23</v>
      </c>
      <c r="I270" s="4" t="n">
        <v>142.97</v>
      </c>
      <c r="J270" s="4" t="n">
        <f aca="false">G270*H270</f>
        <v>7608.74</v>
      </c>
      <c r="K270" s="4" t="n">
        <f aca="false">G270*I270</f>
        <v>5432.86</v>
      </c>
      <c r="L270" s="4" t="n">
        <f aca="false">J270-K270</f>
        <v>2175.88</v>
      </c>
    </row>
    <row r="271" customFormat="false" ht="15" hidden="false" customHeight="false" outlineLevel="0" collapsed="false">
      <c r="A271" s="0" t="n">
        <v>2464</v>
      </c>
      <c r="B271" s="2" t="n">
        <v>45414</v>
      </c>
      <c r="C271" s="3" t="s">
        <v>23</v>
      </c>
      <c r="D271" s="3" t="s">
        <v>17</v>
      </c>
      <c r="E271" s="3" t="s">
        <v>35</v>
      </c>
      <c r="F271" s="3" t="s">
        <v>39</v>
      </c>
      <c r="G271" s="0" t="n">
        <v>26</v>
      </c>
      <c r="H271" s="4" t="n">
        <v>369.04</v>
      </c>
      <c r="I271" s="4" t="n">
        <v>213.23</v>
      </c>
      <c r="J271" s="4" t="n">
        <f aca="false">G271*H271</f>
        <v>9595.04</v>
      </c>
      <c r="K271" s="4" t="n">
        <f aca="false">G271*I271</f>
        <v>5543.98</v>
      </c>
      <c r="L271" s="4" t="n">
        <f aca="false">J271-K271</f>
        <v>4051.06</v>
      </c>
    </row>
    <row r="272" customFormat="false" ht="15" hidden="false" customHeight="false" outlineLevel="0" collapsed="false">
      <c r="A272" s="0" t="n">
        <v>1308</v>
      </c>
      <c r="B272" s="2" t="n">
        <v>45415</v>
      </c>
      <c r="C272" s="3" t="s">
        <v>23</v>
      </c>
      <c r="D272" s="3" t="s">
        <v>13</v>
      </c>
      <c r="E272" s="3" t="s">
        <v>24</v>
      </c>
      <c r="F272" s="3" t="s">
        <v>39</v>
      </c>
      <c r="G272" s="0" t="n">
        <v>13</v>
      </c>
      <c r="H272" s="4" t="n">
        <v>27.13</v>
      </c>
      <c r="I272" s="4" t="n">
        <v>20.33</v>
      </c>
      <c r="J272" s="4" t="n">
        <f aca="false">G272*H272</f>
        <v>352.69</v>
      </c>
      <c r="K272" s="4" t="n">
        <f aca="false">G272*I272</f>
        <v>264.29</v>
      </c>
      <c r="L272" s="4" t="n">
        <f aca="false">J272-K272</f>
        <v>88.4</v>
      </c>
    </row>
    <row r="273" customFormat="false" ht="15" hidden="false" customHeight="false" outlineLevel="0" collapsed="false">
      <c r="A273" s="0" t="n">
        <v>2210</v>
      </c>
      <c r="B273" s="2" t="n">
        <v>45415</v>
      </c>
      <c r="C273" s="3" t="s">
        <v>32</v>
      </c>
      <c r="D273" s="3" t="s">
        <v>29</v>
      </c>
      <c r="E273" s="3" t="s">
        <v>30</v>
      </c>
      <c r="F273" s="3" t="s">
        <v>33</v>
      </c>
      <c r="G273" s="0" t="n">
        <v>12</v>
      </c>
      <c r="H273" s="4" t="n">
        <v>121.88</v>
      </c>
      <c r="I273" s="4" t="n">
        <v>65.67</v>
      </c>
      <c r="J273" s="4" t="n">
        <f aca="false">G273*H273</f>
        <v>1462.56</v>
      </c>
      <c r="K273" s="4" t="n">
        <f aca="false">G273*I273</f>
        <v>788.04</v>
      </c>
      <c r="L273" s="4" t="n">
        <f aca="false">J273-K273</f>
        <v>674.52</v>
      </c>
    </row>
    <row r="274" customFormat="false" ht="15" hidden="false" customHeight="false" outlineLevel="0" collapsed="false">
      <c r="A274" s="0" t="n">
        <v>2485</v>
      </c>
      <c r="B274" s="2" t="n">
        <v>45415</v>
      </c>
      <c r="C274" s="3" t="s">
        <v>32</v>
      </c>
      <c r="D274" s="3" t="s">
        <v>13</v>
      </c>
      <c r="E274" s="3" t="s">
        <v>31</v>
      </c>
      <c r="F274" s="3" t="s">
        <v>36</v>
      </c>
      <c r="G274" s="0" t="n">
        <v>35</v>
      </c>
      <c r="H274" s="4" t="n">
        <v>36.49</v>
      </c>
      <c r="I274" s="4" t="n">
        <v>20.73</v>
      </c>
      <c r="J274" s="4" t="n">
        <f aca="false">G274*H274</f>
        <v>1277.15</v>
      </c>
      <c r="K274" s="4" t="n">
        <f aca="false">G274*I274</f>
        <v>725.55</v>
      </c>
      <c r="L274" s="4" t="n">
        <f aca="false">J274-K274</f>
        <v>551.6</v>
      </c>
    </row>
    <row r="275" customFormat="false" ht="15" hidden="false" customHeight="false" outlineLevel="0" collapsed="false">
      <c r="A275" s="0" t="n">
        <v>1635</v>
      </c>
      <c r="B275" s="2" t="n">
        <v>45416</v>
      </c>
      <c r="C275" s="3" t="s">
        <v>16</v>
      </c>
      <c r="D275" s="3" t="s">
        <v>13</v>
      </c>
      <c r="E275" s="3" t="s">
        <v>14</v>
      </c>
      <c r="F275" s="3" t="s">
        <v>36</v>
      </c>
      <c r="G275" s="0" t="n">
        <v>1</v>
      </c>
      <c r="H275" s="4" t="n">
        <v>25.4</v>
      </c>
      <c r="I275" s="4" t="n">
        <v>13.27</v>
      </c>
      <c r="J275" s="4" t="n">
        <f aca="false">G275*H275</f>
        <v>25.4</v>
      </c>
      <c r="K275" s="4" t="n">
        <f aca="false">G275*I275</f>
        <v>13.27</v>
      </c>
      <c r="L275" s="4" t="n">
        <f aca="false">J275-K275</f>
        <v>12.13</v>
      </c>
    </row>
    <row r="276" customFormat="false" ht="15" hidden="false" customHeight="false" outlineLevel="0" collapsed="false">
      <c r="A276" s="0" t="n">
        <v>2725</v>
      </c>
      <c r="B276" s="2" t="n">
        <v>45416</v>
      </c>
      <c r="C276" s="3" t="s">
        <v>23</v>
      </c>
      <c r="D276" s="3" t="s">
        <v>29</v>
      </c>
      <c r="E276" s="3" t="s">
        <v>37</v>
      </c>
      <c r="F276" s="3" t="s">
        <v>19</v>
      </c>
      <c r="G276" s="0" t="n">
        <v>8</v>
      </c>
      <c r="H276" s="4" t="n">
        <v>267.59</v>
      </c>
      <c r="I276" s="4" t="n">
        <v>171.06</v>
      </c>
      <c r="J276" s="4" t="n">
        <f aca="false">G276*H276</f>
        <v>2140.72</v>
      </c>
      <c r="K276" s="4" t="n">
        <f aca="false">G276*I276</f>
        <v>1368.48</v>
      </c>
      <c r="L276" s="4" t="n">
        <f aca="false">J276-K276</f>
        <v>772.24</v>
      </c>
    </row>
    <row r="277" customFormat="false" ht="15" hidden="false" customHeight="false" outlineLevel="0" collapsed="false">
      <c r="A277" s="0" t="n">
        <v>2733</v>
      </c>
      <c r="B277" s="2" t="n">
        <v>45416</v>
      </c>
      <c r="C277" s="3" t="s">
        <v>12</v>
      </c>
      <c r="D277" s="3" t="s">
        <v>20</v>
      </c>
      <c r="E277" s="3" t="s">
        <v>38</v>
      </c>
      <c r="F277" s="3" t="s">
        <v>33</v>
      </c>
      <c r="G277" s="0" t="n">
        <v>10</v>
      </c>
      <c r="H277" s="4" t="n">
        <v>27.5</v>
      </c>
      <c r="I277" s="4" t="n">
        <v>18.18</v>
      </c>
      <c r="J277" s="4" t="n">
        <f aca="false">G277*H277</f>
        <v>275</v>
      </c>
      <c r="K277" s="4" t="n">
        <f aca="false">G277*I277</f>
        <v>181.8</v>
      </c>
      <c r="L277" s="4" t="n">
        <f aca="false">J277-K277</f>
        <v>93.2</v>
      </c>
    </row>
    <row r="278" customFormat="false" ht="15" hidden="false" customHeight="false" outlineLevel="0" collapsed="false">
      <c r="A278" s="0" t="n">
        <v>2447</v>
      </c>
      <c r="B278" s="2" t="n">
        <v>45417</v>
      </c>
      <c r="C278" s="3" t="s">
        <v>12</v>
      </c>
      <c r="D278" s="3" t="s">
        <v>20</v>
      </c>
      <c r="E278" s="3" t="s">
        <v>34</v>
      </c>
      <c r="F278" s="3" t="s">
        <v>15</v>
      </c>
      <c r="G278" s="0" t="n">
        <v>33</v>
      </c>
      <c r="H278" s="4" t="n">
        <v>122.54</v>
      </c>
      <c r="I278" s="4" t="n">
        <v>86.44</v>
      </c>
      <c r="J278" s="4" t="n">
        <f aca="false">G278*H278</f>
        <v>4043.82</v>
      </c>
      <c r="K278" s="4" t="n">
        <f aca="false">G278*I278</f>
        <v>2852.52</v>
      </c>
      <c r="L278" s="4" t="n">
        <f aca="false">J278-K278</f>
        <v>1191.3</v>
      </c>
    </row>
    <row r="279" customFormat="false" ht="15" hidden="false" customHeight="false" outlineLevel="0" collapsed="false">
      <c r="A279" s="0" t="n">
        <v>1601</v>
      </c>
      <c r="B279" s="2" t="n">
        <v>45418</v>
      </c>
      <c r="C279" s="3" t="s">
        <v>16</v>
      </c>
      <c r="D279" s="3" t="s">
        <v>13</v>
      </c>
      <c r="E279" s="3" t="s">
        <v>46</v>
      </c>
      <c r="F279" s="3" t="s">
        <v>39</v>
      </c>
      <c r="G279" s="0" t="n">
        <v>12</v>
      </c>
      <c r="H279" s="4" t="n">
        <v>4.67</v>
      </c>
      <c r="I279" s="4" t="n">
        <v>2.66</v>
      </c>
      <c r="J279" s="4" t="n">
        <f aca="false">G279*H279</f>
        <v>56.04</v>
      </c>
      <c r="K279" s="4" t="n">
        <f aca="false">G279*I279</f>
        <v>31.92</v>
      </c>
      <c r="L279" s="4" t="n">
        <f aca="false">J279-K279</f>
        <v>24.12</v>
      </c>
    </row>
    <row r="280" customFormat="false" ht="15" hidden="false" customHeight="false" outlineLevel="0" collapsed="false">
      <c r="A280" s="0" t="n">
        <v>2041</v>
      </c>
      <c r="B280" s="2" t="n">
        <v>45418</v>
      </c>
      <c r="C280" s="3" t="s">
        <v>23</v>
      </c>
      <c r="D280" s="3" t="s">
        <v>20</v>
      </c>
      <c r="E280" s="3" t="s">
        <v>34</v>
      </c>
      <c r="F280" s="3" t="s">
        <v>15</v>
      </c>
      <c r="G280" s="0" t="n">
        <v>6</v>
      </c>
      <c r="H280" s="4" t="n">
        <v>225.14</v>
      </c>
      <c r="I280" s="4" t="n">
        <v>113.7</v>
      </c>
      <c r="J280" s="4" t="n">
        <f aca="false">G280*H280</f>
        <v>1350.84</v>
      </c>
      <c r="K280" s="4" t="n">
        <f aca="false">G280*I280</f>
        <v>682.2</v>
      </c>
      <c r="L280" s="4" t="n">
        <f aca="false">J280-K280</f>
        <v>668.64</v>
      </c>
    </row>
    <row r="281" customFormat="false" ht="15" hidden="false" customHeight="false" outlineLevel="0" collapsed="false">
      <c r="A281" s="0" t="n">
        <v>1824</v>
      </c>
      <c r="B281" s="2" t="n">
        <v>45419</v>
      </c>
      <c r="C281" s="3" t="s">
        <v>16</v>
      </c>
      <c r="D281" s="3" t="s">
        <v>17</v>
      </c>
      <c r="E281" s="3" t="s">
        <v>35</v>
      </c>
      <c r="F281" s="3" t="s">
        <v>36</v>
      </c>
      <c r="G281" s="0" t="n">
        <v>5</v>
      </c>
      <c r="H281" s="4" t="n">
        <v>336.66</v>
      </c>
      <c r="I281" s="4" t="n">
        <v>180.65</v>
      </c>
      <c r="J281" s="4" t="n">
        <f aca="false">G281*H281</f>
        <v>1683.3</v>
      </c>
      <c r="K281" s="4" t="n">
        <f aca="false">G281*I281</f>
        <v>903.25</v>
      </c>
      <c r="L281" s="4" t="n">
        <f aca="false">J281-K281</f>
        <v>780.05</v>
      </c>
    </row>
    <row r="282" customFormat="false" ht="15" hidden="false" customHeight="false" outlineLevel="0" collapsed="false">
      <c r="A282" s="0" t="n">
        <v>1882</v>
      </c>
      <c r="B282" s="2" t="n">
        <v>45420</v>
      </c>
      <c r="C282" s="3" t="s">
        <v>12</v>
      </c>
      <c r="D282" s="3" t="s">
        <v>20</v>
      </c>
      <c r="E282" s="3" t="s">
        <v>42</v>
      </c>
      <c r="F282" s="3" t="s">
        <v>39</v>
      </c>
      <c r="G282" s="0" t="n">
        <v>26</v>
      </c>
      <c r="H282" s="4" t="n">
        <v>255.68</v>
      </c>
      <c r="I282" s="4" t="n">
        <v>180.03</v>
      </c>
      <c r="J282" s="4" t="n">
        <f aca="false">G282*H282</f>
        <v>6647.68</v>
      </c>
      <c r="K282" s="4" t="n">
        <f aca="false">G282*I282</f>
        <v>4680.78</v>
      </c>
      <c r="L282" s="4" t="n">
        <f aca="false">J282-K282</f>
        <v>1966.9</v>
      </c>
    </row>
    <row r="283" customFormat="false" ht="15" hidden="false" customHeight="false" outlineLevel="0" collapsed="false">
      <c r="A283" s="0" t="n">
        <v>1965</v>
      </c>
      <c r="B283" s="2" t="n">
        <v>45420</v>
      </c>
      <c r="C283" s="3" t="s">
        <v>23</v>
      </c>
      <c r="D283" s="3" t="s">
        <v>17</v>
      </c>
      <c r="E283" s="3" t="s">
        <v>18</v>
      </c>
      <c r="F283" s="3" t="s">
        <v>28</v>
      </c>
      <c r="G283" s="0" t="n">
        <v>4</v>
      </c>
      <c r="H283" s="4" t="n">
        <v>131.11</v>
      </c>
      <c r="I283" s="4" t="n">
        <v>85.04</v>
      </c>
      <c r="J283" s="4" t="n">
        <f aca="false">G283*H283</f>
        <v>524.44</v>
      </c>
      <c r="K283" s="4" t="n">
        <f aca="false">G283*I283</f>
        <v>340.16</v>
      </c>
      <c r="L283" s="4" t="n">
        <f aca="false">J283-K283</f>
        <v>184.28</v>
      </c>
    </row>
    <row r="284" customFormat="false" ht="15" hidden="false" customHeight="false" outlineLevel="0" collapsed="false">
      <c r="A284" s="0" t="n">
        <v>2015</v>
      </c>
      <c r="B284" s="2" t="n">
        <v>45420</v>
      </c>
      <c r="C284" s="3" t="s">
        <v>16</v>
      </c>
      <c r="D284" s="3" t="s">
        <v>13</v>
      </c>
      <c r="E284" s="3" t="s">
        <v>14</v>
      </c>
      <c r="F284" s="3" t="s">
        <v>19</v>
      </c>
      <c r="G284" s="0" t="n">
        <v>39</v>
      </c>
      <c r="H284" s="4" t="n">
        <v>19.35</v>
      </c>
      <c r="I284" s="4" t="n">
        <v>11.71</v>
      </c>
      <c r="J284" s="4" t="n">
        <f aca="false">G284*H284</f>
        <v>754.65</v>
      </c>
      <c r="K284" s="4" t="n">
        <f aca="false">G284*I284</f>
        <v>456.69</v>
      </c>
      <c r="L284" s="4" t="n">
        <f aca="false">J284-K284</f>
        <v>297.96</v>
      </c>
    </row>
    <row r="285" customFormat="false" ht="15" hidden="false" customHeight="false" outlineLevel="0" collapsed="false">
      <c r="A285" s="0" t="n">
        <v>2026</v>
      </c>
      <c r="B285" s="2" t="n">
        <v>45421</v>
      </c>
      <c r="C285" s="3" t="s">
        <v>23</v>
      </c>
      <c r="D285" s="3" t="s">
        <v>29</v>
      </c>
      <c r="E285" s="3" t="s">
        <v>30</v>
      </c>
      <c r="F285" s="3" t="s">
        <v>25</v>
      </c>
      <c r="G285" s="0" t="n">
        <v>29</v>
      </c>
      <c r="H285" s="4" t="n">
        <v>116.48</v>
      </c>
      <c r="I285" s="4" t="n">
        <v>66.35</v>
      </c>
      <c r="J285" s="4" t="n">
        <f aca="false">G285*H285</f>
        <v>3377.92</v>
      </c>
      <c r="K285" s="4" t="n">
        <f aca="false">G285*I285</f>
        <v>1924.15</v>
      </c>
      <c r="L285" s="4" t="n">
        <f aca="false">J285-K285</f>
        <v>1453.77</v>
      </c>
    </row>
    <row r="286" customFormat="false" ht="15" hidden="false" customHeight="false" outlineLevel="0" collapsed="false">
      <c r="A286" s="0" t="n">
        <v>2095</v>
      </c>
      <c r="B286" s="2" t="n">
        <v>45421</v>
      </c>
      <c r="C286" s="3" t="s">
        <v>12</v>
      </c>
      <c r="D286" s="3" t="s">
        <v>20</v>
      </c>
      <c r="E286" s="3" t="s">
        <v>21</v>
      </c>
      <c r="F286" s="3" t="s">
        <v>15</v>
      </c>
      <c r="G286" s="0" t="n">
        <v>23</v>
      </c>
      <c r="H286" s="4" t="n">
        <v>251.16</v>
      </c>
      <c r="I286" s="4" t="n">
        <v>178</v>
      </c>
      <c r="J286" s="4" t="n">
        <f aca="false">G286*H286</f>
        <v>5776.68</v>
      </c>
      <c r="K286" s="4" t="n">
        <f aca="false">G286*I286</f>
        <v>4094</v>
      </c>
      <c r="L286" s="4" t="n">
        <f aca="false">J286-K286</f>
        <v>1682.68</v>
      </c>
    </row>
    <row r="287" customFormat="false" ht="15" hidden="false" customHeight="false" outlineLevel="0" collapsed="false">
      <c r="A287" s="0" t="n">
        <v>1195</v>
      </c>
      <c r="B287" s="2" t="n">
        <v>45422</v>
      </c>
      <c r="C287" s="3" t="s">
        <v>12</v>
      </c>
      <c r="D287" s="3" t="s">
        <v>17</v>
      </c>
      <c r="E287" s="3" t="s">
        <v>27</v>
      </c>
      <c r="F287" s="3" t="s">
        <v>15</v>
      </c>
      <c r="G287" s="0" t="n">
        <v>30</v>
      </c>
      <c r="H287" s="4" t="n">
        <v>625.74</v>
      </c>
      <c r="I287" s="4" t="n">
        <v>351.59</v>
      </c>
      <c r="J287" s="4" t="n">
        <f aca="false">G287*H287</f>
        <v>18772.2</v>
      </c>
      <c r="K287" s="4" t="n">
        <f aca="false">G287*I287</f>
        <v>10547.7</v>
      </c>
      <c r="L287" s="4" t="n">
        <f aca="false">J287-K287</f>
        <v>8224.5</v>
      </c>
    </row>
    <row r="288" customFormat="false" ht="15" hidden="false" customHeight="false" outlineLevel="0" collapsed="false">
      <c r="A288" s="0" t="n">
        <v>2152</v>
      </c>
      <c r="B288" s="2" t="n">
        <v>45422</v>
      </c>
      <c r="C288" s="3" t="s">
        <v>16</v>
      </c>
      <c r="D288" s="3" t="s">
        <v>29</v>
      </c>
      <c r="E288" s="3" t="s">
        <v>30</v>
      </c>
      <c r="F288" s="3" t="s">
        <v>33</v>
      </c>
      <c r="G288" s="0" t="n">
        <v>21</v>
      </c>
      <c r="H288" s="4" t="n">
        <v>164.71</v>
      </c>
      <c r="I288" s="4" t="n">
        <v>123.16</v>
      </c>
      <c r="J288" s="4" t="n">
        <f aca="false">G288*H288</f>
        <v>3458.91</v>
      </c>
      <c r="K288" s="4" t="n">
        <f aca="false">G288*I288</f>
        <v>2586.36</v>
      </c>
      <c r="L288" s="4" t="n">
        <f aca="false">J288-K288</f>
        <v>872.55</v>
      </c>
    </row>
    <row r="289" customFormat="false" ht="15" hidden="false" customHeight="false" outlineLevel="0" collapsed="false">
      <c r="A289" s="0" t="n">
        <v>2463</v>
      </c>
      <c r="B289" s="2" t="n">
        <v>45422</v>
      </c>
      <c r="C289" s="3" t="s">
        <v>16</v>
      </c>
      <c r="D289" s="3" t="s">
        <v>17</v>
      </c>
      <c r="E289" s="3" t="s">
        <v>44</v>
      </c>
      <c r="F289" s="3" t="s">
        <v>36</v>
      </c>
      <c r="G289" s="0" t="n">
        <v>22</v>
      </c>
      <c r="H289" s="4" t="n">
        <v>456.71</v>
      </c>
      <c r="I289" s="4" t="n">
        <v>340.13</v>
      </c>
      <c r="J289" s="4" t="n">
        <f aca="false">G289*H289</f>
        <v>10047.62</v>
      </c>
      <c r="K289" s="4" t="n">
        <f aca="false">G289*I289</f>
        <v>7482.86</v>
      </c>
      <c r="L289" s="4" t="n">
        <f aca="false">J289-K289</f>
        <v>2564.76</v>
      </c>
    </row>
    <row r="290" customFormat="false" ht="15" hidden="false" customHeight="false" outlineLevel="0" collapsed="false">
      <c r="A290" s="0" t="n">
        <v>1449</v>
      </c>
      <c r="B290" s="2" t="n">
        <v>45424</v>
      </c>
      <c r="C290" s="3" t="s">
        <v>12</v>
      </c>
      <c r="D290" s="3" t="s">
        <v>17</v>
      </c>
      <c r="E290" s="3" t="s">
        <v>44</v>
      </c>
      <c r="F290" s="3" t="s">
        <v>25</v>
      </c>
      <c r="G290" s="0" t="n">
        <v>32</v>
      </c>
      <c r="H290" s="4" t="n">
        <v>220.96</v>
      </c>
      <c r="I290" s="4" t="n">
        <v>137.54</v>
      </c>
      <c r="J290" s="4" t="n">
        <f aca="false">G290*H290</f>
        <v>7070.72</v>
      </c>
      <c r="K290" s="4" t="n">
        <f aca="false">G290*I290</f>
        <v>4401.28</v>
      </c>
      <c r="L290" s="4" t="n">
        <f aca="false">J290-K290</f>
        <v>2669.44</v>
      </c>
    </row>
    <row r="291" customFormat="false" ht="15" hidden="false" customHeight="false" outlineLevel="0" collapsed="false">
      <c r="A291" s="0" t="n">
        <v>1496</v>
      </c>
      <c r="B291" s="2" t="n">
        <v>45424</v>
      </c>
      <c r="C291" s="3" t="s">
        <v>16</v>
      </c>
      <c r="D291" s="3" t="s">
        <v>20</v>
      </c>
      <c r="E291" s="3" t="s">
        <v>21</v>
      </c>
      <c r="F291" s="3" t="s">
        <v>28</v>
      </c>
      <c r="G291" s="0" t="n">
        <v>12</v>
      </c>
      <c r="H291" s="4" t="n">
        <v>74.2</v>
      </c>
      <c r="I291" s="4" t="n">
        <v>39.29</v>
      </c>
      <c r="J291" s="4" t="n">
        <f aca="false">G291*H291</f>
        <v>890.4</v>
      </c>
      <c r="K291" s="4" t="n">
        <f aca="false">G291*I291</f>
        <v>471.48</v>
      </c>
      <c r="L291" s="4" t="n">
        <f aca="false">J291-K291</f>
        <v>418.92</v>
      </c>
    </row>
    <row r="292" customFormat="false" ht="15" hidden="false" customHeight="false" outlineLevel="0" collapsed="false">
      <c r="A292" s="0" t="n">
        <v>1692</v>
      </c>
      <c r="B292" s="2" t="n">
        <v>45425</v>
      </c>
      <c r="C292" s="3" t="s">
        <v>23</v>
      </c>
      <c r="D292" s="3" t="s">
        <v>13</v>
      </c>
      <c r="E292" s="3" t="s">
        <v>14</v>
      </c>
      <c r="F292" s="3" t="s">
        <v>25</v>
      </c>
      <c r="G292" s="0" t="n">
        <v>24</v>
      </c>
      <c r="H292" s="4" t="n">
        <v>25.96</v>
      </c>
      <c r="I292" s="4" t="n">
        <v>18.64</v>
      </c>
      <c r="J292" s="4" t="n">
        <f aca="false">G292*H292</f>
        <v>623.04</v>
      </c>
      <c r="K292" s="4" t="n">
        <f aca="false">G292*I292</f>
        <v>447.36</v>
      </c>
      <c r="L292" s="4" t="n">
        <f aca="false">J292-K292</f>
        <v>175.68</v>
      </c>
    </row>
    <row r="293" customFormat="false" ht="15" hidden="false" customHeight="false" outlineLevel="0" collapsed="false">
      <c r="A293" s="0" t="n">
        <v>2614</v>
      </c>
      <c r="B293" s="2" t="n">
        <v>45425</v>
      </c>
      <c r="C293" s="3" t="s">
        <v>12</v>
      </c>
      <c r="D293" s="3" t="s">
        <v>20</v>
      </c>
      <c r="E293" s="3" t="s">
        <v>38</v>
      </c>
      <c r="F293" s="3" t="s">
        <v>15</v>
      </c>
      <c r="G293" s="0" t="n">
        <v>4</v>
      </c>
      <c r="H293" s="4" t="n">
        <v>117.17</v>
      </c>
      <c r="I293" s="4" t="n">
        <v>85.69</v>
      </c>
      <c r="J293" s="4" t="n">
        <f aca="false">G293*H293</f>
        <v>468.68</v>
      </c>
      <c r="K293" s="4" t="n">
        <f aca="false">G293*I293</f>
        <v>342.76</v>
      </c>
      <c r="L293" s="4" t="n">
        <f aca="false">J293-K293</f>
        <v>125.92</v>
      </c>
    </row>
    <row r="294" customFormat="false" ht="15" hidden="false" customHeight="false" outlineLevel="0" collapsed="false">
      <c r="A294" s="0" t="n">
        <v>2066</v>
      </c>
      <c r="B294" s="2" t="n">
        <v>45426</v>
      </c>
      <c r="C294" s="3" t="s">
        <v>26</v>
      </c>
      <c r="D294" s="3" t="s">
        <v>20</v>
      </c>
      <c r="E294" s="3" t="s">
        <v>42</v>
      </c>
      <c r="F294" s="3" t="s">
        <v>22</v>
      </c>
      <c r="G294" s="0" t="n">
        <v>29</v>
      </c>
      <c r="H294" s="4" t="n">
        <v>172.34</v>
      </c>
      <c r="I294" s="4" t="n">
        <v>128.54</v>
      </c>
      <c r="J294" s="4" t="n">
        <f aca="false">G294*H294</f>
        <v>4997.86</v>
      </c>
      <c r="K294" s="4" t="n">
        <f aca="false">G294*I294</f>
        <v>3727.66</v>
      </c>
      <c r="L294" s="4" t="n">
        <f aca="false">J294-K294</f>
        <v>1270.2</v>
      </c>
    </row>
    <row r="295" customFormat="false" ht="15" hidden="false" customHeight="false" outlineLevel="0" collapsed="false">
      <c r="A295" s="0" t="n">
        <v>2072</v>
      </c>
      <c r="B295" s="2" t="n">
        <v>45427</v>
      </c>
      <c r="C295" s="3" t="s">
        <v>32</v>
      </c>
      <c r="D295" s="3" t="s">
        <v>17</v>
      </c>
      <c r="E295" s="3" t="s">
        <v>18</v>
      </c>
      <c r="F295" s="3" t="s">
        <v>15</v>
      </c>
      <c r="G295" s="0" t="n">
        <v>12</v>
      </c>
      <c r="H295" s="4" t="n">
        <v>294.33</v>
      </c>
      <c r="I295" s="4" t="n">
        <v>167.24</v>
      </c>
      <c r="J295" s="4" t="n">
        <f aca="false">G295*H295</f>
        <v>3531.96</v>
      </c>
      <c r="K295" s="4" t="n">
        <f aca="false">G295*I295</f>
        <v>2006.88</v>
      </c>
      <c r="L295" s="4" t="n">
        <f aca="false">J295-K295</f>
        <v>1525.08</v>
      </c>
    </row>
    <row r="296" customFormat="false" ht="15" hidden="false" customHeight="false" outlineLevel="0" collapsed="false">
      <c r="A296" s="0" t="n">
        <v>2128</v>
      </c>
      <c r="B296" s="2" t="n">
        <v>45427</v>
      </c>
      <c r="C296" s="3" t="s">
        <v>16</v>
      </c>
      <c r="D296" s="3" t="s">
        <v>29</v>
      </c>
      <c r="E296" s="3" t="s">
        <v>30</v>
      </c>
      <c r="F296" s="3" t="s">
        <v>39</v>
      </c>
      <c r="G296" s="0" t="n">
        <v>15</v>
      </c>
      <c r="H296" s="4" t="n">
        <v>280.46</v>
      </c>
      <c r="I296" s="4" t="n">
        <v>202.05</v>
      </c>
      <c r="J296" s="4" t="n">
        <f aca="false">G296*H296</f>
        <v>4206.9</v>
      </c>
      <c r="K296" s="4" t="n">
        <f aca="false">G296*I296</f>
        <v>3030.75</v>
      </c>
      <c r="L296" s="4" t="n">
        <f aca="false">J296-K296</f>
        <v>1176.15</v>
      </c>
    </row>
    <row r="297" customFormat="false" ht="15" hidden="false" customHeight="false" outlineLevel="0" collapsed="false">
      <c r="A297" s="0" t="n">
        <v>2317</v>
      </c>
      <c r="B297" s="2" t="n">
        <v>45427</v>
      </c>
      <c r="C297" s="3" t="s">
        <v>16</v>
      </c>
      <c r="D297" s="3" t="s">
        <v>17</v>
      </c>
      <c r="E297" s="3" t="s">
        <v>18</v>
      </c>
      <c r="F297" s="3" t="s">
        <v>28</v>
      </c>
      <c r="G297" s="0" t="n">
        <v>24</v>
      </c>
      <c r="H297" s="4" t="n">
        <v>727.24</v>
      </c>
      <c r="I297" s="4" t="n">
        <v>430.58</v>
      </c>
      <c r="J297" s="4" t="n">
        <f aca="false">G297*H297</f>
        <v>17453.76</v>
      </c>
      <c r="K297" s="4" t="n">
        <f aca="false">G297*I297</f>
        <v>10333.92</v>
      </c>
      <c r="L297" s="4" t="n">
        <f aca="false">J297-K297</f>
        <v>7119.84</v>
      </c>
    </row>
    <row r="298" customFormat="false" ht="15" hidden="false" customHeight="false" outlineLevel="0" collapsed="false">
      <c r="A298" s="0" t="n">
        <v>1771</v>
      </c>
      <c r="B298" s="2" t="n">
        <v>45428</v>
      </c>
      <c r="C298" s="3" t="s">
        <v>32</v>
      </c>
      <c r="D298" s="3" t="s">
        <v>13</v>
      </c>
      <c r="E298" s="3" t="s">
        <v>31</v>
      </c>
      <c r="F298" s="3" t="s">
        <v>28</v>
      </c>
      <c r="G298" s="0" t="n">
        <v>5</v>
      </c>
      <c r="H298" s="4" t="n">
        <v>37.69</v>
      </c>
      <c r="I298" s="4" t="n">
        <v>24.88</v>
      </c>
      <c r="J298" s="4" t="n">
        <f aca="false">G298*H298</f>
        <v>188.45</v>
      </c>
      <c r="K298" s="4" t="n">
        <f aca="false">G298*I298</f>
        <v>124.4</v>
      </c>
      <c r="L298" s="4" t="n">
        <f aca="false">J298-K298</f>
        <v>64.05</v>
      </c>
    </row>
    <row r="299" customFormat="false" ht="15" hidden="false" customHeight="false" outlineLevel="0" collapsed="false">
      <c r="A299" s="0" t="n">
        <v>1834</v>
      </c>
      <c r="B299" s="2" t="n">
        <v>45428</v>
      </c>
      <c r="C299" s="3" t="s">
        <v>16</v>
      </c>
      <c r="D299" s="3" t="s">
        <v>29</v>
      </c>
      <c r="E299" s="3" t="s">
        <v>30</v>
      </c>
      <c r="F299" s="3" t="s">
        <v>36</v>
      </c>
      <c r="G299" s="0" t="n">
        <v>32</v>
      </c>
      <c r="H299" s="4" t="n">
        <v>127.56</v>
      </c>
      <c r="I299" s="4" t="n">
        <v>71.75</v>
      </c>
      <c r="J299" s="4" t="n">
        <f aca="false">G299*H299</f>
        <v>4081.92</v>
      </c>
      <c r="K299" s="4" t="n">
        <f aca="false">G299*I299</f>
        <v>2296</v>
      </c>
      <c r="L299" s="4" t="n">
        <f aca="false">J299-K299</f>
        <v>1785.92</v>
      </c>
    </row>
    <row r="300" customFormat="false" ht="15" hidden="false" customHeight="false" outlineLevel="0" collapsed="false">
      <c r="A300" s="0" t="n">
        <v>1858</v>
      </c>
      <c r="B300" s="2" t="n">
        <v>45428</v>
      </c>
      <c r="C300" s="3" t="s">
        <v>32</v>
      </c>
      <c r="D300" s="3" t="s">
        <v>17</v>
      </c>
      <c r="E300" s="3" t="s">
        <v>44</v>
      </c>
      <c r="F300" s="3" t="s">
        <v>39</v>
      </c>
      <c r="G300" s="0" t="n">
        <v>35</v>
      </c>
      <c r="H300" s="4" t="n">
        <v>157.6</v>
      </c>
      <c r="I300" s="4" t="n">
        <v>91.59</v>
      </c>
      <c r="J300" s="4" t="n">
        <f aca="false">G300*H300</f>
        <v>5516</v>
      </c>
      <c r="K300" s="4" t="n">
        <f aca="false">G300*I300</f>
        <v>3205.65</v>
      </c>
      <c r="L300" s="4" t="n">
        <f aca="false">J300-K300</f>
        <v>2310.35</v>
      </c>
    </row>
    <row r="301" customFormat="false" ht="15" hidden="false" customHeight="false" outlineLevel="0" collapsed="false">
      <c r="A301" s="0" t="n">
        <v>1876</v>
      </c>
      <c r="B301" s="2" t="n">
        <v>45428</v>
      </c>
      <c r="C301" s="3" t="s">
        <v>26</v>
      </c>
      <c r="D301" s="3" t="s">
        <v>17</v>
      </c>
      <c r="E301" s="3" t="s">
        <v>40</v>
      </c>
      <c r="F301" s="3" t="s">
        <v>33</v>
      </c>
      <c r="G301" s="0" t="n">
        <v>9</v>
      </c>
      <c r="H301" s="4" t="n">
        <v>307.55</v>
      </c>
      <c r="I301" s="4" t="n">
        <v>223.97</v>
      </c>
      <c r="J301" s="4" t="n">
        <f aca="false">G301*H301</f>
        <v>2767.95</v>
      </c>
      <c r="K301" s="4" t="n">
        <f aca="false">G301*I301</f>
        <v>2015.73</v>
      </c>
      <c r="L301" s="4" t="n">
        <f aca="false">J301-K301</f>
        <v>752.22</v>
      </c>
    </row>
    <row r="302" customFormat="false" ht="15" hidden="false" customHeight="false" outlineLevel="0" collapsed="false">
      <c r="A302" s="0" t="n">
        <v>1202</v>
      </c>
      <c r="B302" s="2" t="n">
        <v>45429</v>
      </c>
      <c r="C302" s="3" t="s">
        <v>23</v>
      </c>
      <c r="D302" s="3" t="s">
        <v>13</v>
      </c>
      <c r="E302" s="3" t="s">
        <v>31</v>
      </c>
      <c r="F302" s="3" t="s">
        <v>39</v>
      </c>
      <c r="G302" s="0" t="n">
        <v>22</v>
      </c>
      <c r="H302" s="4" t="n">
        <v>55.57</v>
      </c>
      <c r="I302" s="4" t="n">
        <v>37.85</v>
      </c>
      <c r="J302" s="4" t="n">
        <f aca="false">G302*H302</f>
        <v>1222.54</v>
      </c>
      <c r="K302" s="4" t="n">
        <f aca="false">G302*I302</f>
        <v>832.7</v>
      </c>
      <c r="L302" s="4" t="n">
        <f aca="false">J302-K302</f>
        <v>389.84</v>
      </c>
    </row>
    <row r="303" customFormat="false" ht="15" hidden="false" customHeight="false" outlineLevel="0" collapsed="false">
      <c r="A303" s="0" t="n">
        <v>2198</v>
      </c>
      <c r="B303" s="2" t="n">
        <v>45429</v>
      </c>
      <c r="C303" s="3" t="s">
        <v>32</v>
      </c>
      <c r="D303" s="3" t="s">
        <v>13</v>
      </c>
      <c r="E303" s="3" t="s">
        <v>46</v>
      </c>
      <c r="F303" s="3" t="s">
        <v>19</v>
      </c>
      <c r="G303" s="0" t="n">
        <v>7</v>
      </c>
      <c r="H303" s="4" t="n">
        <v>47.7</v>
      </c>
      <c r="I303" s="4" t="n">
        <v>27.59</v>
      </c>
      <c r="J303" s="4" t="n">
        <f aca="false">G303*H303</f>
        <v>333.9</v>
      </c>
      <c r="K303" s="4" t="n">
        <f aca="false">G303*I303</f>
        <v>193.13</v>
      </c>
      <c r="L303" s="4" t="n">
        <f aca="false">J303-K303</f>
        <v>140.77</v>
      </c>
    </row>
    <row r="304" customFormat="false" ht="15" hidden="false" customHeight="false" outlineLevel="0" collapsed="false">
      <c r="A304" s="0" t="n">
        <v>2457</v>
      </c>
      <c r="B304" s="2" t="n">
        <v>45429</v>
      </c>
      <c r="C304" s="3" t="s">
        <v>23</v>
      </c>
      <c r="D304" s="3" t="s">
        <v>17</v>
      </c>
      <c r="E304" s="3" t="s">
        <v>40</v>
      </c>
      <c r="F304" s="3" t="s">
        <v>22</v>
      </c>
      <c r="G304" s="0" t="n">
        <v>19</v>
      </c>
      <c r="H304" s="4" t="n">
        <v>636.94</v>
      </c>
      <c r="I304" s="4" t="n">
        <v>464.41</v>
      </c>
      <c r="J304" s="4" t="n">
        <f aca="false">G304*H304</f>
        <v>12101.86</v>
      </c>
      <c r="K304" s="4" t="n">
        <f aca="false">G304*I304</f>
        <v>8823.79</v>
      </c>
      <c r="L304" s="4" t="n">
        <f aca="false">J304-K304</f>
        <v>3278.07</v>
      </c>
    </row>
    <row r="305" customFormat="false" ht="15" hidden="false" customHeight="false" outlineLevel="0" collapsed="false">
      <c r="A305" s="0" t="n">
        <v>1248</v>
      </c>
      <c r="B305" s="2" t="n">
        <v>45430</v>
      </c>
      <c r="C305" s="3" t="s">
        <v>23</v>
      </c>
      <c r="D305" s="3" t="s">
        <v>17</v>
      </c>
      <c r="E305" s="3" t="s">
        <v>40</v>
      </c>
      <c r="F305" s="3" t="s">
        <v>19</v>
      </c>
      <c r="G305" s="0" t="n">
        <v>9</v>
      </c>
      <c r="H305" s="4" t="n">
        <v>269.73</v>
      </c>
      <c r="I305" s="4" t="n">
        <v>180.47</v>
      </c>
      <c r="J305" s="4" t="n">
        <f aca="false">G305*H305</f>
        <v>2427.57</v>
      </c>
      <c r="K305" s="4" t="n">
        <f aca="false">G305*I305</f>
        <v>1624.23</v>
      </c>
      <c r="L305" s="4" t="n">
        <f aca="false">J305-K305</f>
        <v>803.34</v>
      </c>
    </row>
    <row r="306" customFormat="false" ht="15" hidden="false" customHeight="false" outlineLevel="0" collapsed="false">
      <c r="A306" s="0" t="n">
        <v>2427</v>
      </c>
      <c r="B306" s="2" t="n">
        <v>45430</v>
      </c>
      <c r="C306" s="3" t="s">
        <v>12</v>
      </c>
      <c r="D306" s="3" t="s">
        <v>13</v>
      </c>
      <c r="E306" s="3" t="s">
        <v>24</v>
      </c>
      <c r="F306" s="3" t="s">
        <v>33</v>
      </c>
      <c r="G306" s="0" t="n">
        <v>7</v>
      </c>
      <c r="H306" s="4" t="n">
        <v>3.67</v>
      </c>
      <c r="I306" s="4" t="n">
        <v>2.09</v>
      </c>
      <c r="J306" s="4" t="n">
        <f aca="false">G306*H306</f>
        <v>25.69</v>
      </c>
      <c r="K306" s="4" t="n">
        <f aca="false">G306*I306</f>
        <v>14.63</v>
      </c>
      <c r="L306" s="4" t="n">
        <f aca="false">J306-K306</f>
        <v>11.06</v>
      </c>
    </row>
    <row r="307" customFormat="false" ht="15" hidden="false" customHeight="false" outlineLevel="0" collapsed="false">
      <c r="A307" s="0" t="n">
        <v>2438</v>
      </c>
      <c r="B307" s="2" t="n">
        <v>45430</v>
      </c>
      <c r="C307" s="3" t="s">
        <v>26</v>
      </c>
      <c r="D307" s="3" t="s">
        <v>13</v>
      </c>
      <c r="E307" s="3" t="s">
        <v>46</v>
      </c>
      <c r="F307" s="3" t="s">
        <v>39</v>
      </c>
      <c r="G307" s="0" t="n">
        <v>9</v>
      </c>
      <c r="H307" s="4" t="n">
        <v>5.89</v>
      </c>
      <c r="I307" s="4" t="n">
        <v>3.05</v>
      </c>
      <c r="J307" s="4" t="n">
        <f aca="false">G307*H307</f>
        <v>53.01</v>
      </c>
      <c r="K307" s="4" t="n">
        <f aca="false">G307*I307</f>
        <v>27.45</v>
      </c>
      <c r="L307" s="4" t="n">
        <f aca="false">J307-K307</f>
        <v>25.56</v>
      </c>
    </row>
    <row r="308" customFormat="false" ht="15" hidden="false" customHeight="false" outlineLevel="0" collapsed="false">
      <c r="A308" s="0" t="n">
        <v>1081</v>
      </c>
      <c r="B308" s="2" t="n">
        <v>45431</v>
      </c>
      <c r="C308" s="3" t="s">
        <v>26</v>
      </c>
      <c r="D308" s="3" t="s">
        <v>29</v>
      </c>
      <c r="E308" s="3" t="s">
        <v>41</v>
      </c>
      <c r="F308" s="3" t="s">
        <v>33</v>
      </c>
      <c r="G308" s="0" t="n">
        <v>33</v>
      </c>
      <c r="H308" s="4" t="n">
        <v>384.94</v>
      </c>
      <c r="I308" s="4" t="n">
        <v>248.28</v>
      </c>
      <c r="J308" s="4" t="n">
        <f aca="false">G308*H308</f>
        <v>12703.02</v>
      </c>
      <c r="K308" s="4" t="n">
        <f aca="false">G308*I308</f>
        <v>8193.24</v>
      </c>
      <c r="L308" s="4" t="n">
        <f aca="false">J308-K308</f>
        <v>4509.78</v>
      </c>
    </row>
    <row r="309" customFormat="false" ht="15" hidden="false" customHeight="false" outlineLevel="0" collapsed="false">
      <c r="A309" s="0" t="n">
        <v>1435</v>
      </c>
      <c r="B309" s="2" t="n">
        <v>45431</v>
      </c>
      <c r="C309" s="3" t="s">
        <v>32</v>
      </c>
      <c r="D309" s="3" t="s">
        <v>17</v>
      </c>
      <c r="E309" s="3" t="s">
        <v>18</v>
      </c>
      <c r="F309" s="3" t="s">
        <v>28</v>
      </c>
      <c r="G309" s="0" t="n">
        <v>18</v>
      </c>
      <c r="H309" s="4" t="n">
        <v>648.4</v>
      </c>
      <c r="I309" s="4" t="n">
        <v>481.39</v>
      </c>
      <c r="J309" s="4" t="n">
        <f aca="false">G309*H309</f>
        <v>11671.2</v>
      </c>
      <c r="K309" s="4" t="n">
        <f aca="false">G309*I309</f>
        <v>8665.02</v>
      </c>
      <c r="L309" s="4" t="n">
        <f aca="false">J309-K309</f>
        <v>3006.18</v>
      </c>
    </row>
    <row r="310" customFormat="false" ht="15" hidden="false" customHeight="false" outlineLevel="0" collapsed="false">
      <c r="A310" s="0" t="n">
        <v>1500</v>
      </c>
      <c r="B310" s="2" t="n">
        <v>45431</v>
      </c>
      <c r="C310" s="3" t="s">
        <v>23</v>
      </c>
      <c r="D310" s="3" t="s">
        <v>13</v>
      </c>
      <c r="E310" s="3" t="s">
        <v>14</v>
      </c>
      <c r="F310" s="3" t="s">
        <v>33</v>
      </c>
      <c r="G310" s="0" t="n">
        <v>30</v>
      </c>
      <c r="H310" s="4" t="n">
        <v>26.6</v>
      </c>
      <c r="I310" s="4" t="n">
        <v>15.29</v>
      </c>
      <c r="J310" s="4" t="n">
        <f aca="false">G310*H310</f>
        <v>798</v>
      </c>
      <c r="K310" s="4" t="n">
        <f aca="false">G310*I310</f>
        <v>458.7</v>
      </c>
      <c r="L310" s="4" t="n">
        <f aca="false">J310-K310</f>
        <v>339.3</v>
      </c>
    </row>
    <row r="311" customFormat="false" ht="15" hidden="false" customHeight="false" outlineLevel="0" collapsed="false">
      <c r="A311" s="0" t="n">
        <v>1523</v>
      </c>
      <c r="B311" s="2" t="n">
        <v>45431</v>
      </c>
      <c r="C311" s="3" t="s">
        <v>26</v>
      </c>
      <c r="D311" s="3" t="s">
        <v>13</v>
      </c>
      <c r="E311" s="3" t="s">
        <v>14</v>
      </c>
      <c r="F311" s="3" t="s">
        <v>28</v>
      </c>
      <c r="G311" s="0" t="n">
        <v>39</v>
      </c>
      <c r="H311" s="4" t="n">
        <v>38.53</v>
      </c>
      <c r="I311" s="4" t="n">
        <v>27.16</v>
      </c>
      <c r="J311" s="4" t="n">
        <f aca="false">G311*H311</f>
        <v>1502.67</v>
      </c>
      <c r="K311" s="4" t="n">
        <f aca="false">G311*I311</f>
        <v>1059.24</v>
      </c>
      <c r="L311" s="4" t="n">
        <f aca="false">J311-K311</f>
        <v>443.43</v>
      </c>
    </row>
    <row r="312" customFormat="false" ht="15" hidden="false" customHeight="false" outlineLevel="0" collapsed="false">
      <c r="A312" s="0" t="n">
        <v>1563</v>
      </c>
      <c r="B312" s="2" t="n">
        <v>45431</v>
      </c>
      <c r="C312" s="3" t="s">
        <v>26</v>
      </c>
      <c r="D312" s="3" t="s">
        <v>20</v>
      </c>
      <c r="E312" s="3" t="s">
        <v>21</v>
      </c>
      <c r="F312" s="3" t="s">
        <v>36</v>
      </c>
      <c r="G312" s="0" t="n">
        <v>11</v>
      </c>
      <c r="H312" s="4" t="n">
        <v>63.9</v>
      </c>
      <c r="I312" s="4" t="n">
        <v>44.64</v>
      </c>
      <c r="J312" s="4" t="n">
        <f aca="false">G312*H312</f>
        <v>702.9</v>
      </c>
      <c r="K312" s="4" t="n">
        <f aca="false">G312*I312</f>
        <v>491.04</v>
      </c>
      <c r="L312" s="4" t="n">
        <f aca="false">J312-K312</f>
        <v>211.86</v>
      </c>
    </row>
    <row r="313" customFormat="false" ht="15" hidden="false" customHeight="false" outlineLevel="0" collapsed="false">
      <c r="A313" s="0" t="n">
        <v>1762</v>
      </c>
      <c r="B313" s="2" t="n">
        <v>45431</v>
      </c>
      <c r="C313" s="3" t="s">
        <v>32</v>
      </c>
      <c r="D313" s="3" t="s">
        <v>20</v>
      </c>
      <c r="E313" s="3" t="s">
        <v>21</v>
      </c>
      <c r="F313" s="3" t="s">
        <v>28</v>
      </c>
      <c r="G313" s="0" t="n">
        <v>5</v>
      </c>
      <c r="H313" s="4" t="n">
        <v>142.56</v>
      </c>
      <c r="I313" s="4" t="n">
        <v>88.06</v>
      </c>
      <c r="J313" s="4" t="n">
        <f aca="false">G313*H313</f>
        <v>712.8</v>
      </c>
      <c r="K313" s="4" t="n">
        <f aca="false">G313*I313</f>
        <v>440.3</v>
      </c>
      <c r="L313" s="4" t="n">
        <f aca="false">J313-K313</f>
        <v>272.5</v>
      </c>
    </row>
    <row r="314" customFormat="false" ht="15" hidden="false" customHeight="false" outlineLevel="0" collapsed="false">
      <c r="A314" s="0" t="n">
        <v>2689</v>
      </c>
      <c r="B314" s="2" t="n">
        <v>45431</v>
      </c>
      <c r="C314" s="3" t="s">
        <v>16</v>
      </c>
      <c r="D314" s="3" t="s">
        <v>17</v>
      </c>
      <c r="E314" s="3" t="s">
        <v>40</v>
      </c>
      <c r="F314" s="3" t="s">
        <v>33</v>
      </c>
      <c r="G314" s="0" t="n">
        <v>30</v>
      </c>
      <c r="H314" s="4" t="n">
        <v>340.63</v>
      </c>
      <c r="I314" s="4" t="n">
        <v>216.56</v>
      </c>
      <c r="J314" s="4" t="n">
        <f aca="false">G314*H314</f>
        <v>10218.9</v>
      </c>
      <c r="K314" s="4" t="n">
        <f aca="false">G314*I314</f>
        <v>6496.8</v>
      </c>
      <c r="L314" s="4" t="n">
        <f aca="false">J314-K314</f>
        <v>3722.1</v>
      </c>
    </row>
    <row r="315" customFormat="false" ht="15" hidden="false" customHeight="false" outlineLevel="0" collapsed="false">
      <c r="A315" s="0" t="n">
        <v>1337</v>
      </c>
      <c r="B315" s="2" t="n">
        <v>45432</v>
      </c>
      <c r="C315" s="3" t="s">
        <v>23</v>
      </c>
      <c r="D315" s="3" t="s">
        <v>17</v>
      </c>
      <c r="E315" s="3" t="s">
        <v>35</v>
      </c>
      <c r="F315" s="3" t="s">
        <v>25</v>
      </c>
      <c r="G315" s="0" t="n">
        <v>19</v>
      </c>
      <c r="H315" s="4" t="n">
        <v>155.77</v>
      </c>
      <c r="I315" s="4" t="n">
        <v>88.13</v>
      </c>
      <c r="J315" s="4" t="n">
        <f aca="false">G315*H315</f>
        <v>2959.63</v>
      </c>
      <c r="K315" s="4" t="n">
        <f aca="false">G315*I315</f>
        <v>1674.47</v>
      </c>
      <c r="L315" s="4" t="n">
        <f aca="false">J315-K315</f>
        <v>1285.16</v>
      </c>
    </row>
    <row r="316" customFormat="false" ht="15" hidden="false" customHeight="false" outlineLevel="0" collapsed="false">
      <c r="A316" s="0" t="n">
        <v>2322</v>
      </c>
      <c r="B316" s="2" t="n">
        <v>45432</v>
      </c>
      <c r="C316" s="3" t="s">
        <v>32</v>
      </c>
      <c r="D316" s="3" t="s">
        <v>13</v>
      </c>
      <c r="E316" s="3" t="s">
        <v>14</v>
      </c>
      <c r="F316" s="3" t="s">
        <v>39</v>
      </c>
      <c r="G316" s="0" t="n">
        <v>13</v>
      </c>
      <c r="H316" s="4" t="n">
        <v>30.26</v>
      </c>
      <c r="I316" s="4" t="n">
        <v>19.31</v>
      </c>
      <c r="J316" s="4" t="n">
        <f aca="false">G316*H316</f>
        <v>393.38</v>
      </c>
      <c r="K316" s="4" t="n">
        <f aca="false">G316*I316</f>
        <v>251.03</v>
      </c>
      <c r="L316" s="4" t="n">
        <f aca="false">J316-K316</f>
        <v>142.35</v>
      </c>
    </row>
    <row r="317" customFormat="false" ht="15" hidden="false" customHeight="false" outlineLevel="0" collapsed="false">
      <c r="A317" s="0" t="n">
        <v>2597</v>
      </c>
      <c r="B317" s="2" t="n">
        <v>45432</v>
      </c>
      <c r="C317" s="3" t="s">
        <v>32</v>
      </c>
      <c r="D317" s="3" t="s">
        <v>20</v>
      </c>
      <c r="E317" s="3" t="s">
        <v>21</v>
      </c>
      <c r="F317" s="3" t="s">
        <v>19</v>
      </c>
      <c r="G317" s="0" t="n">
        <v>34</v>
      </c>
      <c r="H317" s="4" t="n">
        <v>194.51</v>
      </c>
      <c r="I317" s="4" t="n">
        <v>100.34</v>
      </c>
      <c r="J317" s="4" t="n">
        <f aca="false">G317*H317</f>
        <v>6613.34</v>
      </c>
      <c r="K317" s="4" t="n">
        <f aca="false">G317*I317</f>
        <v>3411.56</v>
      </c>
      <c r="L317" s="4" t="n">
        <f aca="false">J317-K317</f>
        <v>3201.78</v>
      </c>
    </row>
    <row r="318" customFormat="false" ht="15" hidden="false" customHeight="false" outlineLevel="0" collapsed="false">
      <c r="A318" s="0" t="n">
        <v>1047</v>
      </c>
      <c r="B318" s="2" t="n">
        <v>45433</v>
      </c>
      <c r="C318" s="3" t="s">
        <v>12</v>
      </c>
      <c r="D318" s="3" t="s">
        <v>13</v>
      </c>
      <c r="E318" s="3" t="s">
        <v>14</v>
      </c>
      <c r="F318" s="3" t="s">
        <v>19</v>
      </c>
      <c r="G318" s="0" t="n">
        <v>14</v>
      </c>
      <c r="H318" s="4" t="n">
        <v>26.23</v>
      </c>
      <c r="I318" s="4" t="n">
        <v>14.47</v>
      </c>
      <c r="J318" s="4" t="n">
        <f aca="false">G318*H318</f>
        <v>367.22</v>
      </c>
      <c r="K318" s="4" t="n">
        <f aca="false">G318*I318</f>
        <v>202.58</v>
      </c>
      <c r="L318" s="4" t="n">
        <f aca="false">J318-K318</f>
        <v>164.64</v>
      </c>
    </row>
    <row r="319" customFormat="false" ht="15" hidden="false" customHeight="false" outlineLevel="0" collapsed="false">
      <c r="A319" s="0" t="n">
        <v>1959</v>
      </c>
      <c r="B319" s="2" t="n">
        <v>45433</v>
      </c>
      <c r="C319" s="3" t="s">
        <v>32</v>
      </c>
      <c r="D319" s="3" t="s">
        <v>29</v>
      </c>
      <c r="E319" s="3" t="s">
        <v>37</v>
      </c>
      <c r="F319" s="3" t="s">
        <v>25</v>
      </c>
      <c r="G319" s="0" t="n">
        <v>18</v>
      </c>
      <c r="H319" s="4" t="n">
        <v>261.46</v>
      </c>
      <c r="I319" s="4" t="n">
        <v>149.74</v>
      </c>
      <c r="J319" s="4" t="n">
        <f aca="false">G319*H319</f>
        <v>4706.28</v>
      </c>
      <c r="K319" s="4" t="n">
        <f aca="false">G319*I319</f>
        <v>2695.32</v>
      </c>
      <c r="L319" s="4" t="n">
        <f aca="false">J319-K319</f>
        <v>2010.96</v>
      </c>
    </row>
    <row r="320" customFormat="false" ht="15" hidden="false" customHeight="false" outlineLevel="0" collapsed="false">
      <c r="A320" s="0" t="n">
        <v>1588</v>
      </c>
      <c r="B320" s="2" t="n">
        <v>45434</v>
      </c>
      <c r="C320" s="3" t="s">
        <v>16</v>
      </c>
      <c r="D320" s="3" t="s">
        <v>17</v>
      </c>
      <c r="E320" s="3" t="s">
        <v>44</v>
      </c>
      <c r="F320" s="3" t="s">
        <v>39</v>
      </c>
      <c r="G320" s="0" t="n">
        <v>20</v>
      </c>
      <c r="H320" s="4" t="n">
        <v>458.68</v>
      </c>
      <c r="I320" s="4" t="n">
        <v>339.43</v>
      </c>
      <c r="J320" s="4" t="n">
        <f aca="false">G320*H320</f>
        <v>9173.6</v>
      </c>
      <c r="K320" s="4" t="n">
        <f aca="false">G320*I320</f>
        <v>6788.6</v>
      </c>
      <c r="L320" s="4" t="n">
        <f aca="false">J320-K320</f>
        <v>2385</v>
      </c>
    </row>
    <row r="321" customFormat="false" ht="15" hidden="false" customHeight="false" outlineLevel="0" collapsed="false">
      <c r="A321" s="0" t="n">
        <v>1598</v>
      </c>
      <c r="B321" s="2" t="n">
        <v>45434</v>
      </c>
      <c r="C321" s="3" t="s">
        <v>23</v>
      </c>
      <c r="D321" s="3" t="s">
        <v>29</v>
      </c>
      <c r="E321" s="3" t="s">
        <v>37</v>
      </c>
      <c r="F321" s="3" t="s">
        <v>15</v>
      </c>
      <c r="G321" s="0" t="n">
        <v>2</v>
      </c>
      <c r="H321" s="4" t="n">
        <v>134.06</v>
      </c>
      <c r="I321" s="4" t="n">
        <v>90.09</v>
      </c>
      <c r="J321" s="4" t="n">
        <f aca="false">G321*H321</f>
        <v>268.12</v>
      </c>
      <c r="K321" s="4" t="n">
        <f aca="false">G321*I321</f>
        <v>180.18</v>
      </c>
      <c r="L321" s="4" t="n">
        <f aca="false">J321-K321</f>
        <v>87.94</v>
      </c>
    </row>
    <row r="322" customFormat="false" ht="15" hidden="false" customHeight="false" outlineLevel="0" collapsed="false">
      <c r="A322" s="0" t="n">
        <v>1795</v>
      </c>
      <c r="B322" s="2" t="n">
        <v>45434</v>
      </c>
      <c r="C322" s="3" t="s">
        <v>26</v>
      </c>
      <c r="D322" s="3" t="s">
        <v>17</v>
      </c>
      <c r="E322" s="3" t="s">
        <v>35</v>
      </c>
      <c r="F322" s="3" t="s">
        <v>15</v>
      </c>
      <c r="G322" s="0" t="n">
        <v>16</v>
      </c>
      <c r="H322" s="4" t="n">
        <v>369.48</v>
      </c>
      <c r="I322" s="4" t="n">
        <v>222.9</v>
      </c>
      <c r="J322" s="4" t="n">
        <f aca="false">G322*H322</f>
        <v>5911.68</v>
      </c>
      <c r="K322" s="4" t="n">
        <f aca="false">G322*I322</f>
        <v>3566.4</v>
      </c>
      <c r="L322" s="4" t="n">
        <f aca="false">J322-K322</f>
        <v>2345.28</v>
      </c>
    </row>
    <row r="323" customFormat="false" ht="15" hidden="false" customHeight="false" outlineLevel="0" collapsed="false">
      <c r="A323" s="0" t="n">
        <v>1217</v>
      </c>
      <c r="B323" s="2" t="n">
        <v>45435</v>
      </c>
      <c r="C323" s="3" t="s">
        <v>26</v>
      </c>
      <c r="D323" s="3" t="s">
        <v>29</v>
      </c>
      <c r="E323" s="3" t="s">
        <v>30</v>
      </c>
      <c r="F323" s="3" t="s">
        <v>25</v>
      </c>
      <c r="G323" s="0" t="n">
        <v>28</v>
      </c>
      <c r="H323" s="4" t="n">
        <v>334.17</v>
      </c>
      <c r="I323" s="4" t="n">
        <v>216.84</v>
      </c>
      <c r="J323" s="4" t="n">
        <f aca="false">G323*H323</f>
        <v>9356.76</v>
      </c>
      <c r="K323" s="4" t="n">
        <f aca="false">G323*I323</f>
        <v>6071.52</v>
      </c>
      <c r="L323" s="4" t="n">
        <f aca="false">J323-K323</f>
        <v>3285.24</v>
      </c>
    </row>
    <row r="324" customFormat="false" ht="15" hidden="false" customHeight="false" outlineLevel="0" collapsed="false">
      <c r="A324" s="0" t="n">
        <v>1630</v>
      </c>
      <c r="B324" s="2" t="n">
        <v>45435</v>
      </c>
      <c r="C324" s="3" t="s">
        <v>12</v>
      </c>
      <c r="D324" s="3" t="s">
        <v>17</v>
      </c>
      <c r="E324" s="3" t="s">
        <v>35</v>
      </c>
      <c r="F324" s="3" t="s">
        <v>25</v>
      </c>
      <c r="G324" s="0" t="n">
        <v>34</v>
      </c>
      <c r="H324" s="4" t="n">
        <v>617.94</v>
      </c>
      <c r="I324" s="4" t="n">
        <v>385.66</v>
      </c>
      <c r="J324" s="4" t="n">
        <f aca="false">G324*H324</f>
        <v>21009.96</v>
      </c>
      <c r="K324" s="4" t="n">
        <f aca="false">G324*I324</f>
        <v>13112.44</v>
      </c>
      <c r="L324" s="4" t="n">
        <f aca="false">J324-K324</f>
        <v>7897.52</v>
      </c>
    </row>
    <row r="325" customFormat="false" ht="15" hidden="false" customHeight="false" outlineLevel="0" collapsed="false">
      <c r="A325" s="0" t="n">
        <v>1964</v>
      </c>
      <c r="B325" s="2" t="n">
        <v>45435</v>
      </c>
      <c r="C325" s="3" t="s">
        <v>16</v>
      </c>
      <c r="D325" s="3" t="s">
        <v>29</v>
      </c>
      <c r="E325" s="3" t="s">
        <v>37</v>
      </c>
      <c r="F325" s="3" t="s">
        <v>33</v>
      </c>
      <c r="G325" s="0" t="n">
        <v>9</v>
      </c>
      <c r="H325" s="4" t="n">
        <v>448.68</v>
      </c>
      <c r="I325" s="4" t="n">
        <v>319.14</v>
      </c>
      <c r="J325" s="4" t="n">
        <f aca="false">G325*H325</f>
        <v>4038.12</v>
      </c>
      <c r="K325" s="4" t="n">
        <f aca="false">G325*I325</f>
        <v>2872.26</v>
      </c>
      <c r="L325" s="4" t="n">
        <f aca="false">J325-K325</f>
        <v>1165.86</v>
      </c>
    </row>
    <row r="326" customFormat="false" ht="15" hidden="false" customHeight="false" outlineLevel="0" collapsed="false">
      <c r="A326" s="0" t="n">
        <v>1975</v>
      </c>
      <c r="B326" s="2" t="n">
        <v>45435</v>
      </c>
      <c r="C326" s="3" t="s">
        <v>32</v>
      </c>
      <c r="D326" s="3" t="s">
        <v>29</v>
      </c>
      <c r="E326" s="3" t="s">
        <v>41</v>
      </c>
      <c r="F326" s="3" t="s">
        <v>25</v>
      </c>
      <c r="G326" s="0" t="n">
        <v>31</v>
      </c>
      <c r="H326" s="4" t="n">
        <v>356.77</v>
      </c>
      <c r="I326" s="4" t="n">
        <v>261.1</v>
      </c>
      <c r="J326" s="4" t="n">
        <f aca="false">G326*H326</f>
        <v>11059.87</v>
      </c>
      <c r="K326" s="4" t="n">
        <f aca="false">G326*I326</f>
        <v>8094.1</v>
      </c>
      <c r="L326" s="4" t="n">
        <f aca="false">J326-K326</f>
        <v>2965.77</v>
      </c>
    </row>
    <row r="327" customFormat="false" ht="15" hidden="false" customHeight="false" outlineLevel="0" collapsed="false">
      <c r="A327" s="0" t="n">
        <v>2384</v>
      </c>
      <c r="B327" s="2" t="n">
        <v>45435</v>
      </c>
      <c r="C327" s="3" t="s">
        <v>12</v>
      </c>
      <c r="D327" s="3" t="s">
        <v>20</v>
      </c>
      <c r="E327" s="3" t="s">
        <v>38</v>
      </c>
      <c r="F327" s="3" t="s">
        <v>39</v>
      </c>
      <c r="G327" s="0" t="n">
        <v>12</v>
      </c>
      <c r="H327" s="4" t="n">
        <v>219.18</v>
      </c>
      <c r="I327" s="4" t="n">
        <v>153.44</v>
      </c>
      <c r="J327" s="4" t="n">
        <f aca="false">G327*H327</f>
        <v>2630.16</v>
      </c>
      <c r="K327" s="4" t="n">
        <f aca="false">G327*I327</f>
        <v>1841.28</v>
      </c>
      <c r="L327" s="4" t="n">
        <f aca="false">J327-K327</f>
        <v>788.88</v>
      </c>
    </row>
    <row r="328" customFormat="false" ht="15" hidden="false" customHeight="false" outlineLevel="0" collapsed="false">
      <c r="A328" s="0" t="n">
        <v>2491</v>
      </c>
      <c r="B328" s="2" t="n">
        <v>45435</v>
      </c>
      <c r="C328" s="3" t="s">
        <v>23</v>
      </c>
      <c r="D328" s="3" t="s">
        <v>20</v>
      </c>
      <c r="E328" s="3" t="s">
        <v>34</v>
      </c>
      <c r="F328" s="3" t="s">
        <v>19</v>
      </c>
      <c r="G328" s="0" t="n">
        <v>23</v>
      </c>
      <c r="H328" s="4" t="n">
        <v>157.79</v>
      </c>
      <c r="I328" s="4" t="n">
        <v>103.57</v>
      </c>
      <c r="J328" s="4" t="n">
        <f aca="false">G328*H328</f>
        <v>3629.17</v>
      </c>
      <c r="K328" s="4" t="n">
        <f aca="false">G328*I328</f>
        <v>2382.11</v>
      </c>
      <c r="L328" s="4" t="n">
        <f aca="false">J328-K328</f>
        <v>1247.06</v>
      </c>
    </row>
    <row r="329" customFormat="false" ht="15" hidden="false" customHeight="false" outlineLevel="0" collapsed="false">
      <c r="A329" s="0" t="n">
        <v>1233</v>
      </c>
      <c r="B329" s="2" t="n">
        <v>45437</v>
      </c>
      <c r="C329" s="3" t="s">
        <v>32</v>
      </c>
      <c r="D329" s="3" t="s">
        <v>29</v>
      </c>
      <c r="E329" s="3" t="s">
        <v>43</v>
      </c>
      <c r="F329" s="3" t="s">
        <v>28</v>
      </c>
      <c r="G329" s="0" t="n">
        <v>14</v>
      </c>
      <c r="H329" s="4" t="n">
        <v>121</v>
      </c>
      <c r="I329" s="4" t="n">
        <v>74.19</v>
      </c>
      <c r="J329" s="4" t="n">
        <f aca="false">G329*H329</f>
        <v>1694</v>
      </c>
      <c r="K329" s="4" t="n">
        <f aca="false">G329*I329</f>
        <v>1038.66</v>
      </c>
      <c r="L329" s="4" t="n">
        <f aca="false">J329-K329</f>
        <v>655.34</v>
      </c>
    </row>
    <row r="330" customFormat="false" ht="15" hidden="false" customHeight="false" outlineLevel="0" collapsed="false">
      <c r="A330" s="0" t="n">
        <v>1708</v>
      </c>
      <c r="B330" s="2" t="n">
        <v>45437</v>
      </c>
      <c r="C330" s="3" t="s">
        <v>32</v>
      </c>
      <c r="D330" s="3" t="s">
        <v>13</v>
      </c>
      <c r="E330" s="3" t="s">
        <v>24</v>
      </c>
      <c r="F330" s="3" t="s">
        <v>36</v>
      </c>
      <c r="G330" s="0" t="n">
        <v>36</v>
      </c>
      <c r="H330" s="4" t="n">
        <v>3.06</v>
      </c>
      <c r="I330" s="4" t="n">
        <v>1.75</v>
      </c>
      <c r="J330" s="4" t="n">
        <f aca="false">G330*H330</f>
        <v>110.16</v>
      </c>
      <c r="K330" s="4" t="n">
        <f aca="false">G330*I330</f>
        <v>63</v>
      </c>
      <c r="L330" s="4" t="n">
        <f aca="false">J330-K330</f>
        <v>47.16</v>
      </c>
    </row>
    <row r="331" customFormat="false" ht="15" hidden="false" customHeight="false" outlineLevel="0" collapsed="false">
      <c r="A331" s="0" t="n">
        <v>2792</v>
      </c>
      <c r="B331" s="2" t="n">
        <v>45437</v>
      </c>
      <c r="C331" s="3" t="s">
        <v>23</v>
      </c>
      <c r="D331" s="3" t="s">
        <v>20</v>
      </c>
      <c r="E331" s="3" t="s">
        <v>38</v>
      </c>
      <c r="F331" s="3" t="s">
        <v>39</v>
      </c>
      <c r="G331" s="0" t="n">
        <v>15</v>
      </c>
      <c r="H331" s="4" t="n">
        <v>260</v>
      </c>
      <c r="I331" s="4" t="n">
        <v>139.73</v>
      </c>
      <c r="J331" s="4" t="n">
        <f aca="false">G331*H331</f>
        <v>3900</v>
      </c>
      <c r="K331" s="4" t="n">
        <f aca="false">G331*I331</f>
        <v>2095.95</v>
      </c>
      <c r="L331" s="4" t="n">
        <f aca="false">J331-K331</f>
        <v>1804.05</v>
      </c>
    </row>
    <row r="332" customFormat="false" ht="15" hidden="false" customHeight="false" outlineLevel="0" collapsed="false">
      <c r="A332" s="0" t="n">
        <v>1393</v>
      </c>
      <c r="B332" s="2" t="n">
        <v>45438</v>
      </c>
      <c r="C332" s="3" t="s">
        <v>16</v>
      </c>
      <c r="D332" s="3" t="s">
        <v>13</v>
      </c>
      <c r="E332" s="3" t="s">
        <v>46</v>
      </c>
      <c r="F332" s="3" t="s">
        <v>15</v>
      </c>
      <c r="G332" s="0" t="n">
        <v>11</v>
      </c>
      <c r="H332" s="4" t="n">
        <v>22.53</v>
      </c>
      <c r="I332" s="4" t="n">
        <v>12.56</v>
      </c>
      <c r="J332" s="4" t="n">
        <f aca="false">G332*H332</f>
        <v>247.83</v>
      </c>
      <c r="K332" s="4" t="n">
        <f aca="false">G332*I332</f>
        <v>138.16</v>
      </c>
      <c r="L332" s="4" t="n">
        <f aca="false">J332-K332</f>
        <v>109.67</v>
      </c>
    </row>
    <row r="333" customFormat="false" ht="15" hidden="false" customHeight="false" outlineLevel="0" collapsed="false">
      <c r="A333" s="0" t="n">
        <v>2009</v>
      </c>
      <c r="B333" s="2" t="n">
        <v>45438</v>
      </c>
      <c r="C333" s="3" t="s">
        <v>26</v>
      </c>
      <c r="D333" s="3" t="s">
        <v>29</v>
      </c>
      <c r="E333" s="3" t="s">
        <v>43</v>
      </c>
      <c r="F333" s="3" t="s">
        <v>33</v>
      </c>
      <c r="G333" s="0" t="n">
        <v>27</v>
      </c>
      <c r="H333" s="4" t="n">
        <v>475.84</v>
      </c>
      <c r="I333" s="4" t="n">
        <v>241.63</v>
      </c>
      <c r="J333" s="4" t="n">
        <f aca="false">G333*H333</f>
        <v>12847.68</v>
      </c>
      <c r="K333" s="4" t="n">
        <f aca="false">G333*I333</f>
        <v>6524.01</v>
      </c>
      <c r="L333" s="4" t="n">
        <f aca="false">J333-K333</f>
        <v>6323.67</v>
      </c>
    </row>
    <row r="334" customFormat="false" ht="15" hidden="false" customHeight="false" outlineLevel="0" collapsed="false">
      <c r="A334" s="0" t="n">
        <v>2472</v>
      </c>
      <c r="B334" s="2" t="n">
        <v>45438</v>
      </c>
      <c r="C334" s="3" t="s">
        <v>16</v>
      </c>
      <c r="D334" s="3" t="s">
        <v>13</v>
      </c>
      <c r="E334" s="3" t="s">
        <v>46</v>
      </c>
      <c r="F334" s="3" t="s">
        <v>15</v>
      </c>
      <c r="G334" s="0" t="n">
        <v>19</v>
      </c>
      <c r="H334" s="4" t="n">
        <v>5.3</v>
      </c>
      <c r="I334" s="4" t="n">
        <v>2.66</v>
      </c>
      <c r="J334" s="4" t="n">
        <f aca="false">G334*H334</f>
        <v>100.7</v>
      </c>
      <c r="K334" s="4" t="n">
        <f aca="false">G334*I334</f>
        <v>50.54</v>
      </c>
      <c r="L334" s="4" t="n">
        <f aca="false">J334-K334</f>
        <v>50.16</v>
      </c>
    </row>
    <row r="335" customFormat="false" ht="15" hidden="false" customHeight="false" outlineLevel="0" collapsed="false">
      <c r="A335" s="0" t="n">
        <v>1170</v>
      </c>
      <c r="B335" s="2" t="n">
        <v>45439</v>
      </c>
      <c r="C335" s="3" t="s">
        <v>12</v>
      </c>
      <c r="D335" s="3" t="s">
        <v>20</v>
      </c>
      <c r="E335" s="3" t="s">
        <v>42</v>
      </c>
      <c r="F335" s="3" t="s">
        <v>22</v>
      </c>
      <c r="G335" s="0" t="n">
        <v>3</v>
      </c>
      <c r="H335" s="4" t="n">
        <v>147.96</v>
      </c>
      <c r="I335" s="4" t="n">
        <v>96.41</v>
      </c>
      <c r="J335" s="4" t="n">
        <f aca="false">G335*H335</f>
        <v>443.88</v>
      </c>
      <c r="K335" s="4" t="n">
        <f aca="false">G335*I335</f>
        <v>289.23</v>
      </c>
      <c r="L335" s="4" t="n">
        <f aca="false">J335-K335</f>
        <v>154.65</v>
      </c>
    </row>
    <row r="336" customFormat="false" ht="15" hidden="false" customHeight="false" outlineLevel="0" collapsed="false">
      <c r="A336" s="0" t="n">
        <v>1312</v>
      </c>
      <c r="B336" s="2" t="n">
        <v>45439</v>
      </c>
      <c r="C336" s="3" t="s">
        <v>16</v>
      </c>
      <c r="D336" s="3" t="s">
        <v>20</v>
      </c>
      <c r="E336" s="3" t="s">
        <v>42</v>
      </c>
      <c r="F336" s="3" t="s">
        <v>36</v>
      </c>
      <c r="G336" s="0" t="n">
        <v>22</v>
      </c>
      <c r="H336" s="4" t="n">
        <v>95.2</v>
      </c>
      <c r="I336" s="4" t="n">
        <v>56.46</v>
      </c>
      <c r="J336" s="4" t="n">
        <f aca="false">G336*H336</f>
        <v>2094.4</v>
      </c>
      <c r="K336" s="4" t="n">
        <f aca="false">G336*I336</f>
        <v>1242.12</v>
      </c>
      <c r="L336" s="4" t="n">
        <f aca="false">J336-K336</f>
        <v>852.28</v>
      </c>
    </row>
    <row r="337" customFormat="false" ht="15" hidden="false" customHeight="false" outlineLevel="0" collapsed="false">
      <c r="A337" s="0" t="n">
        <v>1967</v>
      </c>
      <c r="B337" s="2" t="n">
        <v>45439</v>
      </c>
      <c r="C337" s="3" t="s">
        <v>16</v>
      </c>
      <c r="D337" s="3" t="s">
        <v>20</v>
      </c>
      <c r="E337" s="3" t="s">
        <v>34</v>
      </c>
      <c r="F337" s="3" t="s">
        <v>39</v>
      </c>
      <c r="G337" s="0" t="n">
        <v>10</v>
      </c>
      <c r="H337" s="4" t="n">
        <v>21.81</v>
      </c>
      <c r="I337" s="4" t="n">
        <v>13.55</v>
      </c>
      <c r="J337" s="4" t="n">
        <f aca="false">G337*H337</f>
        <v>218.1</v>
      </c>
      <c r="K337" s="4" t="n">
        <f aca="false">G337*I337</f>
        <v>135.5</v>
      </c>
      <c r="L337" s="4" t="n">
        <f aca="false">J337-K337</f>
        <v>82.6</v>
      </c>
    </row>
    <row r="338" customFormat="false" ht="15" hidden="false" customHeight="false" outlineLevel="0" collapsed="false">
      <c r="A338" s="0" t="n">
        <v>2046</v>
      </c>
      <c r="B338" s="2" t="n">
        <v>45439</v>
      </c>
      <c r="C338" s="3" t="s">
        <v>26</v>
      </c>
      <c r="D338" s="3" t="s">
        <v>17</v>
      </c>
      <c r="E338" s="3" t="s">
        <v>35</v>
      </c>
      <c r="F338" s="3" t="s">
        <v>19</v>
      </c>
      <c r="G338" s="0" t="n">
        <v>14</v>
      </c>
      <c r="H338" s="4" t="n">
        <v>786.46</v>
      </c>
      <c r="I338" s="4" t="n">
        <v>514.44</v>
      </c>
      <c r="J338" s="4" t="n">
        <f aca="false">G338*H338</f>
        <v>11010.44</v>
      </c>
      <c r="K338" s="4" t="n">
        <f aca="false">G338*I338</f>
        <v>7202.16</v>
      </c>
      <c r="L338" s="4" t="n">
        <f aca="false">J338-K338</f>
        <v>3808.28</v>
      </c>
    </row>
    <row r="339" customFormat="false" ht="15" hidden="false" customHeight="false" outlineLevel="0" collapsed="false">
      <c r="A339" s="0" t="n">
        <v>2415</v>
      </c>
      <c r="B339" s="2" t="n">
        <v>45439</v>
      </c>
      <c r="C339" s="3" t="s">
        <v>12</v>
      </c>
      <c r="D339" s="3" t="s">
        <v>17</v>
      </c>
      <c r="E339" s="3" t="s">
        <v>40</v>
      </c>
      <c r="F339" s="3" t="s">
        <v>33</v>
      </c>
      <c r="G339" s="0" t="n">
        <v>27</v>
      </c>
      <c r="H339" s="4" t="n">
        <v>378.13</v>
      </c>
      <c r="I339" s="4" t="n">
        <v>270.15</v>
      </c>
      <c r="J339" s="4" t="n">
        <f aca="false">G339*H339</f>
        <v>10209.51</v>
      </c>
      <c r="K339" s="4" t="n">
        <f aca="false">G339*I339</f>
        <v>7294.05</v>
      </c>
      <c r="L339" s="4" t="n">
        <f aca="false">J339-K339</f>
        <v>2915.46</v>
      </c>
    </row>
    <row r="340" customFormat="false" ht="15" hidden="false" customHeight="false" outlineLevel="0" collapsed="false">
      <c r="A340" s="0" t="n">
        <v>1488</v>
      </c>
      <c r="B340" s="2" t="n">
        <v>45440</v>
      </c>
      <c r="C340" s="3" t="s">
        <v>12</v>
      </c>
      <c r="D340" s="3" t="s">
        <v>17</v>
      </c>
      <c r="E340" s="3" t="s">
        <v>18</v>
      </c>
      <c r="F340" s="3" t="s">
        <v>15</v>
      </c>
      <c r="G340" s="0" t="n">
        <v>20</v>
      </c>
      <c r="H340" s="4" t="n">
        <v>673.34</v>
      </c>
      <c r="I340" s="4" t="n">
        <v>487.93</v>
      </c>
      <c r="J340" s="4" t="n">
        <f aca="false">G340*H340</f>
        <v>13466.8</v>
      </c>
      <c r="K340" s="4" t="n">
        <f aca="false">G340*I340</f>
        <v>9758.6</v>
      </c>
      <c r="L340" s="4" t="n">
        <f aca="false">J340-K340</f>
        <v>3708.2</v>
      </c>
    </row>
    <row r="341" customFormat="false" ht="15" hidden="false" customHeight="false" outlineLevel="0" collapsed="false">
      <c r="A341" s="0" t="n">
        <v>1903</v>
      </c>
      <c r="B341" s="2" t="n">
        <v>45440</v>
      </c>
      <c r="C341" s="3" t="s">
        <v>32</v>
      </c>
      <c r="D341" s="3" t="s">
        <v>29</v>
      </c>
      <c r="E341" s="3" t="s">
        <v>30</v>
      </c>
      <c r="F341" s="3" t="s">
        <v>19</v>
      </c>
      <c r="G341" s="0" t="n">
        <v>30</v>
      </c>
      <c r="H341" s="4" t="n">
        <v>212.89</v>
      </c>
      <c r="I341" s="4" t="n">
        <v>142.31</v>
      </c>
      <c r="J341" s="4" t="n">
        <f aca="false">G341*H341</f>
        <v>6386.7</v>
      </c>
      <c r="K341" s="4" t="n">
        <f aca="false">G341*I341</f>
        <v>4269.3</v>
      </c>
      <c r="L341" s="4" t="n">
        <f aca="false">J341-K341</f>
        <v>2117.4</v>
      </c>
    </row>
    <row r="342" customFormat="false" ht="15" hidden="false" customHeight="false" outlineLevel="0" collapsed="false">
      <c r="A342" s="0" t="n">
        <v>2652</v>
      </c>
      <c r="B342" s="2" t="n">
        <v>45440</v>
      </c>
      <c r="C342" s="3" t="s">
        <v>32</v>
      </c>
      <c r="D342" s="3" t="s">
        <v>17</v>
      </c>
      <c r="E342" s="3" t="s">
        <v>35</v>
      </c>
      <c r="F342" s="3" t="s">
        <v>36</v>
      </c>
      <c r="G342" s="0" t="n">
        <v>9</v>
      </c>
      <c r="H342" s="4" t="n">
        <v>426.02</v>
      </c>
      <c r="I342" s="4" t="n">
        <v>248.61</v>
      </c>
      <c r="J342" s="4" t="n">
        <f aca="false">G342*H342</f>
        <v>3834.18</v>
      </c>
      <c r="K342" s="4" t="n">
        <f aca="false">G342*I342</f>
        <v>2237.49</v>
      </c>
      <c r="L342" s="4" t="n">
        <f aca="false">J342-K342</f>
        <v>1596.69</v>
      </c>
    </row>
    <row r="343" customFormat="false" ht="15" hidden="false" customHeight="false" outlineLevel="0" collapsed="false">
      <c r="A343" s="0" t="n">
        <v>1223</v>
      </c>
      <c r="B343" s="2" t="n">
        <v>45441</v>
      </c>
      <c r="C343" s="3" t="s">
        <v>26</v>
      </c>
      <c r="D343" s="3" t="s">
        <v>13</v>
      </c>
      <c r="E343" s="3" t="s">
        <v>14</v>
      </c>
      <c r="F343" s="3" t="s">
        <v>15</v>
      </c>
      <c r="G343" s="0" t="n">
        <v>27</v>
      </c>
      <c r="H343" s="4" t="n">
        <v>47.61</v>
      </c>
      <c r="I343" s="4" t="n">
        <v>32.39</v>
      </c>
      <c r="J343" s="4" t="n">
        <f aca="false">G343*H343</f>
        <v>1285.47</v>
      </c>
      <c r="K343" s="4" t="n">
        <f aca="false">G343*I343</f>
        <v>874.53</v>
      </c>
      <c r="L343" s="4" t="n">
        <f aca="false">J343-K343</f>
        <v>410.94</v>
      </c>
    </row>
    <row r="344" customFormat="false" ht="15" hidden="false" customHeight="false" outlineLevel="0" collapsed="false">
      <c r="A344" s="0" t="n">
        <v>2274</v>
      </c>
      <c r="B344" s="2" t="n">
        <v>45441</v>
      </c>
      <c r="C344" s="3" t="s">
        <v>32</v>
      </c>
      <c r="D344" s="3" t="s">
        <v>29</v>
      </c>
      <c r="E344" s="3" t="s">
        <v>41</v>
      </c>
      <c r="F344" s="3" t="s">
        <v>33</v>
      </c>
      <c r="G344" s="0" t="n">
        <v>39</v>
      </c>
      <c r="H344" s="4" t="n">
        <v>420.51</v>
      </c>
      <c r="I344" s="4" t="n">
        <v>307.36</v>
      </c>
      <c r="J344" s="4" t="n">
        <f aca="false">G344*H344</f>
        <v>16399.89</v>
      </c>
      <c r="K344" s="4" t="n">
        <f aca="false">G344*I344</f>
        <v>11987.04</v>
      </c>
      <c r="L344" s="4" t="n">
        <f aca="false">J344-K344</f>
        <v>4412.85</v>
      </c>
    </row>
    <row r="345" customFormat="false" ht="15" hidden="false" customHeight="false" outlineLevel="0" collapsed="false">
      <c r="A345" s="0" t="n">
        <v>2327</v>
      </c>
      <c r="B345" s="2" t="n">
        <v>45441</v>
      </c>
      <c r="C345" s="3" t="s">
        <v>26</v>
      </c>
      <c r="D345" s="3" t="s">
        <v>29</v>
      </c>
      <c r="E345" s="3" t="s">
        <v>43</v>
      </c>
      <c r="F345" s="3" t="s">
        <v>36</v>
      </c>
      <c r="G345" s="0" t="n">
        <v>18</v>
      </c>
      <c r="H345" s="4" t="n">
        <v>465.19</v>
      </c>
      <c r="I345" s="4" t="n">
        <v>294.85</v>
      </c>
      <c r="J345" s="4" t="n">
        <f aca="false">G345*H345</f>
        <v>8373.42</v>
      </c>
      <c r="K345" s="4" t="n">
        <f aca="false">G345*I345</f>
        <v>5307.3</v>
      </c>
      <c r="L345" s="4" t="n">
        <f aca="false">J345-K345</f>
        <v>3066.12</v>
      </c>
    </row>
    <row r="346" customFormat="false" ht="15" hidden="false" customHeight="false" outlineLevel="0" collapsed="false">
      <c r="A346" s="0" t="n">
        <v>2416</v>
      </c>
      <c r="B346" s="2" t="n">
        <v>45441</v>
      </c>
      <c r="C346" s="3" t="s">
        <v>12</v>
      </c>
      <c r="D346" s="3" t="s">
        <v>20</v>
      </c>
      <c r="E346" s="3" t="s">
        <v>38</v>
      </c>
      <c r="F346" s="3" t="s">
        <v>39</v>
      </c>
      <c r="G346" s="0" t="n">
        <v>16</v>
      </c>
      <c r="H346" s="4" t="n">
        <v>90.59</v>
      </c>
      <c r="I346" s="4" t="n">
        <v>55.11</v>
      </c>
      <c r="J346" s="4" t="n">
        <f aca="false">G346*H346</f>
        <v>1449.44</v>
      </c>
      <c r="K346" s="4" t="n">
        <f aca="false">G346*I346</f>
        <v>881.76</v>
      </c>
      <c r="L346" s="4" t="n">
        <f aca="false">J346-K346</f>
        <v>567.68</v>
      </c>
    </row>
    <row r="347" customFormat="false" ht="15" hidden="false" customHeight="false" outlineLevel="0" collapsed="false">
      <c r="A347" s="0" t="n">
        <v>1138</v>
      </c>
      <c r="B347" s="2" t="n">
        <v>45442</v>
      </c>
      <c r="C347" s="3" t="s">
        <v>23</v>
      </c>
      <c r="D347" s="3" t="s">
        <v>17</v>
      </c>
      <c r="E347" s="3" t="s">
        <v>44</v>
      </c>
      <c r="F347" s="3" t="s">
        <v>28</v>
      </c>
      <c r="G347" s="0" t="n">
        <v>23</v>
      </c>
      <c r="H347" s="4" t="n">
        <v>841.6</v>
      </c>
      <c r="I347" s="4" t="n">
        <v>502.05</v>
      </c>
      <c r="J347" s="4" t="n">
        <f aca="false">G347*H347</f>
        <v>19356.8</v>
      </c>
      <c r="K347" s="4" t="n">
        <f aca="false">G347*I347</f>
        <v>11547.15</v>
      </c>
      <c r="L347" s="4" t="n">
        <f aca="false">J347-K347</f>
        <v>7809.65</v>
      </c>
    </row>
    <row r="348" customFormat="false" ht="15" hidden="false" customHeight="false" outlineLevel="0" collapsed="false">
      <c r="A348" s="0" t="n">
        <v>1583</v>
      </c>
      <c r="B348" s="2" t="n">
        <v>45442</v>
      </c>
      <c r="C348" s="3" t="s">
        <v>16</v>
      </c>
      <c r="D348" s="3" t="s">
        <v>20</v>
      </c>
      <c r="E348" s="3" t="s">
        <v>38</v>
      </c>
      <c r="F348" s="3" t="s">
        <v>25</v>
      </c>
      <c r="G348" s="0" t="n">
        <v>31</v>
      </c>
      <c r="H348" s="4" t="n">
        <v>106.26</v>
      </c>
      <c r="I348" s="4" t="n">
        <v>63.8</v>
      </c>
      <c r="J348" s="4" t="n">
        <f aca="false">G348*H348</f>
        <v>3294.06</v>
      </c>
      <c r="K348" s="4" t="n">
        <f aca="false">G348*I348</f>
        <v>1977.8</v>
      </c>
      <c r="L348" s="4" t="n">
        <f aca="false">J348-K348</f>
        <v>1316.26</v>
      </c>
    </row>
    <row r="349" customFormat="false" ht="15" hidden="false" customHeight="false" outlineLevel="0" collapsed="false">
      <c r="A349" s="0" t="n">
        <v>1942</v>
      </c>
      <c r="B349" s="2" t="n">
        <v>45442</v>
      </c>
      <c r="C349" s="3" t="s">
        <v>23</v>
      </c>
      <c r="D349" s="3" t="s">
        <v>17</v>
      </c>
      <c r="E349" s="3" t="s">
        <v>27</v>
      </c>
      <c r="F349" s="3" t="s">
        <v>39</v>
      </c>
      <c r="G349" s="0" t="n">
        <v>2</v>
      </c>
      <c r="H349" s="4" t="n">
        <v>811.04</v>
      </c>
      <c r="I349" s="4" t="n">
        <v>497.3</v>
      </c>
      <c r="J349" s="4" t="n">
        <f aca="false">G349*H349</f>
        <v>1622.08</v>
      </c>
      <c r="K349" s="4" t="n">
        <f aca="false">G349*I349</f>
        <v>994.6</v>
      </c>
      <c r="L349" s="4" t="n">
        <f aca="false">J349-K349</f>
        <v>627.48</v>
      </c>
    </row>
    <row r="350" customFormat="false" ht="15" hidden="false" customHeight="false" outlineLevel="0" collapsed="false">
      <c r="A350" s="0" t="n">
        <v>1951</v>
      </c>
      <c r="B350" s="2" t="n">
        <v>45442</v>
      </c>
      <c r="C350" s="3" t="s">
        <v>26</v>
      </c>
      <c r="D350" s="3" t="s">
        <v>17</v>
      </c>
      <c r="E350" s="3" t="s">
        <v>40</v>
      </c>
      <c r="F350" s="3" t="s">
        <v>33</v>
      </c>
      <c r="G350" s="0" t="n">
        <v>29</v>
      </c>
      <c r="H350" s="4" t="n">
        <v>472.16</v>
      </c>
      <c r="I350" s="4" t="n">
        <v>266.01</v>
      </c>
      <c r="J350" s="4" t="n">
        <f aca="false">G350*H350</f>
        <v>13692.64</v>
      </c>
      <c r="K350" s="4" t="n">
        <f aca="false">G350*I350</f>
        <v>7714.29</v>
      </c>
      <c r="L350" s="4" t="n">
        <f aca="false">J350-K350</f>
        <v>5978.35</v>
      </c>
    </row>
    <row r="351" customFormat="false" ht="15" hidden="false" customHeight="false" outlineLevel="0" collapsed="false">
      <c r="A351" s="0" t="n">
        <v>2058</v>
      </c>
      <c r="B351" s="2" t="n">
        <v>45442</v>
      </c>
      <c r="C351" s="3" t="s">
        <v>12</v>
      </c>
      <c r="D351" s="3" t="s">
        <v>13</v>
      </c>
      <c r="E351" s="3" t="s">
        <v>14</v>
      </c>
      <c r="F351" s="3" t="s">
        <v>22</v>
      </c>
      <c r="G351" s="0" t="n">
        <v>21</v>
      </c>
      <c r="H351" s="4" t="n">
        <v>58.28</v>
      </c>
      <c r="I351" s="4" t="n">
        <v>35.34</v>
      </c>
      <c r="J351" s="4" t="n">
        <f aca="false">G351*H351</f>
        <v>1223.88</v>
      </c>
      <c r="K351" s="4" t="n">
        <f aca="false">G351*I351</f>
        <v>742.14</v>
      </c>
      <c r="L351" s="4" t="n">
        <f aca="false">J351-K351</f>
        <v>481.74</v>
      </c>
    </row>
    <row r="352" customFormat="false" ht="15" hidden="false" customHeight="false" outlineLevel="0" collapsed="false">
      <c r="A352" s="0" t="n">
        <v>2788</v>
      </c>
      <c r="B352" s="2" t="n">
        <v>45442</v>
      </c>
      <c r="C352" s="3" t="s">
        <v>12</v>
      </c>
      <c r="D352" s="3" t="s">
        <v>20</v>
      </c>
      <c r="E352" s="3" t="s">
        <v>34</v>
      </c>
      <c r="F352" s="3" t="s">
        <v>39</v>
      </c>
      <c r="G352" s="0" t="n">
        <v>29</v>
      </c>
      <c r="H352" s="4" t="n">
        <v>47.92</v>
      </c>
      <c r="I352" s="4" t="n">
        <v>24.97</v>
      </c>
      <c r="J352" s="4" t="n">
        <f aca="false">G352*H352</f>
        <v>1389.68</v>
      </c>
      <c r="K352" s="4" t="n">
        <f aca="false">G352*I352</f>
        <v>724.13</v>
      </c>
      <c r="L352" s="4" t="n">
        <f aca="false">J352-K352</f>
        <v>665.55</v>
      </c>
    </row>
    <row r="353" customFormat="false" ht="15" hidden="false" customHeight="false" outlineLevel="0" collapsed="false">
      <c r="A353" s="0" t="n">
        <v>1124</v>
      </c>
      <c r="B353" s="2" t="n">
        <v>45443</v>
      </c>
      <c r="C353" s="3" t="s">
        <v>12</v>
      </c>
      <c r="D353" s="3" t="s">
        <v>17</v>
      </c>
      <c r="E353" s="3" t="s">
        <v>44</v>
      </c>
      <c r="F353" s="3" t="s">
        <v>15</v>
      </c>
      <c r="G353" s="0" t="n">
        <v>13</v>
      </c>
      <c r="H353" s="4" t="n">
        <v>205.74</v>
      </c>
      <c r="I353" s="4" t="n">
        <v>151.8</v>
      </c>
      <c r="J353" s="4" t="n">
        <f aca="false">G353*H353</f>
        <v>2674.62</v>
      </c>
      <c r="K353" s="4" t="n">
        <f aca="false">G353*I353</f>
        <v>1973.4</v>
      </c>
      <c r="L353" s="4" t="n">
        <f aca="false">J353-K353</f>
        <v>701.22</v>
      </c>
    </row>
    <row r="354" customFormat="false" ht="15" hidden="false" customHeight="false" outlineLevel="0" collapsed="false">
      <c r="A354" s="0" t="n">
        <v>1174</v>
      </c>
      <c r="B354" s="2" t="n">
        <v>45443</v>
      </c>
      <c r="C354" s="3" t="s">
        <v>12</v>
      </c>
      <c r="D354" s="3" t="s">
        <v>17</v>
      </c>
      <c r="E354" s="3" t="s">
        <v>35</v>
      </c>
      <c r="F354" s="3" t="s">
        <v>25</v>
      </c>
      <c r="G354" s="0" t="n">
        <v>13</v>
      </c>
      <c r="H354" s="4" t="n">
        <v>75.91</v>
      </c>
      <c r="I354" s="4" t="n">
        <v>45.74</v>
      </c>
      <c r="J354" s="4" t="n">
        <f aca="false">G354*H354</f>
        <v>986.83</v>
      </c>
      <c r="K354" s="4" t="n">
        <f aca="false">G354*I354</f>
        <v>594.62</v>
      </c>
      <c r="L354" s="4" t="n">
        <f aca="false">J354-K354</f>
        <v>392.21</v>
      </c>
    </row>
    <row r="355" customFormat="false" ht="15" hidden="false" customHeight="false" outlineLevel="0" collapsed="false">
      <c r="A355" s="0" t="n">
        <v>1467</v>
      </c>
      <c r="B355" s="2" t="n">
        <v>45443</v>
      </c>
      <c r="C355" s="3" t="s">
        <v>32</v>
      </c>
      <c r="D355" s="3" t="s">
        <v>17</v>
      </c>
      <c r="E355" s="3" t="s">
        <v>40</v>
      </c>
      <c r="F355" s="3" t="s">
        <v>25</v>
      </c>
      <c r="G355" s="0" t="n">
        <v>20</v>
      </c>
      <c r="H355" s="4" t="n">
        <v>438.05</v>
      </c>
      <c r="I355" s="4" t="n">
        <v>241.34</v>
      </c>
      <c r="J355" s="4" t="n">
        <f aca="false">G355*H355</f>
        <v>8761</v>
      </c>
      <c r="K355" s="4" t="n">
        <f aca="false">G355*I355</f>
        <v>4826.8</v>
      </c>
      <c r="L355" s="4" t="n">
        <f aca="false">J355-K355</f>
        <v>3934.2</v>
      </c>
    </row>
    <row r="356" customFormat="false" ht="15" hidden="false" customHeight="false" outlineLevel="0" collapsed="false">
      <c r="A356" s="0" t="n">
        <v>2016</v>
      </c>
      <c r="B356" s="2" t="n">
        <v>45443</v>
      </c>
      <c r="C356" s="3" t="s">
        <v>16</v>
      </c>
      <c r="D356" s="3" t="s">
        <v>20</v>
      </c>
      <c r="E356" s="3" t="s">
        <v>34</v>
      </c>
      <c r="F356" s="3" t="s">
        <v>19</v>
      </c>
      <c r="G356" s="0" t="n">
        <v>30</v>
      </c>
      <c r="H356" s="4" t="n">
        <v>175.28</v>
      </c>
      <c r="I356" s="4" t="n">
        <v>128.4</v>
      </c>
      <c r="J356" s="4" t="n">
        <f aca="false">G356*H356</f>
        <v>5258.4</v>
      </c>
      <c r="K356" s="4" t="n">
        <f aca="false">G356*I356</f>
        <v>3852</v>
      </c>
      <c r="L356" s="4" t="n">
        <f aca="false">J356-K356</f>
        <v>1406.4</v>
      </c>
    </row>
    <row r="357" customFormat="false" ht="15" hidden="false" customHeight="false" outlineLevel="0" collapsed="false">
      <c r="A357" s="0" t="n">
        <v>2277</v>
      </c>
      <c r="B357" s="2" t="n">
        <v>45443</v>
      </c>
      <c r="C357" s="3" t="s">
        <v>23</v>
      </c>
      <c r="D357" s="3" t="s">
        <v>20</v>
      </c>
      <c r="E357" s="3" t="s">
        <v>34</v>
      </c>
      <c r="F357" s="3" t="s">
        <v>28</v>
      </c>
      <c r="G357" s="0" t="n">
        <v>21</v>
      </c>
      <c r="H357" s="4" t="n">
        <v>217.76</v>
      </c>
      <c r="I357" s="4" t="n">
        <v>133.56</v>
      </c>
      <c r="J357" s="4" t="n">
        <f aca="false">G357*H357</f>
        <v>4572.96</v>
      </c>
      <c r="K357" s="4" t="n">
        <f aca="false">G357*I357</f>
        <v>2804.76</v>
      </c>
      <c r="L357" s="4" t="n">
        <f aca="false">J357-K357</f>
        <v>1768.2</v>
      </c>
    </row>
    <row r="358" customFormat="false" ht="15" hidden="false" customHeight="false" outlineLevel="0" collapsed="false">
      <c r="A358" s="0" t="n">
        <v>2246</v>
      </c>
      <c r="B358" s="2" t="n">
        <v>45445</v>
      </c>
      <c r="C358" s="3" t="s">
        <v>26</v>
      </c>
      <c r="D358" s="3" t="s">
        <v>13</v>
      </c>
      <c r="E358" s="3" t="s">
        <v>31</v>
      </c>
      <c r="F358" s="3" t="s">
        <v>15</v>
      </c>
      <c r="G358" s="0" t="n">
        <v>6</v>
      </c>
      <c r="H358" s="4" t="n">
        <v>59.06</v>
      </c>
      <c r="I358" s="4" t="n">
        <v>38.25</v>
      </c>
      <c r="J358" s="4" t="n">
        <f aca="false">G358*H358</f>
        <v>354.36</v>
      </c>
      <c r="K358" s="4" t="n">
        <f aca="false">G358*I358</f>
        <v>229.5</v>
      </c>
      <c r="L358" s="4" t="n">
        <f aca="false">J358-K358</f>
        <v>124.86</v>
      </c>
    </row>
    <row r="359" customFormat="false" ht="15" hidden="false" customHeight="false" outlineLevel="0" collapsed="false">
      <c r="A359" s="0" t="n">
        <v>2534</v>
      </c>
      <c r="B359" s="2" t="n">
        <v>45445</v>
      </c>
      <c r="C359" s="3" t="s">
        <v>26</v>
      </c>
      <c r="D359" s="3" t="s">
        <v>13</v>
      </c>
      <c r="E359" s="3" t="s">
        <v>31</v>
      </c>
      <c r="F359" s="3" t="s">
        <v>19</v>
      </c>
      <c r="G359" s="0" t="n">
        <v>24</v>
      </c>
      <c r="H359" s="4" t="n">
        <v>57.13</v>
      </c>
      <c r="I359" s="4" t="n">
        <v>40.18</v>
      </c>
      <c r="J359" s="4" t="n">
        <f aca="false">G359*H359</f>
        <v>1371.12</v>
      </c>
      <c r="K359" s="4" t="n">
        <f aca="false">G359*I359</f>
        <v>964.32</v>
      </c>
      <c r="L359" s="4" t="n">
        <f aca="false">J359-K359</f>
        <v>406.8</v>
      </c>
    </row>
    <row r="360" customFormat="false" ht="15" hidden="false" customHeight="false" outlineLevel="0" collapsed="false">
      <c r="A360" s="0" t="n">
        <v>2160</v>
      </c>
      <c r="B360" s="2" t="n">
        <v>45447</v>
      </c>
      <c r="C360" s="3" t="s">
        <v>12</v>
      </c>
      <c r="D360" s="3" t="s">
        <v>29</v>
      </c>
      <c r="E360" s="3" t="s">
        <v>30</v>
      </c>
      <c r="F360" s="3" t="s">
        <v>19</v>
      </c>
      <c r="G360" s="0" t="n">
        <v>2</v>
      </c>
      <c r="H360" s="4" t="n">
        <v>342.63</v>
      </c>
      <c r="I360" s="4" t="n">
        <v>194.03</v>
      </c>
      <c r="J360" s="4" t="n">
        <f aca="false">G360*H360</f>
        <v>685.26</v>
      </c>
      <c r="K360" s="4" t="n">
        <f aca="false">G360*I360</f>
        <v>388.06</v>
      </c>
      <c r="L360" s="4" t="n">
        <f aca="false">J360-K360</f>
        <v>297.2</v>
      </c>
    </row>
    <row r="361" customFormat="false" ht="15" hidden="false" customHeight="false" outlineLevel="0" collapsed="false">
      <c r="A361" s="0" t="n">
        <v>2800</v>
      </c>
      <c r="B361" s="2" t="n">
        <v>45447</v>
      </c>
      <c r="C361" s="3" t="s">
        <v>16</v>
      </c>
      <c r="D361" s="3" t="s">
        <v>29</v>
      </c>
      <c r="E361" s="3" t="s">
        <v>43</v>
      </c>
      <c r="F361" s="3" t="s">
        <v>36</v>
      </c>
      <c r="G361" s="0" t="n">
        <v>15</v>
      </c>
      <c r="H361" s="4" t="n">
        <v>382.48</v>
      </c>
      <c r="I361" s="4" t="n">
        <v>230.31</v>
      </c>
      <c r="J361" s="4" t="n">
        <f aca="false">G361*H361</f>
        <v>5737.2</v>
      </c>
      <c r="K361" s="4" t="n">
        <f aca="false">G361*I361</f>
        <v>3454.65</v>
      </c>
      <c r="L361" s="4" t="n">
        <f aca="false">J361-K361</f>
        <v>2282.55</v>
      </c>
    </row>
    <row r="362" customFormat="false" ht="15" hidden="false" customHeight="false" outlineLevel="0" collapsed="false">
      <c r="A362" s="0" t="n">
        <v>2232</v>
      </c>
      <c r="B362" s="2" t="n">
        <v>45448</v>
      </c>
      <c r="C362" s="3" t="s">
        <v>23</v>
      </c>
      <c r="D362" s="3" t="s">
        <v>29</v>
      </c>
      <c r="E362" s="3" t="s">
        <v>37</v>
      </c>
      <c r="F362" s="3" t="s">
        <v>19</v>
      </c>
      <c r="G362" s="0" t="n">
        <v>19</v>
      </c>
      <c r="H362" s="4" t="n">
        <v>486.3</v>
      </c>
      <c r="I362" s="4" t="n">
        <v>350.37</v>
      </c>
      <c r="J362" s="4" t="n">
        <f aca="false">G362*H362</f>
        <v>9239.7</v>
      </c>
      <c r="K362" s="4" t="n">
        <f aca="false">G362*I362</f>
        <v>6657.03</v>
      </c>
      <c r="L362" s="4" t="n">
        <f aca="false">J362-K362</f>
        <v>2582.67</v>
      </c>
    </row>
    <row r="363" customFormat="false" ht="15" hidden="false" customHeight="false" outlineLevel="0" collapsed="false">
      <c r="A363" s="0" t="n">
        <v>2595</v>
      </c>
      <c r="B363" s="2" t="n">
        <v>45448</v>
      </c>
      <c r="C363" s="3" t="s">
        <v>16</v>
      </c>
      <c r="D363" s="3" t="s">
        <v>29</v>
      </c>
      <c r="E363" s="3" t="s">
        <v>30</v>
      </c>
      <c r="F363" s="3" t="s">
        <v>36</v>
      </c>
      <c r="G363" s="0" t="n">
        <v>10</v>
      </c>
      <c r="H363" s="4" t="n">
        <v>323.6</v>
      </c>
      <c r="I363" s="4" t="n">
        <v>212.79</v>
      </c>
      <c r="J363" s="4" t="n">
        <f aca="false">G363*H363</f>
        <v>3236</v>
      </c>
      <c r="K363" s="4" t="n">
        <f aca="false">G363*I363</f>
        <v>2127.9</v>
      </c>
      <c r="L363" s="4" t="n">
        <f aca="false">J363-K363</f>
        <v>1108.1</v>
      </c>
    </row>
    <row r="364" customFormat="false" ht="15" hidden="false" customHeight="false" outlineLevel="0" collapsed="false">
      <c r="A364" s="0" t="n">
        <v>1152</v>
      </c>
      <c r="B364" s="2" t="n">
        <v>45449</v>
      </c>
      <c r="C364" s="3" t="s">
        <v>23</v>
      </c>
      <c r="D364" s="3" t="s">
        <v>29</v>
      </c>
      <c r="E364" s="3" t="s">
        <v>43</v>
      </c>
      <c r="F364" s="3" t="s">
        <v>28</v>
      </c>
      <c r="G364" s="0" t="n">
        <v>5</v>
      </c>
      <c r="H364" s="4" t="n">
        <v>247.17</v>
      </c>
      <c r="I364" s="4" t="n">
        <v>139.01</v>
      </c>
      <c r="J364" s="4" t="n">
        <f aca="false">G364*H364</f>
        <v>1235.85</v>
      </c>
      <c r="K364" s="4" t="n">
        <f aca="false">G364*I364</f>
        <v>695.05</v>
      </c>
      <c r="L364" s="4" t="n">
        <f aca="false">J364-K364</f>
        <v>540.8</v>
      </c>
    </row>
    <row r="365" customFormat="false" ht="15" hidden="false" customHeight="false" outlineLevel="0" collapsed="false">
      <c r="A365" s="0" t="n">
        <v>1867</v>
      </c>
      <c r="B365" s="2" t="n">
        <v>45450</v>
      </c>
      <c r="C365" s="3" t="s">
        <v>12</v>
      </c>
      <c r="D365" s="3" t="s">
        <v>17</v>
      </c>
      <c r="E365" s="3" t="s">
        <v>35</v>
      </c>
      <c r="F365" s="3" t="s">
        <v>15</v>
      </c>
      <c r="G365" s="0" t="n">
        <v>35</v>
      </c>
      <c r="H365" s="4" t="n">
        <v>163.38</v>
      </c>
      <c r="I365" s="4" t="n">
        <v>102.58</v>
      </c>
      <c r="J365" s="4" t="n">
        <f aca="false">G365*H365</f>
        <v>5718.3</v>
      </c>
      <c r="K365" s="4" t="n">
        <f aca="false">G365*I365</f>
        <v>3590.3</v>
      </c>
      <c r="L365" s="4" t="n">
        <f aca="false">J365-K365</f>
        <v>2128</v>
      </c>
    </row>
    <row r="366" customFormat="false" ht="15" hidden="false" customHeight="false" outlineLevel="0" collapsed="false">
      <c r="A366" s="0" t="n">
        <v>1676</v>
      </c>
      <c r="B366" s="2" t="n">
        <v>45452</v>
      </c>
      <c r="C366" s="3" t="s">
        <v>16</v>
      </c>
      <c r="D366" s="3" t="s">
        <v>20</v>
      </c>
      <c r="E366" s="3" t="s">
        <v>42</v>
      </c>
      <c r="F366" s="3" t="s">
        <v>36</v>
      </c>
      <c r="G366" s="0" t="n">
        <v>32</v>
      </c>
      <c r="H366" s="4" t="n">
        <v>25.08</v>
      </c>
      <c r="I366" s="4" t="n">
        <v>18.06</v>
      </c>
      <c r="J366" s="4" t="n">
        <f aca="false">G366*H366</f>
        <v>802.56</v>
      </c>
      <c r="K366" s="4" t="n">
        <f aca="false">G366*I366</f>
        <v>577.92</v>
      </c>
      <c r="L366" s="4" t="n">
        <f aca="false">J366-K366</f>
        <v>224.64</v>
      </c>
    </row>
    <row r="367" customFormat="false" ht="15" hidden="false" customHeight="false" outlineLevel="0" collapsed="false">
      <c r="A367" s="0" t="n">
        <v>1680</v>
      </c>
      <c r="B367" s="2" t="n">
        <v>45452</v>
      </c>
      <c r="C367" s="3" t="s">
        <v>32</v>
      </c>
      <c r="D367" s="3" t="s">
        <v>20</v>
      </c>
      <c r="E367" s="3" t="s">
        <v>21</v>
      </c>
      <c r="F367" s="3" t="s">
        <v>25</v>
      </c>
      <c r="G367" s="0" t="n">
        <v>10</v>
      </c>
      <c r="H367" s="4" t="n">
        <v>257.61</v>
      </c>
      <c r="I367" s="4" t="n">
        <v>157.08</v>
      </c>
      <c r="J367" s="4" t="n">
        <f aca="false">G367*H367</f>
        <v>2576.1</v>
      </c>
      <c r="K367" s="4" t="n">
        <f aca="false">G367*I367</f>
        <v>1570.8</v>
      </c>
      <c r="L367" s="4" t="n">
        <f aca="false">J367-K367</f>
        <v>1005.3</v>
      </c>
    </row>
    <row r="368" customFormat="false" ht="15" hidden="false" customHeight="false" outlineLevel="0" collapsed="false">
      <c r="A368" s="0" t="n">
        <v>1742</v>
      </c>
      <c r="B368" s="2" t="n">
        <v>45452</v>
      </c>
      <c r="C368" s="3" t="s">
        <v>32</v>
      </c>
      <c r="D368" s="3" t="s">
        <v>29</v>
      </c>
      <c r="E368" s="3" t="s">
        <v>30</v>
      </c>
      <c r="F368" s="3" t="s">
        <v>19</v>
      </c>
      <c r="G368" s="0" t="n">
        <v>6</v>
      </c>
      <c r="H368" s="4" t="n">
        <v>176.67</v>
      </c>
      <c r="I368" s="4" t="n">
        <v>110.96</v>
      </c>
      <c r="J368" s="4" t="n">
        <f aca="false">G368*H368</f>
        <v>1060.02</v>
      </c>
      <c r="K368" s="4" t="n">
        <f aca="false">G368*I368</f>
        <v>665.76</v>
      </c>
      <c r="L368" s="4" t="n">
        <f aca="false">J368-K368</f>
        <v>394.26</v>
      </c>
    </row>
    <row r="369" customFormat="false" ht="15" hidden="false" customHeight="false" outlineLevel="0" collapsed="false">
      <c r="A369" s="0" t="n">
        <v>2136</v>
      </c>
      <c r="B369" s="2" t="n">
        <v>45452</v>
      </c>
      <c r="C369" s="3" t="s">
        <v>32</v>
      </c>
      <c r="D369" s="3" t="s">
        <v>20</v>
      </c>
      <c r="E369" s="3" t="s">
        <v>21</v>
      </c>
      <c r="F369" s="3" t="s">
        <v>15</v>
      </c>
      <c r="G369" s="0" t="n">
        <v>15</v>
      </c>
      <c r="H369" s="4" t="n">
        <v>105.01</v>
      </c>
      <c r="I369" s="4" t="n">
        <v>56.31</v>
      </c>
      <c r="J369" s="4" t="n">
        <f aca="false">G369*H369</f>
        <v>1575.15</v>
      </c>
      <c r="K369" s="4" t="n">
        <f aca="false">G369*I369</f>
        <v>844.65</v>
      </c>
      <c r="L369" s="4" t="n">
        <f aca="false">J369-K369</f>
        <v>730.5</v>
      </c>
    </row>
    <row r="370" customFormat="false" ht="15" hidden="false" customHeight="false" outlineLevel="0" collapsed="false">
      <c r="A370" s="0" t="n">
        <v>1028</v>
      </c>
      <c r="B370" s="2" t="n">
        <v>45453</v>
      </c>
      <c r="C370" s="3" t="s">
        <v>23</v>
      </c>
      <c r="D370" s="3" t="s">
        <v>29</v>
      </c>
      <c r="E370" s="3" t="s">
        <v>30</v>
      </c>
      <c r="F370" s="3" t="s">
        <v>15</v>
      </c>
      <c r="G370" s="0" t="n">
        <v>7</v>
      </c>
      <c r="H370" s="4" t="n">
        <v>128.48</v>
      </c>
      <c r="I370" s="4" t="n">
        <v>82.01</v>
      </c>
      <c r="J370" s="4" t="n">
        <f aca="false">G370*H370</f>
        <v>899.36</v>
      </c>
      <c r="K370" s="4" t="n">
        <f aca="false">G370*I370</f>
        <v>574.07</v>
      </c>
      <c r="L370" s="4" t="n">
        <f aca="false">J370-K370</f>
        <v>325.29</v>
      </c>
    </row>
    <row r="371" customFormat="false" ht="15" hidden="false" customHeight="false" outlineLevel="0" collapsed="false">
      <c r="A371" s="0" t="n">
        <v>1977</v>
      </c>
      <c r="B371" s="2" t="n">
        <v>45454</v>
      </c>
      <c r="C371" s="3" t="s">
        <v>12</v>
      </c>
      <c r="D371" s="3" t="s">
        <v>17</v>
      </c>
      <c r="E371" s="3" t="s">
        <v>27</v>
      </c>
      <c r="F371" s="3" t="s">
        <v>28</v>
      </c>
      <c r="G371" s="0" t="n">
        <v>31</v>
      </c>
      <c r="H371" s="4" t="n">
        <v>331.87</v>
      </c>
      <c r="I371" s="4" t="n">
        <v>231.94</v>
      </c>
      <c r="J371" s="4" t="n">
        <f aca="false">G371*H371</f>
        <v>10287.97</v>
      </c>
      <c r="K371" s="4" t="n">
        <f aca="false">G371*I371</f>
        <v>7190.14</v>
      </c>
      <c r="L371" s="4" t="n">
        <f aca="false">J371-K371</f>
        <v>3097.83</v>
      </c>
    </row>
    <row r="372" customFormat="false" ht="15" hidden="false" customHeight="false" outlineLevel="0" collapsed="false">
      <c r="A372" s="0" t="n">
        <v>2120</v>
      </c>
      <c r="B372" s="2" t="n">
        <v>45454</v>
      </c>
      <c r="C372" s="3" t="s">
        <v>16</v>
      </c>
      <c r="D372" s="3" t="s">
        <v>29</v>
      </c>
      <c r="E372" s="3" t="s">
        <v>41</v>
      </c>
      <c r="F372" s="3" t="s">
        <v>28</v>
      </c>
      <c r="G372" s="0" t="n">
        <v>19</v>
      </c>
      <c r="H372" s="4" t="n">
        <v>133.99</v>
      </c>
      <c r="I372" s="4" t="n">
        <v>95.77</v>
      </c>
      <c r="J372" s="4" t="n">
        <f aca="false">G372*H372</f>
        <v>2545.81</v>
      </c>
      <c r="K372" s="4" t="n">
        <f aca="false">G372*I372</f>
        <v>1819.63</v>
      </c>
      <c r="L372" s="4" t="n">
        <f aca="false">J372-K372</f>
        <v>726.180000000001</v>
      </c>
    </row>
    <row r="373" customFormat="false" ht="15" hidden="false" customHeight="false" outlineLevel="0" collapsed="false">
      <c r="A373" s="0" t="n">
        <v>2417</v>
      </c>
      <c r="B373" s="2" t="n">
        <v>45454</v>
      </c>
      <c r="C373" s="3" t="s">
        <v>26</v>
      </c>
      <c r="D373" s="3" t="s">
        <v>17</v>
      </c>
      <c r="E373" s="3" t="s">
        <v>18</v>
      </c>
      <c r="F373" s="3" t="s">
        <v>15</v>
      </c>
      <c r="G373" s="0" t="n">
        <v>14</v>
      </c>
      <c r="H373" s="4" t="n">
        <v>407.26</v>
      </c>
      <c r="I373" s="4" t="n">
        <v>247.02</v>
      </c>
      <c r="J373" s="4" t="n">
        <f aca="false">G373*H373</f>
        <v>5701.64</v>
      </c>
      <c r="K373" s="4" t="n">
        <f aca="false">G373*I373</f>
        <v>3458.28</v>
      </c>
      <c r="L373" s="4" t="n">
        <f aca="false">J373-K373</f>
        <v>2243.36</v>
      </c>
    </row>
    <row r="374" customFormat="false" ht="15" hidden="false" customHeight="false" outlineLevel="0" collapsed="false">
      <c r="A374" s="0" t="n">
        <v>1034</v>
      </c>
      <c r="B374" s="2" t="n">
        <v>45455</v>
      </c>
      <c r="C374" s="3" t="s">
        <v>26</v>
      </c>
      <c r="D374" s="3" t="s">
        <v>20</v>
      </c>
      <c r="E374" s="3" t="s">
        <v>42</v>
      </c>
      <c r="F374" s="3" t="s">
        <v>28</v>
      </c>
      <c r="G374" s="0" t="n">
        <v>15</v>
      </c>
      <c r="H374" s="4" t="n">
        <v>249.75</v>
      </c>
      <c r="I374" s="4" t="n">
        <v>179.28</v>
      </c>
      <c r="J374" s="4" t="n">
        <f aca="false">G374*H374</f>
        <v>3746.25</v>
      </c>
      <c r="K374" s="4" t="n">
        <f aca="false">G374*I374</f>
        <v>2689.2</v>
      </c>
      <c r="L374" s="4" t="n">
        <f aca="false">J374-K374</f>
        <v>1057.05</v>
      </c>
    </row>
    <row r="375" customFormat="false" ht="15" hidden="false" customHeight="false" outlineLevel="0" collapsed="false">
      <c r="A375" s="0" t="n">
        <v>1288</v>
      </c>
      <c r="B375" s="2" t="n">
        <v>45455</v>
      </c>
      <c r="C375" s="3" t="s">
        <v>26</v>
      </c>
      <c r="D375" s="3" t="s">
        <v>13</v>
      </c>
      <c r="E375" s="3" t="s">
        <v>24</v>
      </c>
      <c r="F375" s="3" t="s">
        <v>15</v>
      </c>
      <c r="G375" s="0" t="n">
        <v>35</v>
      </c>
      <c r="H375" s="4" t="n">
        <v>55.28</v>
      </c>
      <c r="I375" s="4" t="n">
        <v>30.67</v>
      </c>
      <c r="J375" s="4" t="n">
        <f aca="false">G375*H375</f>
        <v>1934.8</v>
      </c>
      <c r="K375" s="4" t="n">
        <f aca="false">G375*I375</f>
        <v>1073.45</v>
      </c>
      <c r="L375" s="4" t="n">
        <f aca="false">J375-K375</f>
        <v>861.35</v>
      </c>
    </row>
    <row r="376" customFormat="false" ht="15" hidden="false" customHeight="false" outlineLevel="0" collapsed="false">
      <c r="A376" s="0" t="n">
        <v>1628</v>
      </c>
      <c r="B376" s="2" t="n">
        <v>45455</v>
      </c>
      <c r="C376" s="3" t="s">
        <v>32</v>
      </c>
      <c r="D376" s="3" t="s">
        <v>13</v>
      </c>
      <c r="E376" s="3" t="s">
        <v>45</v>
      </c>
      <c r="F376" s="3" t="s">
        <v>15</v>
      </c>
      <c r="G376" s="0" t="n">
        <v>18</v>
      </c>
      <c r="H376" s="4" t="n">
        <v>13.03</v>
      </c>
      <c r="I376" s="4" t="n">
        <v>8.1</v>
      </c>
      <c r="J376" s="4" t="n">
        <f aca="false">G376*H376</f>
        <v>234.54</v>
      </c>
      <c r="K376" s="4" t="n">
        <f aca="false">G376*I376</f>
        <v>145.8</v>
      </c>
      <c r="L376" s="4" t="n">
        <f aca="false">J376-K376</f>
        <v>88.74</v>
      </c>
    </row>
    <row r="377" customFormat="false" ht="15" hidden="false" customHeight="false" outlineLevel="0" collapsed="false">
      <c r="A377" s="0" t="n">
        <v>1856</v>
      </c>
      <c r="B377" s="2" t="n">
        <v>45455</v>
      </c>
      <c r="C377" s="3" t="s">
        <v>16</v>
      </c>
      <c r="D377" s="3" t="s">
        <v>13</v>
      </c>
      <c r="E377" s="3" t="s">
        <v>46</v>
      </c>
      <c r="F377" s="3" t="s">
        <v>22</v>
      </c>
      <c r="G377" s="0" t="n">
        <v>33</v>
      </c>
      <c r="H377" s="4" t="n">
        <v>43.34</v>
      </c>
      <c r="I377" s="4" t="n">
        <v>24.06</v>
      </c>
      <c r="J377" s="4" t="n">
        <f aca="false">G377*H377</f>
        <v>1430.22</v>
      </c>
      <c r="K377" s="4" t="n">
        <f aca="false">G377*I377</f>
        <v>793.98</v>
      </c>
      <c r="L377" s="4" t="n">
        <f aca="false">J377-K377</f>
        <v>636.24</v>
      </c>
    </row>
    <row r="378" customFormat="false" ht="15" hidden="false" customHeight="false" outlineLevel="0" collapsed="false">
      <c r="A378" s="0" t="n">
        <v>2293</v>
      </c>
      <c r="B378" s="2" t="n">
        <v>45455</v>
      </c>
      <c r="C378" s="3" t="s">
        <v>26</v>
      </c>
      <c r="D378" s="3" t="s">
        <v>17</v>
      </c>
      <c r="E378" s="3" t="s">
        <v>40</v>
      </c>
      <c r="F378" s="3" t="s">
        <v>39</v>
      </c>
      <c r="G378" s="0" t="n">
        <v>13</v>
      </c>
      <c r="H378" s="4" t="n">
        <v>875.59</v>
      </c>
      <c r="I378" s="4" t="n">
        <v>580.87</v>
      </c>
      <c r="J378" s="4" t="n">
        <f aca="false">G378*H378</f>
        <v>11382.67</v>
      </c>
      <c r="K378" s="4" t="n">
        <f aca="false">G378*I378</f>
        <v>7551.31</v>
      </c>
      <c r="L378" s="4" t="n">
        <f aca="false">J378-K378</f>
        <v>3831.36</v>
      </c>
    </row>
    <row r="379" customFormat="false" ht="15" hidden="false" customHeight="false" outlineLevel="0" collapsed="false">
      <c r="A379" s="0" t="n">
        <v>2778</v>
      </c>
      <c r="B379" s="2" t="n">
        <v>45455</v>
      </c>
      <c r="C379" s="3" t="s">
        <v>12</v>
      </c>
      <c r="D379" s="3" t="s">
        <v>13</v>
      </c>
      <c r="E379" s="3" t="s">
        <v>24</v>
      </c>
      <c r="F379" s="3" t="s">
        <v>19</v>
      </c>
      <c r="G379" s="0" t="n">
        <v>40</v>
      </c>
      <c r="H379" s="4" t="n">
        <v>3.53</v>
      </c>
      <c r="I379" s="4" t="n">
        <v>2.27</v>
      </c>
      <c r="J379" s="4" t="n">
        <f aca="false">G379*H379</f>
        <v>141.2</v>
      </c>
      <c r="K379" s="4" t="n">
        <f aca="false">G379*I379</f>
        <v>90.8</v>
      </c>
      <c r="L379" s="4" t="n">
        <f aca="false">J379-K379</f>
        <v>50.4</v>
      </c>
    </row>
    <row r="380" customFormat="false" ht="15" hidden="false" customHeight="false" outlineLevel="0" collapsed="false">
      <c r="A380" s="0" t="n">
        <v>2798</v>
      </c>
      <c r="B380" s="2" t="n">
        <v>45455</v>
      </c>
      <c r="C380" s="3" t="s">
        <v>32</v>
      </c>
      <c r="D380" s="3" t="s">
        <v>13</v>
      </c>
      <c r="E380" s="3" t="s">
        <v>45</v>
      </c>
      <c r="F380" s="3" t="s">
        <v>36</v>
      </c>
      <c r="G380" s="0" t="n">
        <v>6</v>
      </c>
      <c r="H380" s="4" t="n">
        <v>22.91</v>
      </c>
      <c r="I380" s="4" t="n">
        <v>12.22</v>
      </c>
      <c r="J380" s="4" t="n">
        <f aca="false">G380*H380</f>
        <v>137.46</v>
      </c>
      <c r="K380" s="4" t="n">
        <f aca="false">G380*I380</f>
        <v>73.32</v>
      </c>
      <c r="L380" s="4" t="n">
        <f aca="false">J380-K380</f>
        <v>64.14</v>
      </c>
    </row>
    <row r="381" customFormat="false" ht="15" hidden="false" customHeight="false" outlineLevel="0" collapsed="false">
      <c r="A381" s="0" t="n">
        <v>2189</v>
      </c>
      <c r="B381" s="2" t="n">
        <v>45456</v>
      </c>
      <c r="C381" s="3" t="s">
        <v>12</v>
      </c>
      <c r="D381" s="3" t="s">
        <v>29</v>
      </c>
      <c r="E381" s="3" t="s">
        <v>41</v>
      </c>
      <c r="F381" s="3" t="s">
        <v>33</v>
      </c>
      <c r="G381" s="0" t="n">
        <v>12</v>
      </c>
      <c r="H381" s="4" t="n">
        <v>220.18</v>
      </c>
      <c r="I381" s="4" t="n">
        <v>150.82</v>
      </c>
      <c r="J381" s="4" t="n">
        <f aca="false">G381*H381</f>
        <v>2642.16</v>
      </c>
      <c r="K381" s="4" t="n">
        <f aca="false">G381*I381</f>
        <v>1809.84</v>
      </c>
      <c r="L381" s="4" t="n">
        <f aca="false">J381-K381</f>
        <v>832.32</v>
      </c>
    </row>
    <row r="382" customFormat="false" ht="15" hidden="false" customHeight="false" outlineLevel="0" collapsed="false">
      <c r="A382" s="0" t="n">
        <v>2340</v>
      </c>
      <c r="B382" s="2" t="n">
        <v>45456</v>
      </c>
      <c r="C382" s="3" t="s">
        <v>26</v>
      </c>
      <c r="D382" s="3" t="s">
        <v>29</v>
      </c>
      <c r="E382" s="3" t="s">
        <v>41</v>
      </c>
      <c r="F382" s="3" t="s">
        <v>25</v>
      </c>
      <c r="G382" s="0" t="n">
        <v>7</v>
      </c>
      <c r="H382" s="4" t="n">
        <v>181.65</v>
      </c>
      <c r="I382" s="4" t="n">
        <v>131.33</v>
      </c>
      <c r="J382" s="4" t="n">
        <f aca="false">G382*H382</f>
        <v>1271.55</v>
      </c>
      <c r="K382" s="4" t="n">
        <f aca="false">G382*I382</f>
        <v>919.31</v>
      </c>
      <c r="L382" s="4" t="n">
        <f aca="false">J382-K382</f>
        <v>352.24</v>
      </c>
    </row>
    <row r="383" customFormat="false" ht="15" hidden="false" customHeight="false" outlineLevel="0" collapsed="false">
      <c r="A383" s="0" t="n">
        <v>1568</v>
      </c>
      <c r="B383" s="2" t="n">
        <v>45457</v>
      </c>
      <c r="C383" s="3" t="s">
        <v>23</v>
      </c>
      <c r="D383" s="3" t="s">
        <v>17</v>
      </c>
      <c r="E383" s="3" t="s">
        <v>18</v>
      </c>
      <c r="F383" s="3" t="s">
        <v>28</v>
      </c>
      <c r="G383" s="0" t="n">
        <v>9</v>
      </c>
      <c r="H383" s="4" t="n">
        <v>794.33</v>
      </c>
      <c r="I383" s="4" t="n">
        <v>489.37</v>
      </c>
      <c r="J383" s="4" t="n">
        <f aca="false">G383*H383</f>
        <v>7148.97</v>
      </c>
      <c r="K383" s="4" t="n">
        <f aca="false">G383*I383</f>
        <v>4404.33</v>
      </c>
      <c r="L383" s="4" t="n">
        <f aca="false">J383-K383</f>
        <v>2744.64</v>
      </c>
    </row>
    <row r="384" customFormat="false" ht="15" hidden="false" customHeight="false" outlineLevel="0" collapsed="false">
      <c r="A384" s="0" t="n">
        <v>2705</v>
      </c>
      <c r="B384" s="2" t="n">
        <v>45457</v>
      </c>
      <c r="C384" s="3" t="s">
        <v>16</v>
      </c>
      <c r="D384" s="3" t="s">
        <v>17</v>
      </c>
      <c r="E384" s="3" t="s">
        <v>18</v>
      </c>
      <c r="F384" s="3" t="s">
        <v>25</v>
      </c>
      <c r="G384" s="0" t="n">
        <v>31</v>
      </c>
      <c r="H384" s="4" t="n">
        <v>310.77</v>
      </c>
      <c r="I384" s="4" t="n">
        <v>200.61</v>
      </c>
      <c r="J384" s="4" t="n">
        <f aca="false">G384*H384</f>
        <v>9633.87</v>
      </c>
      <c r="K384" s="4" t="n">
        <f aca="false">G384*I384</f>
        <v>6218.91</v>
      </c>
      <c r="L384" s="4" t="n">
        <f aca="false">J384-K384</f>
        <v>3414.96</v>
      </c>
    </row>
    <row r="385" customFormat="false" ht="15" hidden="false" customHeight="false" outlineLevel="0" collapsed="false">
      <c r="A385" s="0" t="n">
        <v>2741</v>
      </c>
      <c r="B385" s="2" t="n">
        <v>45457</v>
      </c>
      <c r="C385" s="3" t="s">
        <v>16</v>
      </c>
      <c r="D385" s="3" t="s">
        <v>17</v>
      </c>
      <c r="E385" s="3" t="s">
        <v>27</v>
      </c>
      <c r="F385" s="3" t="s">
        <v>15</v>
      </c>
      <c r="G385" s="0" t="n">
        <v>17</v>
      </c>
      <c r="H385" s="4" t="n">
        <v>897.6</v>
      </c>
      <c r="I385" s="4" t="n">
        <v>575.83</v>
      </c>
      <c r="J385" s="4" t="n">
        <f aca="false">G385*H385</f>
        <v>15259.2</v>
      </c>
      <c r="K385" s="4" t="n">
        <f aca="false">G385*I385</f>
        <v>9789.11</v>
      </c>
      <c r="L385" s="4" t="n">
        <f aca="false">J385-K385</f>
        <v>5470.09</v>
      </c>
    </row>
    <row r="386" customFormat="false" ht="15" hidden="false" customHeight="false" outlineLevel="0" collapsed="false">
      <c r="A386" s="0" t="n">
        <v>1033</v>
      </c>
      <c r="B386" s="2" t="n">
        <v>45458</v>
      </c>
      <c r="C386" s="3" t="s">
        <v>12</v>
      </c>
      <c r="D386" s="3" t="s">
        <v>20</v>
      </c>
      <c r="E386" s="3" t="s">
        <v>42</v>
      </c>
      <c r="F386" s="3" t="s">
        <v>19</v>
      </c>
      <c r="G386" s="0" t="n">
        <v>22</v>
      </c>
      <c r="H386" s="4" t="n">
        <v>225.82</v>
      </c>
      <c r="I386" s="4" t="n">
        <v>126.92</v>
      </c>
      <c r="J386" s="4" t="n">
        <f aca="false">G386*H386</f>
        <v>4968.04</v>
      </c>
      <c r="K386" s="4" t="n">
        <f aca="false">G386*I386</f>
        <v>2792.24</v>
      </c>
      <c r="L386" s="4" t="n">
        <f aca="false">J386-K386</f>
        <v>2175.8</v>
      </c>
    </row>
    <row r="387" customFormat="false" ht="15" hidden="false" customHeight="false" outlineLevel="0" collapsed="false">
      <c r="A387" s="0" t="n">
        <v>2278</v>
      </c>
      <c r="B387" s="2" t="n">
        <v>45458</v>
      </c>
      <c r="C387" s="3" t="s">
        <v>16</v>
      </c>
      <c r="D387" s="3" t="s">
        <v>13</v>
      </c>
      <c r="E387" s="3" t="s">
        <v>31</v>
      </c>
      <c r="F387" s="3" t="s">
        <v>22</v>
      </c>
      <c r="G387" s="0" t="n">
        <v>8</v>
      </c>
      <c r="H387" s="4" t="n">
        <v>21.61</v>
      </c>
      <c r="I387" s="4" t="n">
        <v>15.3</v>
      </c>
      <c r="J387" s="4" t="n">
        <f aca="false">G387*H387</f>
        <v>172.88</v>
      </c>
      <c r="K387" s="4" t="n">
        <f aca="false">G387*I387</f>
        <v>122.4</v>
      </c>
      <c r="L387" s="4" t="n">
        <f aca="false">J387-K387</f>
        <v>50.48</v>
      </c>
    </row>
    <row r="388" customFormat="false" ht="15" hidden="false" customHeight="false" outlineLevel="0" collapsed="false">
      <c r="A388" s="0" t="n">
        <v>2527</v>
      </c>
      <c r="B388" s="2" t="n">
        <v>45458</v>
      </c>
      <c r="C388" s="3" t="s">
        <v>12</v>
      </c>
      <c r="D388" s="3" t="s">
        <v>29</v>
      </c>
      <c r="E388" s="3" t="s">
        <v>41</v>
      </c>
      <c r="F388" s="3" t="s">
        <v>36</v>
      </c>
      <c r="G388" s="0" t="n">
        <v>4</v>
      </c>
      <c r="H388" s="4" t="n">
        <v>325.1</v>
      </c>
      <c r="I388" s="4" t="n">
        <v>223.85</v>
      </c>
      <c r="J388" s="4" t="n">
        <f aca="false">G388*H388</f>
        <v>1300.4</v>
      </c>
      <c r="K388" s="4" t="n">
        <f aca="false">G388*I388</f>
        <v>895.4</v>
      </c>
      <c r="L388" s="4" t="n">
        <f aca="false">J388-K388</f>
        <v>405</v>
      </c>
    </row>
    <row r="389" customFormat="false" ht="15" hidden="false" customHeight="false" outlineLevel="0" collapsed="false">
      <c r="A389" s="0" t="n">
        <v>2707</v>
      </c>
      <c r="B389" s="2" t="n">
        <v>45458</v>
      </c>
      <c r="C389" s="3" t="s">
        <v>12</v>
      </c>
      <c r="D389" s="3" t="s">
        <v>17</v>
      </c>
      <c r="E389" s="3" t="s">
        <v>44</v>
      </c>
      <c r="F389" s="3" t="s">
        <v>25</v>
      </c>
      <c r="G389" s="0" t="n">
        <v>27</v>
      </c>
      <c r="H389" s="4" t="n">
        <v>468.95</v>
      </c>
      <c r="I389" s="4" t="n">
        <v>277.69</v>
      </c>
      <c r="J389" s="4" t="n">
        <f aca="false">G389*H389</f>
        <v>12661.65</v>
      </c>
      <c r="K389" s="4" t="n">
        <f aca="false">G389*I389</f>
        <v>7497.63</v>
      </c>
      <c r="L389" s="4" t="n">
        <f aca="false">J389-K389</f>
        <v>5164.02</v>
      </c>
    </row>
    <row r="390" customFormat="false" ht="15" hidden="false" customHeight="false" outlineLevel="0" collapsed="false">
      <c r="A390" s="0" t="n">
        <v>1318</v>
      </c>
      <c r="B390" s="2" t="n">
        <v>45459</v>
      </c>
      <c r="C390" s="3" t="s">
        <v>32</v>
      </c>
      <c r="D390" s="3" t="s">
        <v>17</v>
      </c>
      <c r="E390" s="3" t="s">
        <v>40</v>
      </c>
      <c r="F390" s="3" t="s">
        <v>22</v>
      </c>
      <c r="G390" s="0" t="n">
        <v>25</v>
      </c>
      <c r="H390" s="4" t="n">
        <v>101.71</v>
      </c>
      <c r="I390" s="4" t="n">
        <v>56.48</v>
      </c>
      <c r="J390" s="4" t="n">
        <f aca="false">G390*H390</f>
        <v>2542.75</v>
      </c>
      <c r="K390" s="4" t="n">
        <f aca="false">G390*I390</f>
        <v>1412</v>
      </c>
      <c r="L390" s="4" t="n">
        <f aca="false">J390-K390</f>
        <v>1130.75</v>
      </c>
    </row>
    <row r="391" customFormat="false" ht="15" hidden="false" customHeight="false" outlineLevel="0" collapsed="false">
      <c r="A391" s="0" t="n">
        <v>2495</v>
      </c>
      <c r="B391" s="2" t="n">
        <v>45459</v>
      </c>
      <c r="C391" s="3" t="s">
        <v>26</v>
      </c>
      <c r="D391" s="3" t="s">
        <v>20</v>
      </c>
      <c r="E391" s="3" t="s">
        <v>42</v>
      </c>
      <c r="F391" s="3" t="s">
        <v>39</v>
      </c>
      <c r="G391" s="0" t="n">
        <v>28</v>
      </c>
      <c r="H391" s="4" t="n">
        <v>57.06</v>
      </c>
      <c r="I391" s="4" t="n">
        <v>35.6</v>
      </c>
      <c r="J391" s="4" t="n">
        <f aca="false">G391*H391</f>
        <v>1597.68</v>
      </c>
      <c r="K391" s="4" t="n">
        <f aca="false">G391*I391</f>
        <v>996.8</v>
      </c>
      <c r="L391" s="4" t="n">
        <f aca="false">J391-K391</f>
        <v>600.88</v>
      </c>
    </row>
    <row r="392" customFormat="false" ht="15" hidden="false" customHeight="false" outlineLevel="0" collapsed="false">
      <c r="A392" s="0" t="n">
        <v>1278</v>
      </c>
      <c r="B392" s="2" t="n">
        <v>45460</v>
      </c>
      <c r="C392" s="3" t="s">
        <v>23</v>
      </c>
      <c r="D392" s="3" t="s">
        <v>20</v>
      </c>
      <c r="E392" s="3" t="s">
        <v>38</v>
      </c>
      <c r="F392" s="3" t="s">
        <v>36</v>
      </c>
      <c r="G392" s="0" t="n">
        <v>8</v>
      </c>
      <c r="H392" s="4" t="n">
        <v>106.33</v>
      </c>
      <c r="I392" s="4" t="n">
        <v>60.21</v>
      </c>
      <c r="J392" s="4" t="n">
        <f aca="false">G392*H392</f>
        <v>850.64</v>
      </c>
      <c r="K392" s="4" t="n">
        <f aca="false">G392*I392</f>
        <v>481.68</v>
      </c>
      <c r="L392" s="4" t="n">
        <f aca="false">J392-K392</f>
        <v>368.96</v>
      </c>
    </row>
    <row r="393" customFormat="false" ht="15" hidden="false" customHeight="false" outlineLevel="0" collapsed="false">
      <c r="A393" s="0" t="n">
        <v>1301</v>
      </c>
      <c r="B393" s="2" t="n">
        <v>45460</v>
      </c>
      <c r="C393" s="3" t="s">
        <v>16</v>
      </c>
      <c r="D393" s="3" t="s">
        <v>20</v>
      </c>
      <c r="E393" s="3" t="s">
        <v>34</v>
      </c>
      <c r="F393" s="3" t="s">
        <v>22</v>
      </c>
      <c r="G393" s="0" t="n">
        <v>7</v>
      </c>
      <c r="H393" s="4" t="n">
        <v>175.15</v>
      </c>
      <c r="I393" s="4" t="n">
        <v>128.1</v>
      </c>
      <c r="J393" s="4" t="n">
        <f aca="false">G393*H393</f>
        <v>1226.05</v>
      </c>
      <c r="K393" s="4" t="n">
        <f aca="false">G393*I393</f>
        <v>896.7</v>
      </c>
      <c r="L393" s="4" t="n">
        <f aca="false">J393-K393</f>
        <v>329.35</v>
      </c>
    </row>
    <row r="394" customFormat="false" ht="15" hidden="false" customHeight="false" outlineLevel="0" collapsed="false">
      <c r="A394" s="0" t="n">
        <v>1684</v>
      </c>
      <c r="B394" s="2" t="n">
        <v>45460</v>
      </c>
      <c r="C394" s="3" t="s">
        <v>23</v>
      </c>
      <c r="D394" s="3" t="s">
        <v>17</v>
      </c>
      <c r="E394" s="3" t="s">
        <v>18</v>
      </c>
      <c r="F394" s="3" t="s">
        <v>22</v>
      </c>
      <c r="G394" s="0" t="n">
        <v>10</v>
      </c>
      <c r="H394" s="4" t="n">
        <v>818.11</v>
      </c>
      <c r="I394" s="4" t="n">
        <v>544.12</v>
      </c>
      <c r="J394" s="4" t="n">
        <f aca="false">G394*H394</f>
        <v>8181.1</v>
      </c>
      <c r="K394" s="4" t="n">
        <f aca="false">G394*I394</f>
        <v>5441.2</v>
      </c>
      <c r="L394" s="4" t="n">
        <f aca="false">J394-K394</f>
        <v>2739.9</v>
      </c>
    </row>
    <row r="395" customFormat="false" ht="15" hidden="false" customHeight="false" outlineLevel="0" collapsed="false">
      <c r="A395" s="0" t="n">
        <v>2053</v>
      </c>
      <c r="B395" s="2" t="n">
        <v>45460</v>
      </c>
      <c r="C395" s="3" t="s">
        <v>16</v>
      </c>
      <c r="D395" s="3" t="s">
        <v>20</v>
      </c>
      <c r="E395" s="3" t="s">
        <v>42</v>
      </c>
      <c r="F395" s="3" t="s">
        <v>33</v>
      </c>
      <c r="G395" s="0" t="n">
        <v>27</v>
      </c>
      <c r="H395" s="4" t="n">
        <v>21.57</v>
      </c>
      <c r="I395" s="4" t="n">
        <v>14.57</v>
      </c>
      <c r="J395" s="4" t="n">
        <f aca="false">G395*H395</f>
        <v>582.39</v>
      </c>
      <c r="K395" s="4" t="n">
        <f aca="false">G395*I395</f>
        <v>393.39</v>
      </c>
      <c r="L395" s="4" t="n">
        <f aca="false">J395-K395</f>
        <v>189</v>
      </c>
    </row>
    <row r="396" customFormat="false" ht="15" hidden="false" customHeight="false" outlineLevel="0" collapsed="false">
      <c r="A396" s="0" t="n">
        <v>2286</v>
      </c>
      <c r="B396" s="2" t="n">
        <v>45460</v>
      </c>
      <c r="C396" s="3" t="s">
        <v>23</v>
      </c>
      <c r="D396" s="3" t="s">
        <v>13</v>
      </c>
      <c r="E396" s="3" t="s">
        <v>24</v>
      </c>
      <c r="F396" s="3" t="s">
        <v>22</v>
      </c>
      <c r="G396" s="0" t="n">
        <v>40</v>
      </c>
      <c r="H396" s="4" t="n">
        <v>34.71</v>
      </c>
      <c r="I396" s="4" t="n">
        <v>19.1</v>
      </c>
      <c r="J396" s="4" t="n">
        <f aca="false">G396*H396</f>
        <v>1388.4</v>
      </c>
      <c r="K396" s="4" t="n">
        <f aca="false">G396*I396</f>
        <v>764</v>
      </c>
      <c r="L396" s="4" t="n">
        <f aca="false">J396-K396</f>
        <v>624.4</v>
      </c>
    </row>
    <row r="397" customFormat="false" ht="15" hidden="false" customHeight="false" outlineLevel="0" collapsed="false">
      <c r="A397" s="0" t="n">
        <v>2304</v>
      </c>
      <c r="B397" s="2" t="n">
        <v>45460</v>
      </c>
      <c r="C397" s="3" t="s">
        <v>12</v>
      </c>
      <c r="D397" s="3" t="s">
        <v>29</v>
      </c>
      <c r="E397" s="3" t="s">
        <v>41</v>
      </c>
      <c r="F397" s="3" t="s">
        <v>25</v>
      </c>
      <c r="G397" s="0" t="n">
        <v>21</v>
      </c>
      <c r="H397" s="4" t="n">
        <v>310.35</v>
      </c>
      <c r="I397" s="4" t="n">
        <v>206.14</v>
      </c>
      <c r="J397" s="4" t="n">
        <f aca="false">G397*H397</f>
        <v>6517.35</v>
      </c>
      <c r="K397" s="4" t="n">
        <f aca="false">G397*I397</f>
        <v>4328.94</v>
      </c>
      <c r="L397" s="4" t="n">
        <f aca="false">J397-K397</f>
        <v>2188.41</v>
      </c>
    </row>
    <row r="398" customFormat="false" ht="15" hidden="false" customHeight="false" outlineLevel="0" collapsed="false">
      <c r="A398" s="0" t="n">
        <v>2324</v>
      </c>
      <c r="B398" s="2" t="n">
        <v>45460</v>
      </c>
      <c r="C398" s="3" t="s">
        <v>12</v>
      </c>
      <c r="D398" s="3" t="s">
        <v>20</v>
      </c>
      <c r="E398" s="3" t="s">
        <v>38</v>
      </c>
      <c r="F398" s="3" t="s">
        <v>39</v>
      </c>
      <c r="G398" s="0" t="n">
        <v>17</v>
      </c>
      <c r="H398" s="4" t="n">
        <v>109.74</v>
      </c>
      <c r="I398" s="4" t="n">
        <v>65.7</v>
      </c>
      <c r="J398" s="4" t="n">
        <f aca="false">G398*H398</f>
        <v>1865.58</v>
      </c>
      <c r="K398" s="4" t="n">
        <f aca="false">G398*I398</f>
        <v>1116.9</v>
      </c>
      <c r="L398" s="4" t="n">
        <f aca="false">J398-K398</f>
        <v>748.68</v>
      </c>
    </row>
    <row r="399" customFormat="false" ht="15" hidden="false" customHeight="false" outlineLevel="0" collapsed="false">
      <c r="A399" s="0" t="n">
        <v>2620</v>
      </c>
      <c r="B399" s="2" t="n">
        <v>45460</v>
      </c>
      <c r="C399" s="3" t="s">
        <v>26</v>
      </c>
      <c r="D399" s="3" t="s">
        <v>13</v>
      </c>
      <c r="E399" s="3" t="s">
        <v>46</v>
      </c>
      <c r="F399" s="3" t="s">
        <v>15</v>
      </c>
      <c r="G399" s="0" t="n">
        <v>15</v>
      </c>
      <c r="H399" s="4" t="n">
        <v>53.42</v>
      </c>
      <c r="I399" s="4" t="n">
        <v>36.01</v>
      </c>
      <c r="J399" s="4" t="n">
        <f aca="false">G399*H399</f>
        <v>801.3</v>
      </c>
      <c r="K399" s="4" t="n">
        <f aca="false">G399*I399</f>
        <v>540.15</v>
      </c>
      <c r="L399" s="4" t="n">
        <f aca="false">J399-K399</f>
        <v>261.15</v>
      </c>
    </row>
    <row r="400" customFormat="false" ht="15" hidden="false" customHeight="false" outlineLevel="0" collapsed="false">
      <c r="A400" s="0" t="n">
        <v>1050</v>
      </c>
      <c r="B400" s="2" t="n">
        <v>45461</v>
      </c>
      <c r="C400" s="3" t="s">
        <v>23</v>
      </c>
      <c r="D400" s="3" t="s">
        <v>13</v>
      </c>
      <c r="E400" s="3" t="s">
        <v>46</v>
      </c>
      <c r="F400" s="3" t="s">
        <v>22</v>
      </c>
      <c r="G400" s="0" t="n">
        <v>26</v>
      </c>
      <c r="H400" s="4" t="n">
        <v>40.79</v>
      </c>
      <c r="I400" s="4" t="n">
        <v>29.23</v>
      </c>
      <c r="J400" s="4" t="n">
        <f aca="false">G400*H400</f>
        <v>1060.54</v>
      </c>
      <c r="K400" s="4" t="n">
        <f aca="false">G400*I400</f>
        <v>759.98</v>
      </c>
      <c r="L400" s="4" t="n">
        <f aca="false">J400-K400</f>
        <v>300.56</v>
      </c>
    </row>
    <row r="401" customFormat="false" ht="15" hidden="false" customHeight="false" outlineLevel="0" collapsed="false">
      <c r="A401" s="0" t="n">
        <v>1700</v>
      </c>
      <c r="B401" s="2" t="n">
        <v>45461</v>
      </c>
      <c r="C401" s="3" t="s">
        <v>26</v>
      </c>
      <c r="D401" s="3" t="s">
        <v>29</v>
      </c>
      <c r="E401" s="3" t="s">
        <v>30</v>
      </c>
      <c r="F401" s="3" t="s">
        <v>25</v>
      </c>
      <c r="G401" s="0" t="n">
        <v>13</v>
      </c>
      <c r="H401" s="4" t="n">
        <v>398.2</v>
      </c>
      <c r="I401" s="4" t="n">
        <v>251.04</v>
      </c>
      <c r="J401" s="4" t="n">
        <f aca="false">G401*H401</f>
        <v>5176.6</v>
      </c>
      <c r="K401" s="4" t="n">
        <f aca="false">G401*I401</f>
        <v>3263.52</v>
      </c>
      <c r="L401" s="4" t="n">
        <f aca="false">J401-K401</f>
        <v>1913.08</v>
      </c>
    </row>
    <row r="402" customFormat="false" ht="15" hidden="false" customHeight="false" outlineLevel="0" collapsed="false">
      <c r="A402" s="0" t="n">
        <v>2082</v>
      </c>
      <c r="B402" s="2" t="n">
        <v>45461</v>
      </c>
      <c r="C402" s="3" t="s">
        <v>23</v>
      </c>
      <c r="D402" s="3" t="s">
        <v>17</v>
      </c>
      <c r="E402" s="3" t="s">
        <v>44</v>
      </c>
      <c r="F402" s="3" t="s">
        <v>39</v>
      </c>
      <c r="G402" s="0" t="n">
        <v>12</v>
      </c>
      <c r="H402" s="4" t="n">
        <v>313.08</v>
      </c>
      <c r="I402" s="4" t="n">
        <v>163.6</v>
      </c>
      <c r="J402" s="4" t="n">
        <f aca="false">G402*H402</f>
        <v>3756.96</v>
      </c>
      <c r="K402" s="4" t="n">
        <f aca="false">G402*I402</f>
        <v>1963.2</v>
      </c>
      <c r="L402" s="4" t="n">
        <f aca="false">J402-K402</f>
        <v>1793.76</v>
      </c>
    </row>
    <row r="403" customFormat="false" ht="15" hidden="false" customHeight="false" outlineLevel="0" collapsed="false">
      <c r="A403" s="0" t="n">
        <v>2174</v>
      </c>
      <c r="B403" s="2" t="n">
        <v>45461</v>
      </c>
      <c r="C403" s="3" t="s">
        <v>16</v>
      </c>
      <c r="D403" s="3" t="s">
        <v>13</v>
      </c>
      <c r="E403" s="3" t="s">
        <v>24</v>
      </c>
      <c r="F403" s="3" t="s">
        <v>36</v>
      </c>
      <c r="G403" s="0" t="n">
        <v>13</v>
      </c>
      <c r="H403" s="4" t="n">
        <v>57.67</v>
      </c>
      <c r="I403" s="4" t="n">
        <v>41.82</v>
      </c>
      <c r="J403" s="4" t="n">
        <f aca="false">G403*H403</f>
        <v>749.71</v>
      </c>
      <c r="K403" s="4" t="n">
        <f aca="false">G403*I403</f>
        <v>543.66</v>
      </c>
      <c r="L403" s="4" t="n">
        <f aca="false">J403-K403</f>
        <v>206.05</v>
      </c>
    </row>
    <row r="404" customFormat="false" ht="15" hidden="false" customHeight="false" outlineLevel="0" collapsed="false">
      <c r="A404" s="0" t="n">
        <v>2476</v>
      </c>
      <c r="B404" s="2" t="n">
        <v>45461</v>
      </c>
      <c r="C404" s="3" t="s">
        <v>23</v>
      </c>
      <c r="D404" s="3" t="s">
        <v>20</v>
      </c>
      <c r="E404" s="3" t="s">
        <v>21</v>
      </c>
      <c r="F404" s="3" t="s">
        <v>15</v>
      </c>
      <c r="G404" s="0" t="n">
        <v>36</v>
      </c>
      <c r="H404" s="4" t="n">
        <v>209.25</v>
      </c>
      <c r="I404" s="4" t="n">
        <v>144.44</v>
      </c>
      <c r="J404" s="4" t="n">
        <f aca="false">G404*H404</f>
        <v>7533</v>
      </c>
      <c r="K404" s="4" t="n">
        <f aca="false">G404*I404</f>
        <v>5199.84</v>
      </c>
      <c r="L404" s="4" t="n">
        <f aca="false">J404-K404</f>
        <v>2333.16</v>
      </c>
    </row>
    <row r="405" customFormat="false" ht="15" hidden="false" customHeight="false" outlineLevel="0" collapsed="false">
      <c r="A405" s="0" t="n">
        <v>1268</v>
      </c>
      <c r="B405" s="2" t="n">
        <v>45462</v>
      </c>
      <c r="C405" s="3" t="s">
        <v>32</v>
      </c>
      <c r="D405" s="3" t="s">
        <v>13</v>
      </c>
      <c r="E405" s="3" t="s">
        <v>31</v>
      </c>
      <c r="F405" s="3" t="s">
        <v>25</v>
      </c>
      <c r="G405" s="0" t="n">
        <v>37</v>
      </c>
      <c r="H405" s="4" t="n">
        <v>9.57</v>
      </c>
      <c r="I405" s="4" t="n">
        <v>6.84</v>
      </c>
      <c r="J405" s="4" t="n">
        <f aca="false">G405*H405</f>
        <v>354.09</v>
      </c>
      <c r="K405" s="4" t="n">
        <f aca="false">G405*I405</f>
        <v>253.08</v>
      </c>
      <c r="L405" s="4" t="n">
        <f aca="false">J405-K405</f>
        <v>101.01</v>
      </c>
    </row>
    <row r="406" customFormat="false" ht="15" hidden="false" customHeight="false" outlineLevel="0" collapsed="false">
      <c r="A406" s="0" t="n">
        <v>1579</v>
      </c>
      <c r="B406" s="2" t="n">
        <v>45462</v>
      </c>
      <c r="C406" s="3" t="s">
        <v>16</v>
      </c>
      <c r="D406" s="3" t="s">
        <v>13</v>
      </c>
      <c r="E406" s="3" t="s">
        <v>46</v>
      </c>
      <c r="F406" s="3" t="s">
        <v>15</v>
      </c>
      <c r="G406" s="0" t="n">
        <v>12</v>
      </c>
      <c r="H406" s="4" t="n">
        <v>50.84</v>
      </c>
      <c r="I406" s="4" t="n">
        <v>27.37</v>
      </c>
      <c r="J406" s="4" t="n">
        <f aca="false">G406*H406</f>
        <v>610.08</v>
      </c>
      <c r="K406" s="4" t="n">
        <f aca="false">G406*I406</f>
        <v>328.44</v>
      </c>
      <c r="L406" s="4" t="n">
        <f aca="false">J406-K406</f>
        <v>281.64</v>
      </c>
    </row>
    <row r="407" customFormat="false" ht="15" hidden="false" customHeight="false" outlineLevel="0" collapsed="false">
      <c r="A407" s="0" t="n">
        <v>1670</v>
      </c>
      <c r="B407" s="2" t="n">
        <v>45462</v>
      </c>
      <c r="C407" s="3" t="s">
        <v>12</v>
      </c>
      <c r="D407" s="3" t="s">
        <v>20</v>
      </c>
      <c r="E407" s="3" t="s">
        <v>21</v>
      </c>
      <c r="F407" s="3" t="s">
        <v>28</v>
      </c>
      <c r="G407" s="0" t="n">
        <v>2</v>
      </c>
      <c r="H407" s="4" t="n">
        <v>179.44</v>
      </c>
      <c r="I407" s="4" t="n">
        <v>127.13</v>
      </c>
      <c r="J407" s="4" t="n">
        <f aca="false">G407*H407</f>
        <v>358.88</v>
      </c>
      <c r="K407" s="4" t="n">
        <f aca="false">G407*I407</f>
        <v>254.26</v>
      </c>
      <c r="L407" s="4" t="n">
        <f aca="false">J407-K407</f>
        <v>104.62</v>
      </c>
    </row>
    <row r="408" customFormat="false" ht="15" hidden="false" customHeight="false" outlineLevel="0" collapsed="false">
      <c r="A408" s="0" t="n">
        <v>2105</v>
      </c>
      <c r="B408" s="2" t="n">
        <v>45462</v>
      </c>
      <c r="C408" s="3" t="s">
        <v>16</v>
      </c>
      <c r="D408" s="3" t="s">
        <v>29</v>
      </c>
      <c r="E408" s="3" t="s">
        <v>41</v>
      </c>
      <c r="F408" s="3" t="s">
        <v>36</v>
      </c>
      <c r="G408" s="0" t="n">
        <v>2</v>
      </c>
      <c r="H408" s="4" t="n">
        <v>392.5</v>
      </c>
      <c r="I408" s="4" t="n">
        <v>233.07</v>
      </c>
      <c r="J408" s="4" t="n">
        <f aca="false">G408*H408</f>
        <v>785</v>
      </c>
      <c r="K408" s="4" t="n">
        <f aca="false">G408*I408</f>
        <v>466.14</v>
      </c>
      <c r="L408" s="4" t="n">
        <f aca="false">J408-K408</f>
        <v>318.86</v>
      </c>
    </row>
    <row r="409" customFormat="false" ht="15" hidden="false" customHeight="false" outlineLevel="0" collapsed="false">
      <c r="A409" s="0" t="n">
        <v>1709</v>
      </c>
      <c r="B409" s="2" t="n">
        <v>45463</v>
      </c>
      <c r="C409" s="3" t="s">
        <v>26</v>
      </c>
      <c r="D409" s="3" t="s">
        <v>17</v>
      </c>
      <c r="E409" s="3" t="s">
        <v>18</v>
      </c>
      <c r="F409" s="3" t="s">
        <v>15</v>
      </c>
      <c r="G409" s="0" t="n">
        <v>39</v>
      </c>
      <c r="H409" s="4" t="n">
        <v>270.75</v>
      </c>
      <c r="I409" s="4" t="n">
        <v>149.78</v>
      </c>
      <c r="J409" s="4" t="n">
        <f aca="false">G409*H409</f>
        <v>10559.25</v>
      </c>
      <c r="K409" s="4" t="n">
        <f aca="false">G409*I409</f>
        <v>5841.42</v>
      </c>
      <c r="L409" s="4" t="n">
        <f aca="false">J409-K409</f>
        <v>4717.83</v>
      </c>
    </row>
    <row r="410" customFormat="false" ht="15" hidden="false" customHeight="false" outlineLevel="0" collapsed="false">
      <c r="A410" s="0" t="n">
        <v>2515</v>
      </c>
      <c r="B410" s="2" t="n">
        <v>45463</v>
      </c>
      <c r="C410" s="3" t="s">
        <v>32</v>
      </c>
      <c r="D410" s="3" t="s">
        <v>13</v>
      </c>
      <c r="E410" s="3" t="s">
        <v>31</v>
      </c>
      <c r="F410" s="3" t="s">
        <v>33</v>
      </c>
      <c r="G410" s="0" t="n">
        <v>18</v>
      </c>
      <c r="H410" s="4" t="n">
        <v>56.25</v>
      </c>
      <c r="I410" s="4" t="n">
        <v>30.88</v>
      </c>
      <c r="J410" s="4" t="n">
        <f aca="false">G410*H410</f>
        <v>1012.5</v>
      </c>
      <c r="K410" s="4" t="n">
        <f aca="false">G410*I410</f>
        <v>555.84</v>
      </c>
      <c r="L410" s="4" t="n">
        <f aca="false">J410-K410</f>
        <v>456.66</v>
      </c>
    </row>
    <row r="411" customFormat="false" ht="15" hidden="false" customHeight="false" outlineLevel="0" collapsed="false">
      <c r="A411" s="0" t="n">
        <v>2347</v>
      </c>
      <c r="B411" s="2" t="n">
        <v>45464</v>
      </c>
      <c r="C411" s="3" t="s">
        <v>12</v>
      </c>
      <c r="D411" s="3" t="s">
        <v>13</v>
      </c>
      <c r="E411" s="3" t="s">
        <v>45</v>
      </c>
      <c r="F411" s="3" t="s">
        <v>36</v>
      </c>
      <c r="G411" s="0" t="n">
        <v>24</v>
      </c>
      <c r="H411" s="4" t="n">
        <v>16.03</v>
      </c>
      <c r="I411" s="4" t="n">
        <v>10.48</v>
      </c>
      <c r="J411" s="4" t="n">
        <f aca="false">G411*H411</f>
        <v>384.72</v>
      </c>
      <c r="K411" s="4" t="n">
        <f aca="false">G411*I411</f>
        <v>251.52</v>
      </c>
      <c r="L411" s="4" t="n">
        <f aca="false">J411-K411</f>
        <v>133.2</v>
      </c>
    </row>
    <row r="412" customFormat="false" ht="15" hidden="false" customHeight="false" outlineLevel="0" collapsed="false">
      <c r="A412" s="0" t="n">
        <v>2497</v>
      </c>
      <c r="B412" s="2" t="n">
        <v>45464</v>
      </c>
      <c r="C412" s="3" t="s">
        <v>16</v>
      </c>
      <c r="D412" s="3" t="s">
        <v>29</v>
      </c>
      <c r="E412" s="3" t="s">
        <v>30</v>
      </c>
      <c r="F412" s="3" t="s">
        <v>19</v>
      </c>
      <c r="G412" s="0" t="n">
        <v>26</v>
      </c>
      <c r="H412" s="4" t="n">
        <v>423.33</v>
      </c>
      <c r="I412" s="4" t="n">
        <v>241.8</v>
      </c>
      <c r="J412" s="4" t="n">
        <f aca="false">G412*H412</f>
        <v>11006.58</v>
      </c>
      <c r="K412" s="4" t="n">
        <f aca="false">G412*I412</f>
        <v>6286.8</v>
      </c>
      <c r="L412" s="4" t="n">
        <f aca="false">J412-K412</f>
        <v>4719.78</v>
      </c>
    </row>
    <row r="413" customFormat="false" ht="15" hidden="false" customHeight="false" outlineLevel="0" collapsed="false">
      <c r="A413" s="0" t="n">
        <v>2711</v>
      </c>
      <c r="B413" s="2" t="n">
        <v>45464</v>
      </c>
      <c r="C413" s="3" t="s">
        <v>23</v>
      </c>
      <c r="D413" s="3" t="s">
        <v>13</v>
      </c>
      <c r="E413" s="3" t="s">
        <v>14</v>
      </c>
      <c r="F413" s="3" t="s">
        <v>25</v>
      </c>
      <c r="G413" s="0" t="n">
        <v>6</v>
      </c>
      <c r="H413" s="4" t="n">
        <v>11.37</v>
      </c>
      <c r="I413" s="4" t="n">
        <v>6.08</v>
      </c>
      <c r="J413" s="4" t="n">
        <f aca="false">G413*H413</f>
        <v>68.22</v>
      </c>
      <c r="K413" s="4" t="n">
        <f aca="false">G413*I413</f>
        <v>36.48</v>
      </c>
      <c r="L413" s="4" t="n">
        <f aca="false">J413-K413</f>
        <v>31.74</v>
      </c>
    </row>
    <row r="414" customFormat="false" ht="15" hidden="false" customHeight="false" outlineLevel="0" collapsed="false">
      <c r="A414" s="0" t="n">
        <v>2123</v>
      </c>
      <c r="B414" s="2" t="n">
        <v>45465</v>
      </c>
      <c r="C414" s="3" t="s">
        <v>16</v>
      </c>
      <c r="D414" s="3" t="s">
        <v>20</v>
      </c>
      <c r="E414" s="3" t="s">
        <v>34</v>
      </c>
      <c r="F414" s="3" t="s">
        <v>28</v>
      </c>
      <c r="G414" s="0" t="n">
        <v>25</v>
      </c>
      <c r="H414" s="4" t="n">
        <v>106.61</v>
      </c>
      <c r="I414" s="4" t="n">
        <v>59.28</v>
      </c>
      <c r="J414" s="4" t="n">
        <f aca="false">G414*H414</f>
        <v>2665.25</v>
      </c>
      <c r="K414" s="4" t="n">
        <f aca="false">G414*I414</f>
        <v>1482</v>
      </c>
      <c r="L414" s="4" t="n">
        <f aca="false">J414-K414</f>
        <v>1183.25</v>
      </c>
    </row>
    <row r="415" customFormat="false" ht="15" hidden="false" customHeight="false" outlineLevel="0" collapsed="false">
      <c r="A415" s="0" t="n">
        <v>2247</v>
      </c>
      <c r="B415" s="2" t="n">
        <v>45465</v>
      </c>
      <c r="C415" s="3" t="s">
        <v>32</v>
      </c>
      <c r="D415" s="3" t="s">
        <v>29</v>
      </c>
      <c r="E415" s="3" t="s">
        <v>37</v>
      </c>
      <c r="F415" s="3" t="s">
        <v>15</v>
      </c>
      <c r="G415" s="0" t="n">
        <v>34</v>
      </c>
      <c r="H415" s="4" t="n">
        <v>213.8</v>
      </c>
      <c r="I415" s="4" t="n">
        <v>141.61</v>
      </c>
      <c r="J415" s="4" t="n">
        <f aca="false">G415*H415</f>
        <v>7269.2</v>
      </c>
      <c r="K415" s="4" t="n">
        <f aca="false">G415*I415</f>
        <v>4814.74</v>
      </c>
      <c r="L415" s="4" t="n">
        <f aca="false">J415-K415</f>
        <v>2454.46</v>
      </c>
    </row>
    <row r="416" customFormat="false" ht="15" hidden="false" customHeight="false" outlineLevel="0" collapsed="false">
      <c r="A416" s="0" t="n">
        <v>1325</v>
      </c>
      <c r="B416" s="2" t="n">
        <v>45466</v>
      </c>
      <c r="C416" s="3" t="s">
        <v>16</v>
      </c>
      <c r="D416" s="3" t="s">
        <v>13</v>
      </c>
      <c r="E416" s="3" t="s">
        <v>31</v>
      </c>
      <c r="F416" s="3" t="s">
        <v>25</v>
      </c>
      <c r="G416" s="0" t="n">
        <v>31</v>
      </c>
      <c r="H416" s="4" t="n">
        <v>17.74</v>
      </c>
      <c r="I416" s="4" t="n">
        <v>9.68</v>
      </c>
      <c r="J416" s="4" t="n">
        <f aca="false">G416*H416</f>
        <v>549.94</v>
      </c>
      <c r="K416" s="4" t="n">
        <f aca="false">G416*I416</f>
        <v>300.08</v>
      </c>
      <c r="L416" s="4" t="n">
        <f aca="false">J416-K416</f>
        <v>249.86</v>
      </c>
    </row>
    <row r="417" customFormat="false" ht="15" hidden="false" customHeight="false" outlineLevel="0" collapsed="false">
      <c r="A417" s="0" t="n">
        <v>1429</v>
      </c>
      <c r="B417" s="2" t="n">
        <v>45466</v>
      </c>
      <c r="C417" s="3" t="s">
        <v>26</v>
      </c>
      <c r="D417" s="3" t="s">
        <v>17</v>
      </c>
      <c r="E417" s="3" t="s">
        <v>40</v>
      </c>
      <c r="F417" s="3" t="s">
        <v>33</v>
      </c>
      <c r="G417" s="0" t="n">
        <v>31</v>
      </c>
      <c r="H417" s="4" t="n">
        <v>452.44</v>
      </c>
      <c r="I417" s="4" t="n">
        <v>241.5</v>
      </c>
      <c r="J417" s="4" t="n">
        <f aca="false">G417*H417</f>
        <v>14025.64</v>
      </c>
      <c r="K417" s="4" t="n">
        <f aca="false">G417*I417</f>
        <v>7486.5</v>
      </c>
      <c r="L417" s="4" t="n">
        <f aca="false">J417-K417</f>
        <v>6539.14</v>
      </c>
    </row>
    <row r="418" customFormat="false" ht="15" hidden="false" customHeight="false" outlineLevel="0" collapsed="false">
      <c r="A418" s="0" t="n">
        <v>2452</v>
      </c>
      <c r="B418" s="2" t="n">
        <v>45466</v>
      </c>
      <c r="C418" s="3" t="s">
        <v>16</v>
      </c>
      <c r="D418" s="3" t="s">
        <v>29</v>
      </c>
      <c r="E418" s="3" t="s">
        <v>41</v>
      </c>
      <c r="F418" s="3" t="s">
        <v>15</v>
      </c>
      <c r="G418" s="0" t="n">
        <v>11</v>
      </c>
      <c r="H418" s="4" t="n">
        <v>397.72</v>
      </c>
      <c r="I418" s="4" t="n">
        <v>270.67</v>
      </c>
      <c r="J418" s="4" t="n">
        <f aca="false">G418*H418</f>
        <v>4374.92</v>
      </c>
      <c r="K418" s="4" t="n">
        <f aca="false">G418*I418</f>
        <v>2977.37</v>
      </c>
      <c r="L418" s="4" t="n">
        <f aca="false">J418-K418</f>
        <v>1397.55</v>
      </c>
    </row>
    <row r="419" customFormat="false" ht="15" hidden="false" customHeight="false" outlineLevel="0" collapsed="false">
      <c r="A419" s="0" t="n">
        <v>2200</v>
      </c>
      <c r="B419" s="2" t="n">
        <v>45467</v>
      </c>
      <c r="C419" s="3" t="s">
        <v>26</v>
      </c>
      <c r="D419" s="3" t="s">
        <v>20</v>
      </c>
      <c r="E419" s="3" t="s">
        <v>42</v>
      </c>
      <c r="F419" s="3" t="s">
        <v>33</v>
      </c>
      <c r="G419" s="0" t="n">
        <v>31</v>
      </c>
      <c r="H419" s="4" t="n">
        <v>38.32</v>
      </c>
      <c r="I419" s="4" t="n">
        <v>26.05</v>
      </c>
      <c r="J419" s="4" t="n">
        <f aca="false">G419*H419</f>
        <v>1187.92</v>
      </c>
      <c r="K419" s="4" t="n">
        <f aca="false">G419*I419</f>
        <v>807.55</v>
      </c>
      <c r="L419" s="4" t="n">
        <f aca="false">J419-K419</f>
        <v>380.37</v>
      </c>
    </row>
    <row r="420" customFormat="false" ht="15" hidden="false" customHeight="false" outlineLevel="0" collapsed="false">
      <c r="A420" s="0" t="n">
        <v>2656</v>
      </c>
      <c r="B420" s="2" t="n">
        <v>45467</v>
      </c>
      <c r="C420" s="3" t="s">
        <v>12</v>
      </c>
      <c r="D420" s="3" t="s">
        <v>13</v>
      </c>
      <c r="E420" s="3" t="s">
        <v>31</v>
      </c>
      <c r="F420" s="3" t="s">
        <v>28</v>
      </c>
      <c r="G420" s="0" t="n">
        <v>12</v>
      </c>
      <c r="H420" s="4" t="n">
        <v>55.41</v>
      </c>
      <c r="I420" s="4" t="n">
        <v>39.97</v>
      </c>
      <c r="J420" s="4" t="n">
        <f aca="false">G420*H420</f>
        <v>664.92</v>
      </c>
      <c r="K420" s="4" t="n">
        <f aca="false">G420*I420</f>
        <v>479.64</v>
      </c>
      <c r="L420" s="4" t="n">
        <f aca="false">J420-K420</f>
        <v>185.28</v>
      </c>
    </row>
    <row r="421" customFormat="false" ht="15" hidden="false" customHeight="false" outlineLevel="0" collapsed="false">
      <c r="A421" s="0" t="n">
        <v>1516</v>
      </c>
      <c r="B421" s="2" t="n">
        <v>45469</v>
      </c>
      <c r="C421" s="3" t="s">
        <v>26</v>
      </c>
      <c r="D421" s="3" t="s">
        <v>20</v>
      </c>
      <c r="E421" s="3" t="s">
        <v>42</v>
      </c>
      <c r="F421" s="3" t="s">
        <v>28</v>
      </c>
      <c r="G421" s="0" t="n">
        <v>21</v>
      </c>
      <c r="H421" s="4" t="n">
        <v>287.65</v>
      </c>
      <c r="I421" s="4" t="n">
        <v>148.83</v>
      </c>
      <c r="J421" s="4" t="n">
        <f aca="false">G421*H421</f>
        <v>6040.65</v>
      </c>
      <c r="K421" s="4" t="n">
        <f aca="false">G421*I421</f>
        <v>3125.43</v>
      </c>
      <c r="L421" s="4" t="n">
        <f aca="false">J421-K421</f>
        <v>2915.22</v>
      </c>
    </row>
    <row r="422" customFormat="false" ht="15" hidden="false" customHeight="false" outlineLevel="0" collapsed="false">
      <c r="A422" s="0" t="n">
        <v>1777</v>
      </c>
      <c r="B422" s="2" t="n">
        <v>45469</v>
      </c>
      <c r="C422" s="3" t="s">
        <v>16</v>
      </c>
      <c r="D422" s="3" t="s">
        <v>13</v>
      </c>
      <c r="E422" s="3" t="s">
        <v>24</v>
      </c>
      <c r="F422" s="3" t="s">
        <v>25</v>
      </c>
      <c r="G422" s="0" t="n">
        <v>28</v>
      </c>
      <c r="H422" s="4" t="n">
        <v>20.75</v>
      </c>
      <c r="I422" s="4" t="n">
        <v>11.29</v>
      </c>
      <c r="J422" s="4" t="n">
        <f aca="false">G422*H422</f>
        <v>581</v>
      </c>
      <c r="K422" s="4" t="n">
        <f aca="false">G422*I422</f>
        <v>316.12</v>
      </c>
      <c r="L422" s="4" t="n">
        <f aca="false">J422-K422</f>
        <v>264.88</v>
      </c>
    </row>
    <row r="423" customFormat="false" ht="15" hidden="false" customHeight="false" outlineLevel="0" collapsed="false">
      <c r="A423" s="0" t="n">
        <v>1961</v>
      </c>
      <c r="B423" s="2" t="n">
        <v>45469</v>
      </c>
      <c r="C423" s="3" t="s">
        <v>16</v>
      </c>
      <c r="D423" s="3" t="s">
        <v>20</v>
      </c>
      <c r="E423" s="3" t="s">
        <v>38</v>
      </c>
      <c r="F423" s="3" t="s">
        <v>19</v>
      </c>
      <c r="G423" s="0" t="n">
        <v>13</v>
      </c>
      <c r="H423" s="4" t="n">
        <v>105.4</v>
      </c>
      <c r="I423" s="4" t="n">
        <v>60.53</v>
      </c>
      <c r="J423" s="4" t="n">
        <f aca="false">G423*H423</f>
        <v>1370.2</v>
      </c>
      <c r="K423" s="4" t="n">
        <f aca="false">G423*I423</f>
        <v>786.89</v>
      </c>
      <c r="L423" s="4" t="n">
        <f aca="false">J423-K423</f>
        <v>583.31</v>
      </c>
    </row>
    <row r="424" customFormat="false" ht="15" hidden="false" customHeight="false" outlineLevel="0" collapsed="false">
      <c r="A424" s="0" t="n">
        <v>1104</v>
      </c>
      <c r="B424" s="2" t="n">
        <v>45470</v>
      </c>
      <c r="C424" s="3" t="s">
        <v>26</v>
      </c>
      <c r="D424" s="3" t="s">
        <v>17</v>
      </c>
      <c r="E424" s="3" t="s">
        <v>44</v>
      </c>
      <c r="F424" s="3" t="s">
        <v>22</v>
      </c>
      <c r="G424" s="0" t="n">
        <v>23</v>
      </c>
      <c r="H424" s="4" t="n">
        <v>723.59</v>
      </c>
      <c r="I424" s="4" t="n">
        <v>371.27</v>
      </c>
      <c r="J424" s="4" t="n">
        <f aca="false">G424*H424</f>
        <v>16642.57</v>
      </c>
      <c r="K424" s="4" t="n">
        <f aca="false">G424*I424</f>
        <v>8539.21</v>
      </c>
      <c r="L424" s="4" t="n">
        <f aca="false">J424-K424</f>
        <v>8103.36</v>
      </c>
    </row>
    <row r="425" customFormat="false" ht="15" hidden="false" customHeight="false" outlineLevel="0" collapsed="false">
      <c r="A425" s="0" t="n">
        <v>1235</v>
      </c>
      <c r="B425" s="2" t="n">
        <v>45470</v>
      </c>
      <c r="C425" s="3" t="s">
        <v>16</v>
      </c>
      <c r="D425" s="3" t="s">
        <v>13</v>
      </c>
      <c r="E425" s="3" t="s">
        <v>31</v>
      </c>
      <c r="F425" s="3" t="s">
        <v>36</v>
      </c>
      <c r="G425" s="0" t="n">
        <v>30</v>
      </c>
      <c r="H425" s="4" t="n">
        <v>26.09</v>
      </c>
      <c r="I425" s="4" t="n">
        <v>15.86</v>
      </c>
      <c r="J425" s="4" t="n">
        <f aca="false">G425*H425</f>
        <v>782.7</v>
      </c>
      <c r="K425" s="4" t="n">
        <f aca="false">G425*I425</f>
        <v>475.8</v>
      </c>
      <c r="L425" s="4" t="n">
        <f aca="false">J425-K425</f>
        <v>306.9</v>
      </c>
    </row>
    <row r="426" customFormat="false" ht="15" hidden="false" customHeight="false" outlineLevel="0" collapsed="false">
      <c r="A426" s="0" t="n">
        <v>2506</v>
      </c>
      <c r="B426" s="2" t="n">
        <v>45470</v>
      </c>
      <c r="C426" s="3" t="s">
        <v>26</v>
      </c>
      <c r="D426" s="3" t="s">
        <v>13</v>
      </c>
      <c r="E426" s="3" t="s">
        <v>31</v>
      </c>
      <c r="F426" s="3" t="s">
        <v>36</v>
      </c>
      <c r="G426" s="0" t="n">
        <v>30</v>
      </c>
      <c r="H426" s="4" t="n">
        <v>57.43</v>
      </c>
      <c r="I426" s="4" t="n">
        <v>38.5</v>
      </c>
      <c r="J426" s="4" t="n">
        <f aca="false">G426*H426</f>
        <v>1722.9</v>
      </c>
      <c r="K426" s="4" t="n">
        <f aca="false">G426*I426</f>
        <v>1155</v>
      </c>
      <c r="L426" s="4" t="n">
        <f aca="false">J426-K426</f>
        <v>567.9</v>
      </c>
    </row>
    <row r="427" customFormat="false" ht="15" hidden="false" customHeight="false" outlineLevel="0" collapsed="false">
      <c r="A427" s="0" t="n">
        <v>1145</v>
      </c>
      <c r="B427" s="2" t="n">
        <v>45471</v>
      </c>
      <c r="C427" s="3" t="s">
        <v>23</v>
      </c>
      <c r="D427" s="3" t="s">
        <v>20</v>
      </c>
      <c r="E427" s="3" t="s">
        <v>34</v>
      </c>
      <c r="F427" s="3" t="s">
        <v>19</v>
      </c>
      <c r="G427" s="0" t="n">
        <v>5</v>
      </c>
      <c r="H427" s="4" t="n">
        <v>76.45</v>
      </c>
      <c r="I427" s="4" t="n">
        <v>53.35</v>
      </c>
      <c r="J427" s="4" t="n">
        <f aca="false">G427*H427</f>
        <v>382.25</v>
      </c>
      <c r="K427" s="4" t="n">
        <f aca="false">G427*I427</f>
        <v>266.75</v>
      </c>
      <c r="L427" s="4" t="n">
        <f aca="false">J427-K427</f>
        <v>115.5</v>
      </c>
    </row>
    <row r="428" customFormat="false" ht="15" hidden="false" customHeight="false" outlineLevel="0" collapsed="false">
      <c r="A428" s="0" t="n">
        <v>1200</v>
      </c>
      <c r="B428" s="2" t="n">
        <v>45471</v>
      </c>
      <c r="C428" s="3" t="s">
        <v>23</v>
      </c>
      <c r="D428" s="3" t="s">
        <v>20</v>
      </c>
      <c r="E428" s="3" t="s">
        <v>42</v>
      </c>
      <c r="F428" s="3" t="s">
        <v>33</v>
      </c>
      <c r="G428" s="0" t="n">
        <v>25</v>
      </c>
      <c r="H428" s="4" t="n">
        <v>61.78</v>
      </c>
      <c r="I428" s="4" t="n">
        <v>36.7</v>
      </c>
      <c r="J428" s="4" t="n">
        <f aca="false">G428*H428</f>
        <v>1544.5</v>
      </c>
      <c r="K428" s="4" t="n">
        <f aca="false">G428*I428</f>
        <v>917.5</v>
      </c>
      <c r="L428" s="4" t="n">
        <f aca="false">J428-K428</f>
        <v>627</v>
      </c>
    </row>
    <row r="429" customFormat="false" ht="15" hidden="false" customHeight="false" outlineLevel="0" collapsed="false">
      <c r="A429" s="0" t="n">
        <v>1381</v>
      </c>
      <c r="B429" s="2" t="n">
        <v>45471</v>
      </c>
      <c r="C429" s="3" t="s">
        <v>16</v>
      </c>
      <c r="D429" s="3" t="s">
        <v>17</v>
      </c>
      <c r="E429" s="3" t="s">
        <v>40</v>
      </c>
      <c r="F429" s="3" t="s">
        <v>19</v>
      </c>
      <c r="G429" s="0" t="n">
        <v>35</v>
      </c>
      <c r="H429" s="4" t="n">
        <v>225</v>
      </c>
      <c r="I429" s="4" t="n">
        <v>162.68</v>
      </c>
      <c r="J429" s="4" t="n">
        <f aca="false">G429*H429</f>
        <v>7875</v>
      </c>
      <c r="K429" s="4" t="n">
        <f aca="false">G429*I429</f>
        <v>5693.8</v>
      </c>
      <c r="L429" s="4" t="n">
        <f aca="false">J429-K429</f>
        <v>2181.2</v>
      </c>
    </row>
    <row r="430" customFormat="false" ht="15" hidden="false" customHeight="false" outlineLevel="0" collapsed="false">
      <c r="A430" s="0" t="n">
        <v>1758</v>
      </c>
      <c r="B430" s="2" t="n">
        <v>45471</v>
      </c>
      <c r="C430" s="3" t="s">
        <v>23</v>
      </c>
      <c r="D430" s="3" t="s">
        <v>13</v>
      </c>
      <c r="E430" s="3" t="s">
        <v>24</v>
      </c>
      <c r="F430" s="3" t="s">
        <v>36</v>
      </c>
      <c r="G430" s="0" t="n">
        <v>30</v>
      </c>
      <c r="H430" s="4" t="n">
        <v>40.57</v>
      </c>
      <c r="I430" s="4" t="n">
        <v>27.37</v>
      </c>
      <c r="J430" s="4" t="n">
        <f aca="false">G430*H430</f>
        <v>1217.1</v>
      </c>
      <c r="K430" s="4" t="n">
        <f aca="false">G430*I430</f>
        <v>821.1</v>
      </c>
      <c r="L430" s="4" t="n">
        <f aca="false">J430-K430</f>
        <v>396</v>
      </c>
    </row>
    <row r="431" customFormat="false" ht="15" hidden="false" customHeight="false" outlineLevel="0" collapsed="false">
      <c r="A431" s="0" t="n">
        <v>1900</v>
      </c>
      <c r="B431" s="2" t="n">
        <v>45472</v>
      </c>
      <c r="C431" s="3" t="s">
        <v>26</v>
      </c>
      <c r="D431" s="3" t="s">
        <v>13</v>
      </c>
      <c r="E431" s="3" t="s">
        <v>45</v>
      </c>
      <c r="F431" s="3" t="s">
        <v>15</v>
      </c>
      <c r="G431" s="0" t="n">
        <v>26</v>
      </c>
      <c r="H431" s="4" t="n">
        <v>52.81</v>
      </c>
      <c r="I431" s="4" t="n">
        <v>29.23</v>
      </c>
      <c r="J431" s="4" t="n">
        <f aca="false">G431*H431</f>
        <v>1373.06</v>
      </c>
      <c r="K431" s="4" t="n">
        <f aca="false">G431*I431</f>
        <v>759.98</v>
      </c>
      <c r="L431" s="4" t="n">
        <f aca="false">J431-K431</f>
        <v>613.08</v>
      </c>
    </row>
    <row r="432" customFormat="false" ht="15" hidden="false" customHeight="false" outlineLevel="0" collapsed="false">
      <c r="A432" s="0" t="n">
        <v>2350</v>
      </c>
      <c r="B432" s="2" t="n">
        <v>45472</v>
      </c>
      <c r="C432" s="3" t="s">
        <v>32</v>
      </c>
      <c r="D432" s="3" t="s">
        <v>20</v>
      </c>
      <c r="E432" s="3" t="s">
        <v>21</v>
      </c>
      <c r="F432" s="3" t="s">
        <v>19</v>
      </c>
      <c r="G432" s="0" t="n">
        <v>16</v>
      </c>
      <c r="H432" s="4" t="n">
        <v>41.57</v>
      </c>
      <c r="I432" s="4" t="n">
        <v>28.82</v>
      </c>
      <c r="J432" s="4" t="n">
        <f aca="false">G432*H432</f>
        <v>665.12</v>
      </c>
      <c r="K432" s="4" t="n">
        <f aca="false">G432*I432</f>
        <v>461.12</v>
      </c>
      <c r="L432" s="4" t="n">
        <f aca="false">J432-K432</f>
        <v>204</v>
      </c>
    </row>
    <row r="433" customFormat="false" ht="15" hidden="false" customHeight="false" outlineLevel="0" collapsed="false">
      <c r="A433" s="0" t="n">
        <v>1295</v>
      </c>
      <c r="B433" s="2" t="n">
        <v>45473</v>
      </c>
      <c r="C433" s="3" t="s">
        <v>26</v>
      </c>
      <c r="D433" s="3" t="s">
        <v>20</v>
      </c>
      <c r="E433" s="3" t="s">
        <v>42</v>
      </c>
      <c r="F433" s="3" t="s">
        <v>19</v>
      </c>
      <c r="G433" s="0" t="n">
        <v>39</v>
      </c>
      <c r="H433" s="4" t="n">
        <v>199.1</v>
      </c>
      <c r="I433" s="4" t="n">
        <v>104.73</v>
      </c>
      <c r="J433" s="4" t="n">
        <f aca="false">G433*H433</f>
        <v>7764.9</v>
      </c>
      <c r="K433" s="4" t="n">
        <f aca="false">G433*I433</f>
        <v>4084.47</v>
      </c>
      <c r="L433" s="4" t="n">
        <f aca="false">J433-K433</f>
        <v>3680.43</v>
      </c>
    </row>
    <row r="434" customFormat="false" ht="15" hidden="false" customHeight="false" outlineLevel="0" collapsed="false">
      <c r="A434" s="0" t="n">
        <v>1493</v>
      </c>
      <c r="B434" s="2" t="n">
        <v>45473</v>
      </c>
      <c r="C434" s="3" t="s">
        <v>23</v>
      </c>
      <c r="D434" s="3" t="s">
        <v>29</v>
      </c>
      <c r="E434" s="3" t="s">
        <v>30</v>
      </c>
      <c r="F434" s="3" t="s">
        <v>25</v>
      </c>
      <c r="G434" s="0" t="n">
        <v>20</v>
      </c>
      <c r="H434" s="4" t="n">
        <v>424.51</v>
      </c>
      <c r="I434" s="4" t="n">
        <v>301.75</v>
      </c>
      <c r="J434" s="4" t="n">
        <f aca="false">G434*H434</f>
        <v>8490.2</v>
      </c>
      <c r="K434" s="4" t="n">
        <f aca="false">G434*I434</f>
        <v>6035</v>
      </c>
      <c r="L434" s="4" t="n">
        <f aca="false">J434-K434</f>
        <v>2455.2</v>
      </c>
    </row>
    <row r="435" customFormat="false" ht="15" hidden="false" customHeight="false" outlineLevel="0" collapsed="false">
      <c r="A435" s="0" t="n">
        <v>1714</v>
      </c>
      <c r="B435" s="2" t="n">
        <v>45473</v>
      </c>
      <c r="C435" s="3" t="s">
        <v>26</v>
      </c>
      <c r="D435" s="3" t="s">
        <v>17</v>
      </c>
      <c r="E435" s="3" t="s">
        <v>18</v>
      </c>
      <c r="F435" s="3" t="s">
        <v>33</v>
      </c>
      <c r="G435" s="0" t="n">
        <v>13</v>
      </c>
      <c r="H435" s="4" t="n">
        <v>433.45</v>
      </c>
      <c r="I435" s="4" t="n">
        <v>316.57</v>
      </c>
      <c r="J435" s="4" t="n">
        <f aca="false">G435*H435</f>
        <v>5634.85</v>
      </c>
      <c r="K435" s="4" t="n">
        <f aca="false">G435*I435</f>
        <v>4115.41</v>
      </c>
      <c r="L435" s="4" t="n">
        <f aca="false">J435-K435</f>
        <v>1519.44</v>
      </c>
    </row>
    <row r="436" customFormat="false" ht="15" hidden="false" customHeight="false" outlineLevel="0" collapsed="false">
      <c r="A436" s="0" t="n">
        <v>1013</v>
      </c>
      <c r="B436" s="2" t="n">
        <v>45474</v>
      </c>
      <c r="C436" s="3" t="s">
        <v>16</v>
      </c>
      <c r="D436" s="3" t="s">
        <v>17</v>
      </c>
      <c r="E436" s="3" t="s">
        <v>40</v>
      </c>
      <c r="F436" s="3" t="s">
        <v>39</v>
      </c>
      <c r="G436" s="0" t="n">
        <v>10</v>
      </c>
      <c r="H436" s="4" t="n">
        <v>374.09</v>
      </c>
      <c r="I436" s="4" t="n">
        <v>272.94</v>
      </c>
      <c r="J436" s="4" t="n">
        <f aca="false">G436*H436</f>
        <v>3740.9</v>
      </c>
      <c r="K436" s="4" t="n">
        <f aca="false">G436*I436</f>
        <v>2729.4</v>
      </c>
      <c r="L436" s="4" t="n">
        <f aca="false">J436-K436</f>
        <v>1011.5</v>
      </c>
    </row>
    <row r="437" customFormat="false" ht="15" hidden="false" customHeight="false" outlineLevel="0" collapsed="false">
      <c r="A437" s="0" t="n">
        <v>1735</v>
      </c>
      <c r="B437" s="2" t="n">
        <v>45474</v>
      </c>
      <c r="C437" s="3" t="s">
        <v>12</v>
      </c>
      <c r="D437" s="3" t="s">
        <v>17</v>
      </c>
      <c r="E437" s="3" t="s">
        <v>44</v>
      </c>
      <c r="F437" s="3" t="s">
        <v>15</v>
      </c>
      <c r="G437" s="0" t="n">
        <v>7</v>
      </c>
      <c r="H437" s="4" t="n">
        <v>77.63</v>
      </c>
      <c r="I437" s="4" t="n">
        <v>40.97</v>
      </c>
      <c r="J437" s="4" t="n">
        <f aca="false">G437*H437</f>
        <v>543.41</v>
      </c>
      <c r="K437" s="4" t="n">
        <f aca="false">G437*I437</f>
        <v>286.79</v>
      </c>
      <c r="L437" s="4" t="n">
        <f aca="false">J437-K437</f>
        <v>256.62</v>
      </c>
    </row>
    <row r="438" customFormat="false" ht="15" hidden="false" customHeight="false" outlineLevel="0" collapsed="false">
      <c r="A438" s="0" t="n">
        <v>2204</v>
      </c>
      <c r="B438" s="2" t="n">
        <v>45475</v>
      </c>
      <c r="C438" s="3" t="s">
        <v>12</v>
      </c>
      <c r="D438" s="3" t="s">
        <v>17</v>
      </c>
      <c r="E438" s="3" t="s">
        <v>18</v>
      </c>
      <c r="F438" s="3" t="s">
        <v>25</v>
      </c>
      <c r="G438" s="0" t="n">
        <v>22</v>
      </c>
      <c r="H438" s="4" t="n">
        <v>134.85</v>
      </c>
      <c r="I438" s="4" t="n">
        <v>80.49</v>
      </c>
      <c r="J438" s="4" t="n">
        <f aca="false">G438*H438</f>
        <v>2966.7</v>
      </c>
      <c r="K438" s="4" t="n">
        <f aca="false">G438*I438</f>
        <v>1770.78</v>
      </c>
      <c r="L438" s="4" t="n">
        <f aca="false">J438-K438</f>
        <v>1195.92</v>
      </c>
    </row>
    <row r="439" customFormat="false" ht="15" hidden="false" customHeight="false" outlineLevel="0" collapsed="false">
      <c r="A439" s="0" t="n">
        <v>1287</v>
      </c>
      <c r="B439" s="2" t="n">
        <v>45476</v>
      </c>
      <c r="C439" s="3" t="s">
        <v>26</v>
      </c>
      <c r="D439" s="3" t="s">
        <v>29</v>
      </c>
      <c r="E439" s="3" t="s">
        <v>37</v>
      </c>
      <c r="F439" s="3" t="s">
        <v>22</v>
      </c>
      <c r="G439" s="0" t="n">
        <v>18</v>
      </c>
      <c r="H439" s="4" t="n">
        <v>302.36</v>
      </c>
      <c r="I439" s="4" t="n">
        <v>226.74</v>
      </c>
      <c r="J439" s="4" t="n">
        <f aca="false">G439*H439</f>
        <v>5442.48</v>
      </c>
      <c r="K439" s="4" t="n">
        <f aca="false">G439*I439</f>
        <v>4081.32</v>
      </c>
      <c r="L439" s="4" t="n">
        <f aca="false">J439-K439</f>
        <v>1361.16</v>
      </c>
    </row>
    <row r="440" customFormat="false" ht="15" hidden="false" customHeight="false" outlineLevel="0" collapsed="false">
      <c r="A440" s="0" t="n">
        <v>1863</v>
      </c>
      <c r="B440" s="2" t="n">
        <v>45476</v>
      </c>
      <c r="C440" s="3" t="s">
        <v>32</v>
      </c>
      <c r="D440" s="3" t="s">
        <v>17</v>
      </c>
      <c r="E440" s="3" t="s">
        <v>40</v>
      </c>
      <c r="F440" s="3" t="s">
        <v>19</v>
      </c>
      <c r="G440" s="0" t="n">
        <v>12</v>
      </c>
      <c r="H440" s="4" t="n">
        <v>746.7</v>
      </c>
      <c r="I440" s="4" t="n">
        <v>452.95</v>
      </c>
      <c r="J440" s="4" t="n">
        <f aca="false">G440*H440</f>
        <v>8960.4</v>
      </c>
      <c r="K440" s="4" t="n">
        <f aca="false">G440*I440</f>
        <v>5435.4</v>
      </c>
      <c r="L440" s="4" t="n">
        <f aca="false">J440-K440</f>
        <v>3525</v>
      </c>
    </row>
    <row r="441" customFormat="false" ht="15" hidden="false" customHeight="false" outlineLevel="0" collapsed="false">
      <c r="A441" s="0" t="n">
        <v>2787</v>
      </c>
      <c r="B441" s="2" t="n">
        <v>45476</v>
      </c>
      <c r="C441" s="3" t="s">
        <v>12</v>
      </c>
      <c r="D441" s="3" t="s">
        <v>29</v>
      </c>
      <c r="E441" s="3" t="s">
        <v>30</v>
      </c>
      <c r="F441" s="3" t="s">
        <v>33</v>
      </c>
      <c r="G441" s="0" t="n">
        <v>25</v>
      </c>
      <c r="H441" s="4" t="n">
        <v>379.3</v>
      </c>
      <c r="I441" s="4" t="n">
        <v>258.37</v>
      </c>
      <c r="J441" s="4" t="n">
        <f aca="false">G441*H441</f>
        <v>9482.5</v>
      </c>
      <c r="K441" s="4" t="n">
        <f aca="false">G441*I441</f>
        <v>6459.25</v>
      </c>
      <c r="L441" s="4" t="n">
        <f aca="false">J441-K441</f>
        <v>3023.25</v>
      </c>
    </row>
    <row r="442" customFormat="false" ht="15" hidden="false" customHeight="false" outlineLevel="0" collapsed="false">
      <c r="A442" s="0" t="n">
        <v>2693</v>
      </c>
      <c r="B442" s="2" t="n">
        <v>45477</v>
      </c>
      <c r="C442" s="3" t="s">
        <v>12</v>
      </c>
      <c r="D442" s="3" t="s">
        <v>20</v>
      </c>
      <c r="E442" s="3" t="s">
        <v>34</v>
      </c>
      <c r="F442" s="3" t="s">
        <v>25</v>
      </c>
      <c r="G442" s="0" t="n">
        <v>39</v>
      </c>
      <c r="H442" s="4" t="n">
        <v>274.91</v>
      </c>
      <c r="I442" s="4" t="n">
        <v>191.45</v>
      </c>
      <c r="J442" s="4" t="n">
        <f aca="false">G442*H442</f>
        <v>10721.49</v>
      </c>
      <c r="K442" s="4" t="n">
        <f aca="false">G442*I442</f>
        <v>7466.55</v>
      </c>
      <c r="L442" s="4" t="n">
        <f aca="false">J442-K442</f>
        <v>3254.94</v>
      </c>
    </row>
    <row r="443" customFormat="false" ht="15" hidden="false" customHeight="false" outlineLevel="0" collapsed="false">
      <c r="A443" s="0" t="n">
        <v>1051</v>
      </c>
      <c r="B443" s="2" t="n">
        <v>45478</v>
      </c>
      <c r="C443" s="3" t="s">
        <v>26</v>
      </c>
      <c r="D443" s="3" t="s">
        <v>29</v>
      </c>
      <c r="E443" s="3" t="s">
        <v>41</v>
      </c>
      <c r="F443" s="3" t="s">
        <v>33</v>
      </c>
      <c r="G443" s="0" t="n">
        <v>14</v>
      </c>
      <c r="H443" s="4" t="n">
        <v>449.45</v>
      </c>
      <c r="I443" s="4" t="n">
        <v>331.6</v>
      </c>
      <c r="J443" s="4" t="n">
        <f aca="false">G443*H443</f>
        <v>6292.3</v>
      </c>
      <c r="K443" s="4" t="n">
        <f aca="false">G443*I443</f>
        <v>4642.4</v>
      </c>
      <c r="L443" s="4" t="n">
        <f aca="false">J443-K443</f>
        <v>1649.9</v>
      </c>
    </row>
    <row r="444" customFormat="false" ht="15" hidden="false" customHeight="false" outlineLevel="0" collapsed="false">
      <c r="A444" s="0" t="n">
        <v>1159</v>
      </c>
      <c r="B444" s="2" t="n">
        <v>45478</v>
      </c>
      <c r="C444" s="3" t="s">
        <v>12</v>
      </c>
      <c r="D444" s="3" t="s">
        <v>20</v>
      </c>
      <c r="E444" s="3" t="s">
        <v>42</v>
      </c>
      <c r="F444" s="3" t="s">
        <v>25</v>
      </c>
      <c r="G444" s="0" t="n">
        <v>34</v>
      </c>
      <c r="H444" s="4" t="n">
        <v>218.61</v>
      </c>
      <c r="I444" s="4" t="n">
        <v>128.22</v>
      </c>
      <c r="J444" s="4" t="n">
        <f aca="false">G444*H444</f>
        <v>7432.74</v>
      </c>
      <c r="K444" s="4" t="n">
        <f aca="false">G444*I444</f>
        <v>4359.48</v>
      </c>
      <c r="L444" s="4" t="n">
        <f aca="false">J444-K444</f>
        <v>3073.26</v>
      </c>
    </row>
    <row r="445" customFormat="false" ht="15" hidden="false" customHeight="false" outlineLevel="0" collapsed="false">
      <c r="A445" s="0" t="n">
        <v>1665</v>
      </c>
      <c r="B445" s="2" t="n">
        <v>45478</v>
      </c>
      <c r="C445" s="3" t="s">
        <v>23</v>
      </c>
      <c r="D445" s="3" t="s">
        <v>17</v>
      </c>
      <c r="E445" s="3" t="s">
        <v>27</v>
      </c>
      <c r="F445" s="3" t="s">
        <v>36</v>
      </c>
      <c r="G445" s="0" t="n">
        <v>20</v>
      </c>
      <c r="H445" s="4" t="n">
        <v>323.71</v>
      </c>
      <c r="I445" s="4" t="n">
        <v>227.23</v>
      </c>
      <c r="J445" s="4" t="n">
        <f aca="false">G445*H445</f>
        <v>6474.2</v>
      </c>
      <c r="K445" s="4" t="n">
        <f aca="false">G445*I445</f>
        <v>4544.6</v>
      </c>
      <c r="L445" s="4" t="n">
        <f aca="false">J445-K445</f>
        <v>1929.6</v>
      </c>
    </row>
    <row r="446" customFormat="false" ht="15" hidden="false" customHeight="false" outlineLevel="0" collapsed="false">
      <c r="A446" s="0" t="n">
        <v>2149</v>
      </c>
      <c r="B446" s="2" t="n">
        <v>45478</v>
      </c>
      <c r="C446" s="3" t="s">
        <v>16</v>
      </c>
      <c r="D446" s="3" t="s">
        <v>29</v>
      </c>
      <c r="E446" s="3" t="s">
        <v>41</v>
      </c>
      <c r="F446" s="3" t="s">
        <v>36</v>
      </c>
      <c r="G446" s="0" t="n">
        <v>2</v>
      </c>
      <c r="H446" s="4" t="n">
        <v>341.95</v>
      </c>
      <c r="I446" s="4" t="n">
        <v>171.7</v>
      </c>
      <c r="J446" s="4" t="n">
        <f aca="false">G446*H446</f>
        <v>683.9</v>
      </c>
      <c r="K446" s="4" t="n">
        <f aca="false">G446*I446</f>
        <v>343.4</v>
      </c>
      <c r="L446" s="4" t="n">
        <f aca="false">J446-K446</f>
        <v>340.5</v>
      </c>
    </row>
    <row r="447" customFormat="false" ht="15" hidden="false" customHeight="false" outlineLevel="0" collapsed="false">
      <c r="A447" s="0" t="n">
        <v>2172</v>
      </c>
      <c r="B447" s="2" t="n">
        <v>45478</v>
      </c>
      <c r="C447" s="3" t="s">
        <v>23</v>
      </c>
      <c r="D447" s="3" t="s">
        <v>13</v>
      </c>
      <c r="E447" s="3" t="s">
        <v>24</v>
      </c>
      <c r="F447" s="3" t="s">
        <v>39</v>
      </c>
      <c r="G447" s="0" t="n">
        <v>2</v>
      </c>
      <c r="H447" s="4" t="n">
        <v>45.44</v>
      </c>
      <c r="I447" s="4" t="n">
        <v>29.11</v>
      </c>
      <c r="J447" s="4" t="n">
        <f aca="false">G447*H447</f>
        <v>90.88</v>
      </c>
      <c r="K447" s="4" t="n">
        <f aca="false">G447*I447</f>
        <v>58.22</v>
      </c>
      <c r="L447" s="4" t="n">
        <f aca="false">J447-K447</f>
        <v>32.66</v>
      </c>
    </row>
    <row r="448" customFormat="false" ht="15" hidden="false" customHeight="false" outlineLevel="0" collapsed="false">
      <c r="A448" s="0" t="n">
        <v>2500</v>
      </c>
      <c r="B448" s="2" t="n">
        <v>45478</v>
      </c>
      <c r="C448" s="3" t="s">
        <v>26</v>
      </c>
      <c r="D448" s="3" t="s">
        <v>13</v>
      </c>
      <c r="E448" s="3" t="s">
        <v>31</v>
      </c>
      <c r="F448" s="3" t="s">
        <v>36</v>
      </c>
      <c r="G448" s="0" t="n">
        <v>11</v>
      </c>
      <c r="H448" s="4" t="n">
        <v>22.39</v>
      </c>
      <c r="I448" s="4" t="n">
        <v>15.04</v>
      </c>
      <c r="J448" s="4" t="n">
        <f aca="false">G448*H448</f>
        <v>246.29</v>
      </c>
      <c r="K448" s="4" t="n">
        <f aca="false">G448*I448</f>
        <v>165.44</v>
      </c>
      <c r="L448" s="4" t="n">
        <f aca="false">J448-K448</f>
        <v>80.85</v>
      </c>
    </row>
    <row r="449" customFormat="false" ht="15" hidden="false" customHeight="false" outlineLevel="0" collapsed="false">
      <c r="A449" s="0" t="n">
        <v>1776</v>
      </c>
      <c r="B449" s="2" t="n">
        <v>45479</v>
      </c>
      <c r="C449" s="3" t="s">
        <v>23</v>
      </c>
      <c r="D449" s="3" t="s">
        <v>17</v>
      </c>
      <c r="E449" s="3" t="s">
        <v>27</v>
      </c>
      <c r="F449" s="3" t="s">
        <v>28</v>
      </c>
      <c r="G449" s="0" t="n">
        <v>5</v>
      </c>
      <c r="H449" s="4" t="n">
        <v>861.08</v>
      </c>
      <c r="I449" s="4" t="n">
        <v>457.57</v>
      </c>
      <c r="J449" s="4" t="n">
        <f aca="false">G449*H449</f>
        <v>4305.4</v>
      </c>
      <c r="K449" s="4" t="n">
        <f aca="false">G449*I449</f>
        <v>2287.85</v>
      </c>
      <c r="L449" s="4" t="n">
        <f aca="false">J449-K449</f>
        <v>2017.55</v>
      </c>
    </row>
    <row r="450" customFormat="false" ht="15" hidden="false" customHeight="false" outlineLevel="0" collapsed="false">
      <c r="A450" s="0" t="n">
        <v>1366</v>
      </c>
      <c r="B450" s="2" t="n">
        <v>45480</v>
      </c>
      <c r="C450" s="3" t="s">
        <v>16</v>
      </c>
      <c r="D450" s="3" t="s">
        <v>17</v>
      </c>
      <c r="E450" s="3" t="s">
        <v>35</v>
      </c>
      <c r="F450" s="3" t="s">
        <v>19</v>
      </c>
      <c r="G450" s="0" t="n">
        <v>27</v>
      </c>
      <c r="H450" s="4" t="n">
        <v>516.19</v>
      </c>
      <c r="I450" s="4" t="n">
        <v>343.7</v>
      </c>
      <c r="J450" s="4" t="n">
        <f aca="false">G450*H450</f>
        <v>13937.13</v>
      </c>
      <c r="K450" s="4" t="n">
        <f aca="false">G450*I450</f>
        <v>9279.9</v>
      </c>
      <c r="L450" s="4" t="n">
        <f aca="false">J450-K450</f>
        <v>4657.23</v>
      </c>
    </row>
    <row r="451" customFormat="false" ht="15" hidden="false" customHeight="false" outlineLevel="0" collapsed="false">
      <c r="A451" s="0" t="n">
        <v>2206</v>
      </c>
      <c r="B451" s="2" t="n">
        <v>45480</v>
      </c>
      <c r="C451" s="3" t="s">
        <v>32</v>
      </c>
      <c r="D451" s="3" t="s">
        <v>20</v>
      </c>
      <c r="E451" s="3" t="s">
        <v>34</v>
      </c>
      <c r="F451" s="3" t="s">
        <v>39</v>
      </c>
      <c r="G451" s="0" t="n">
        <v>23</v>
      </c>
      <c r="H451" s="4" t="n">
        <v>230.51</v>
      </c>
      <c r="I451" s="4" t="n">
        <v>145.44</v>
      </c>
      <c r="J451" s="4" t="n">
        <f aca="false">G451*H451</f>
        <v>5301.73</v>
      </c>
      <c r="K451" s="4" t="n">
        <f aca="false">G451*I451</f>
        <v>3345.12</v>
      </c>
      <c r="L451" s="4" t="n">
        <f aca="false">J451-K451</f>
        <v>1956.61</v>
      </c>
    </row>
    <row r="452" customFormat="false" ht="15" hidden="false" customHeight="false" outlineLevel="0" collapsed="false">
      <c r="A452" s="0" t="n">
        <v>2413</v>
      </c>
      <c r="B452" s="2" t="n">
        <v>45480</v>
      </c>
      <c r="C452" s="3" t="s">
        <v>16</v>
      </c>
      <c r="D452" s="3" t="s">
        <v>17</v>
      </c>
      <c r="E452" s="3" t="s">
        <v>44</v>
      </c>
      <c r="F452" s="3" t="s">
        <v>19</v>
      </c>
      <c r="G452" s="0" t="n">
        <v>3</v>
      </c>
      <c r="H452" s="4" t="n">
        <v>253.92</v>
      </c>
      <c r="I452" s="4" t="n">
        <v>152.02</v>
      </c>
      <c r="J452" s="4" t="n">
        <f aca="false">G452*H452</f>
        <v>761.76</v>
      </c>
      <c r="K452" s="4" t="n">
        <f aca="false">G452*I452</f>
        <v>456.06</v>
      </c>
      <c r="L452" s="4" t="n">
        <f aca="false">J452-K452</f>
        <v>305.7</v>
      </c>
    </row>
    <row r="453" customFormat="false" ht="15" hidden="false" customHeight="false" outlineLevel="0" collapsed="false">
      <c r="A453" s="0" t="n">
        <v>1604</v>
      </c>
      <c r="B453" s="2" t="n">
        <v>45481</v>
      </c>
      <c r="C453" s="3" t="s">
        <v>23</v>
      </c>
      <c r="D453" s="3" t="s">
        <v>17</v>
      </c>
      <c r="E453" s="3" t="s">
        <v>44</v>
      </c>
      <c r="F453" s="3" t="s">
        <v>33</v>
      </c>
      <c r="G453" s="0" t="n">
        <v>25</v>
      </c>
      <c r="H453" s="4" t="n">
        <v>416.24</v>
      </c>
      <c r="I453" s="4" t="n">
        <v>240.82</v>
      </c>
      <c r="J453" s="4" t="n">
        <f aca="false">G453*H453</f>
        <v>10406</v>
      </c>
      <c r="K453" s="4" t="n">
        <f aca="false">G453*I453</f>
        <v>6020.5</v>
      </c>
      <c r="L453" s="4" t="n">
        <f aca="false">J453-K453</f>
        <v>4385.5</v>
      </c>
    </row>
    <row r="454" customFormat="false" ht="15" hidden="false" customHeight="false" outlineLevel="0" collapsed="false">
      <c r="A454" s="0" t="n">
        <v>1185</v>
      </c>
      <c r="B454" s="2" t="n">
        <v>45482</v>
      </c>
      <c r="C454" s="3" t="s">
        <v>26</v>
      </c>
      <c r="D454" s="3" t="s">
        <v>29</v>
      </c>
      <c r="E454" s="3" t="s">
        <v>43</v>
      </c>
      <c r="F454" s="3" t="s">
        <v>39</v>
      </c>
      <c r="G454" s="0" t="n">
        <v>12</v>
      </c>
      <c r="H454" s="4" t="n">
        <v>250.31</v>
      </c>
      <c r="I454" s="4" t="n">
        <v>145.68</v>
      </c>
      <c r="J454" s="4" t="n">
        <f aca="false">G454*H454</f>
        <v>3003.72</v>
      </c>
      <c r="K454" s="4" t="n">
        <f aca="false">G454*I454</f>
        <v>1748.16</v>
      </c>
      <c r="L454" s="4" t="n">
        <f aca="false">J454-K454</f>
        <v>1255.56</v>
      </c>
    </row>
    <row r="455" customFormat="false" ht="15" hidden="false" customHeight="false" outlineLevel="0" collapsed="false">
      <c r="A455" s="0" t="n">
        <v>1790</v>
      </c>
      <c r="B455" s="2" t="n">
        <v>45482</v>
      </c>
      <c r="C455" s="3" t="s">
        <v>12</v>
      </c>
      <c r="D455" s="3" t="s">
        <v>17</v>
      </c>
      <c r="E455" s="3" t="s">
        <v>44</v>
      </c>
      <c r="F455" s="3" t="s">
        <v>39</v>
      </c>
      <c r="G455" s="0" t="n">
        <v>17</v>
      </c>
      <c r="H455" s="4" t="n">
        <v>885.68</v>
      </c>
      <c r="I455" s="4" t="n">
        <v>467.02</v>
      </c>
      <c r="J455" s="4" t="n">
        <f aca="false">G455*H455</f>
        <v>15056.56</v>
      </c>
      <c r="K455" s="4" t="n">
        <f aca="false">G455*I455</f>
        <v>7939.34</v>
      </c>
      <c r="L455" s="4" t="n">
        <f aca="false">J455-K455</f>
        <v>7117.22</v>
      </c>
    </row>
    <row r="456" customFormat="false" ht="15" hidden="false" customHeight="false" outlineLevel="0" collapsed="false">
      <c r="A456" s="0" t="n">
        <v>1837</v>
      </c>
      <c r="B456" s="2" t="n">
        <v>45482</v>
      </c>
      <c r="C456" s="3" t="s">
        <v>23</v>
      </c>
      <c r="D456" s="3" t="s">
        <v>29</v>
      </c>
      <c r="E456" s="3" t="s">
        <v>30</v>
      </c>
      <c r="F456" s="3" t="s">
        <v>25</v>
      </c>
      <c r="G456" s="0" t="n">
        <v>28</v>
      </c>
      <c r="H456" s="4" t="n">
        <v>296.01</v>
      </c>
      <c r="I456" s="4" t="n">
        <v>157.17</v>
      </c>
      <c r="J456" s="4" t="n">
        <f aca="false">G456*H456</f>
        <v>8288.28</v>
      </c>
      <c r="K456" s="4" t="n">
        <f aca="false">G456*I456</f>
        <v>4400.76</v>
      </c>
      <c r="L456" s="4" t="n">
        <f aca="false">J456-K456</f>
        <v>3887.52</v>
      </c>
    </row>
    <row r="457" customFormat="false" ht="15" hidden="false" customHeight="false" outlineLevel="0" collapsed="false">
      <c r="A457" s="0" t="n">
        <v>2541</v>
      </c>
      <c r="B457" s="2" t="n">
        <v>45482</v>
      </c>
      <c r="C457" s="3" t="s">
        <v>26</v>
      </c>
      <c r="D457" s="3" t="s">
        <v>29</v>
      </c>
      <c r="E457" s="3" t="s">
        <v>37</v>
      </c>
      <c r="F457" s="3" t="s">
        <v>19</v>
      </c>
      <c r="G457" s="0" t="n">
        <v>10</v>
      </c>
      <c r="H457" s="4" t="n">
        <v>338.22</v>
      </c>
      <c r="I457" s="4" t="n">
        <v>243.65</v>
      </c>
      <c r="J457" s="4" t="n">
        <f aca="false">G457*H457</f>
        <v>3382.2</v>
      </c>
      <c r="K457" s="4" t="n">
        <f aca="false">G457*I457</f>
        <v>2436.5</v>
      </c>
      <c r="L457" s="4" t="n">
        <f aca="false">J457-K457</f>
        <v>945.7</v>
      </c>
    </row>
    <row r="458" customFormat="false" ht="15" hidden="false" customHeight="false" outlineLevel="0" collapsed="false">
      <c r="A458" s="0" t="n">
        <v>1844</v>
      </c>
      <c r="B458" s="2" t="n">
        <v>45483</v>
      </c>
      <c r="C458" s="3" t="s">
        <v>12</v>
      </c>
      <c r="D458" s="3" t="s">
        <v>29</v>
      </c>
      <c r="E458" s="3" t="s">
        <v>30</v>
      </c>
      <c r="F458" s="3" t="s">
        <v>15</v>
      </c>
      <c r="G458" s="0" t="n">
        <v>16</v>
      </c>
      <c r="H458" s="4" t="n">
        <v>279.03</v>
      </c>
      <c r="I458" s="4" t="n">
        <v>146.7</v>
      </c>
      <c r="J458" s="4" t="n">
        <f aca="false">G458*H458</f>
        <v>4464.48</v>
      </c>
      <c r="K458" s="4" t="n">
        <f aca="false">G458*I458</f>
        <v>2347.2</v>
      </c>
      <c r="L458" s="4" t="n">
        <f aca="false">J458-K458</f>
        <v>2117.28</v>
      </c>
    </row>
    <row r="459" customFormat="false" ht="15" hidden="false" customHeight="false" outlineLevel="0" collapsed="false">
      <c r="A459" s="0" t="n">
        <v>2455</v>
      </c>
      <c r="B459" s="2" t="n">
        <v>45483</v>
      </c>
      <c r="C459" s="3" t="s">
        <v>32</v>
      </c>
      <c r="D459" s="3" t="s">
        <v>13</v>
      </c>
      <c r="E459" s="3" t="s">
        <v>45</v>
      </c>
      <c r="F459" s="3" t="s">
        <v>25</v>
      </c>
      <c r="G459" s="0" t="n">
        <v>31</v>
      </c>
      <c r="H459" s="4" t="n">
        <v>26.44</v>
      </c>
      <c r="I459" s="4" t="n">
        <v>17.03</v>
      </c>
      <c r="J459" s="4" t="n">
        <f aca="false">G459*H459</f>
        <v>819.64</v>
      </c>
      <c r="K459" s="4" t="n">
        <f aca="false">G459*I459</f>
        <v>527.93</v>
      </c>
      <c r="L459" s="4" t="n">
        <f aca="false">J459-K459</f>
        <v>291.71</v>
      </c>
    </row>
    <row r="460" customFormat="false" ht="15" hidden="false" customHeight="false" outlineLevel="0" collapsed="false">
      <c r="A460" s="0" t="n">
        <v>1597</v>
      </c>
      <c r="B460" s="2" t="n">
        <v>45484</v>
      </c>
      <c r="C460" s="3" t="s">
        <v>16</v>
      </c>
      <c r="D460" s="3" t="s">
        <v>17</v>
      </c>
      <c r="E460" s="3" t="s">
        <v>18</v>
      </c>
      <c r="F460" s="3" t="s">
        <v>28</v>
      </c>
      <c r="G460" s="0" t="n">
        <v>5</v>
      </c>
      <c r="H460" s="4" t="n">
        <v>157.92</v>
      </c>
      <c r="I460" s="4" t="n">
        <v>106.24</v>
      </c>
      <c r="J460" s="4" t="n">
        <f aca="false">G460*H460</f>
        <v>789.6</v>
      </c>
      <c r="K460" s="4" t="n">
        <f aca="false">G460*I460</f>
        <v>531.2</v>
      </c>
      <c r="L460" s="4" t="n">
        <f aca="false">J460-K460</f>
        <v>258.4</v>
      </c>
    </row>
    <row r="461" customFormat="false" ht="15" hidden="false" customHeight="false" outlineLevel="0" collapsed="false">
      <c r="A461" s="0" t="n">
        <v>1796</v>
      </c>
      <c r="B461" s="2" t="n">
        <v>45484</v>
      </c>
      <c r="C461" s="3" t="s">
        <v>26</v>
      </c>
      <c r="D461" s="3" t="s">
        <v>29</v>
      </c>
      <c r="E461" s="3" t="s">
        <v>30</v>
      </c>
      <c r="F461" s="3" t="s">
        <v>33</v>
      </c>
      <c r="G461" s="0" t="n">
        <v>3</v>
      </c>
      <c r="H461" s="4" t="n">
        <v>364.73</v>
      </c>
      <c r="I461" s="4" t="n">
        <v>226.55</v>
      </c>
      <c r="J461" s="4" t="n">
        <f aca="false">G461*H461</f>
        <v>1094.19</v>
      </c>
      <c r="K461" s="4" t="n">
        <f aca="false">G461*I461</f>
        <v>679.65</v>
      </c>
      <c r="L461" s="4" t="n">
        <f aca="false">J461-K461</f>
        <v>414.54</v>
      </c>
    </row>
    <row r="462" customFormat="false" ht="15" hidden="false" customHeight="false" outlineLevel="0" collapsed="false">
      <c r="A462" s="0" t="n">
        <v>1885</v>
      </c>
      <c r="B462" s="2" t="n">
        <v>45484</v>
      </c>
      <c r="C462" s="3" t="s">
        <v>16</v>
      </c>
      <c r="D462" s="3" t="s">
        <v>13</v>
      </c>
      <c r="E462" s="3" t="s">
        <v>45</v>
      </c>
      <c r="F462" s="3" t="s">
        <v>39</v>
      </c>
      <c r="G462" s="0" t="n">
        <v>18</v>
      </c>
      <c r="H462" s="4" t="n">
        <v>35.5</v>
      </c>
      <c r="I462" s="4" t="n">
        <v>22.04</v>
      </c>
      <c r="J462" s="4" t="n">
        <f aca="false">G462*H462</f>
        <v>639</v>
      </c>
      <c r="K462" s="4" t="n">
        <f aca="false">G462*I462</f>
        <v>396.72</v>
      </c>
      <c r="L462" s="4" t="n">
        <f aca="false">J462-K462</f>
        <v>242.28</v>
      </c>
    </row>
    <row r="463" customFormat="false" ht="15" hidden="false" customHeight="false" outlineLevel="0" collapsed="false">
      <c r="A463" s="0" t="n">
        <v>2451</v>
      </c>
      <c r="B463" s="2" t="n">
        <v>45484</v>
      </c>
      <c r="C463" s="3" t="s">
        <v>16</v>
      </c>
      <c r="D463" s="3" t="s">
        <v>17</v>
      </c>
      <c r="E463" s="3" t="s">
        <v>18</v>
      </c>
      <c r="F463" s="3" t="s">
        <v>15</v>
      </c>
      <c r="G463" s="0" t="n">
        <v>16</v>
      </c>
      <c r="H463" s="4" t="n">
        <v>190.08</v>
      </c>
      <c r="I463" s="4" t="n">
        <v>109.07</v>
      </c>
      <c r="J463" s="4" t="n">
        <f aca="false">G463*H463</f>
        <v>3041.28</v>
      </c>
      <c r="K463" s="4" t="n">
        <f aca="false">G463*I463</f>
        <v>1745.12</v>
      </c>
      <c r="L463" s="4" t="n">
        <f aca="false">J463-K463</f>
        <v>1296.16</v>
      </c>
    </row>
    <row r="464" customFormat="false" ht="15" hidden="false" customHeight="false" outlineLevel="0" collapsed="false">
      <c r="A464" s="0" t="n">
        <v>2548</v>
      </c>
      <c r="B464" s="2" t="n">
        <v>45484</v>
      </c>
      <c r="C464" s="3" t="s">
        <v>12</v>
      </c>
      <c r="D464" s="3" t="s">
        <v>17</v>
      </c>
      <c r="E464" s="3" t="s">
        <v>27</v>
      </c>
      <c r="F464" s="3" t="s">
        <v>15</v>
      </c>
      <c r="G464" s="0" t="n">
        <v>36</v>
      </c>
      <c r="H464" s="4" t="n">
        <v>470.71</v>
      </c>
      <c r="I464" s="4" t="n">
        <v>294.6</v>
      </c>
      <c r="J464" s="4" t="n">
        <f aca="false">G464*H464</f>
        <v>16945.56</v>
      </c>
      <c r="K464" s="4" t="n">
        <f aca="false">G464*I464</f>
        <v>10605.6</v>
      </c>
      <c r="L464" s="4" t="n">
        <f aca="false">J464-K464</f>
        <v>6339.96</v>
      </c>
    </row>
    <row r="465" customFormat="false" ht="15" hidden="false" customHeight="false" outlineLevel="0" collapsed="false">
      <c r="A465" s="0" t="n">
        <v>1166</v>
      </c>
      <c r="B465" s="2" t="n">
        <v>45486</v>
      </c>
      <c r="C465" s="3" t="s">
        <v>12</v>
      </c>
      <c r="D465" s="3" t="s">
        <v>20</v>
      </c>
      <c r="E465" s="3" t="s">
        <v>21</v>
      </c>
      <c r="F465" s="3" t="s">
        <v>28</v>
      </c>
      <c r="G465" s="0" t="n">
        <v>20</v>
      </c>
      <c r="H465" s="4" t="n">
        <v>148.02</v>
      </c>
      <c r="I465" s="4" t="n">
        <v>82.92</v>
      </c>
      <c r="J465" s="4" t="n">
        <f aca="false">G465*H465</f>
        <v>2960.4</v>
      </c>
      <c r="K465" s="4" t="n">
        <f aca="false">G465*I465</f>
        <v>1658.4</v>
      </c>
      <c r="L465" s="4" t="n">
        <f aca="false">J465-K465</f>
        <v>1302</v>
      </c>
    </row>
    <row r="466" customFormat="false" ht="15" hidden="false" customHeight="false" outlineLevel="0" collapsed="false">
      <c r="A466" s="0" t="n">
        <v>1203</v>
      </c>
      <c r="B466" s="2" t="n">
        <v>45487</v>
      </c>
      <c r="C466" s="3" t="s">
        <v>26</v>
      </c>
      <c r="D466" s="3" t="s">
        <v>29</v>
      </c>
      <c r="E466" s="3" t="s">
        <v>41</v>
      </c>
      <c r="F466" s="3" t="s">
        <v>22</v>
      </c>
      <c r="G466" s="0" t="n">
        <v>5</v>
      </c>
      <c r="H466" s="4" t="n">
        <v>384.21</v>
      </c>
      <c r="I466" s="4" t="n">
        <v>238.15</v>
      </c>
      <c r="J466" s="4" t="n">
        <f aca="false">G466*H466</f>
        <v>1921.05</v>
      </c>
      <c r="K466" s="4" t="n">
        <f aca="false">G466*I466</f>
        <v>1190.75</v>
      </c>
      <c r="L466" s="4" t="n">
        <f aca="false">J466-K466</f>
        <v>730.3</v>
      </c>
    </row>
    <row r="467" customFormat="false" ht="15" hidden="false" customHeight="false" outlineLevel="0" collapsed="false">
      <c r="A467" s="0" t="n">
        <v>2677</v>
      </c>
      <c r="B467" s="2" t="n">
        <v>45487</v>
      </c>
      <c r="C467" s="3" t="s">
        <v>12</v>
      </c>
      <c r="D467" s="3" t="s">
        <v>20</v>
      </c>
      <c r="E467" s="3" t="s">
        <v>42</v>
      </c>
      <c r="F467" s="3" t="s">
        <v>33</v>
      </c>
      <c r="G467" s="0" t="n">
        <v>38</v>
      </c>
      <c r="H467" s="4" t="n">
        <v>206.6</v>
      </c>
      <c r="I467" s="4" t="n">
        <v>146.13</v>
      </c>
      <c r="J467" s="4" t="n">
        <f aca="false">G467*H467</f>
        <v>7850.8</v>
      </c>
      <c r="K467" s="4" t="n">
        <f aca="false">G467*I467</f>
        <v>5552.94</v>
      </c>
      <c r="L467" s="4" t="n">
        <f aca="false">J467-K467</f>
        <v>2297.86</v>
      </c>
    </row>
    <row r="468" customFormat="false" ht="15" hidden="false" customHeight="false" outlineLevel="0" collapsed="false">
      <c r="A468" s="0" t="n">
        <v>1603</v>
      </c>
      <c r="B468" s="2" t="n">
        <v>45488</v>
      </c>
      <c r="C468" s="3" t="s">
        <v>32</v>
      </c>
      <c r="D468" s="3" t="s">
        <v>13</v>
      </c>
      <c r="E468" s="3" t="s">
        <v>46</v>
      </c>
      <c r="F468" s="3" t="s">
        <v>22</v>
      </c>
      <c r="G468" s="0" t="n">
        <v>7</v>
      </c>
      <c r="H468" s="4" t="n">
        <v>55.47</v>
      </c>
      <c r="I468" s="4" t="n">
        <v>37.42</v>
      </c>
      <c r="J468" s="4" t="n">
        <f aca="false">G468*H468</f>
        <v>388.29</v>
      </c>
      <c r="K468" s="4" t="n">
        <f aca="false">G468*I468</f>
        <v>261.94</v>
      </c>
      <c r="L468" s="4" t="n">
        <f aca="false">J468-K468</f>
        <v>126.35</v>
      </c>
    </row>
    <row r="469" customFormat="false" ht="15" hidden="false" customHeight="false" outlineLevel="0" collapsed="false">
      <c r="A469" s="0" t="n">
        <v>2376</v>
      </c>
      <c r="B469" s="2" t="n">
        <v>45488</v>
      </c>
      <c r="C469" s="3" t="s">
        <v>12</v>
      </c>
      <c r="D469" s="3" t="s">
        <v>20</v>
      </c>
      <c r="E469" s="3" t="s">
        <v>21</v>
      </c>
      <c r="F469" s="3" t="s">
        <v>25</v>
      </c>
      <c r="G469" s="0" t="n">
        <v>18</v>
      </c>
      <c r="H469" s="4" t="n">
        <v>252.9</v>
      </c>
      <c r="I469" s="4" t="n">
        <v>144.43</v>
      </c>
      <c r="J469" s="4" t="n">
        <f aca="false">G469*H469</f>
        <v>4552.2</v>
      </c>
      <c r="K469" s="4" t="n">
        <f aca="false">G469*I469</f>
        <v>2599.74</v>
      </c>
      <c r="L469" s="4" t="n">
        <f aca="false">J469-K469</f>
        <v>1952.46</v>
      </c>
    </row>
    <row r="470" customFormat="false" ht="15" hidden="false" customHeight="false" outlineLevel="0" collapsed="false">
      <c r="A470" s="0" t="n">
        <v>1923</v>
      </c>
      <c r="B470" s="2" t="n">
        <v>45489</v>
      </c>
      <c r="C470" s="3" t="s">
        <v>32</v>
      </c>
      <c r="D470" s="3" t="s">
        <v>13</v>
      </c>
      <c r="E470" s="3" t="s">
        <v>24</v>
      </c>
      <c r="F470" s="3" t="s">
        <v>15</v>
      </c>
      <c r="G470" s="0" t="n">
        <v>26</v>
      </c>
      <c r="H470" s="4" t="n">
        <v>48.21</v>
      </c>
      <c r="I470" s="4" t="n">
        <v>26.59</v>
      </c>
      <c r="J470" s="4" t="n">
        <f aca="false">G470*H470</f>
        <v>1253.46</v>
      </c>
      <c r="K470" s="4" t="n">
        <f aca="false">G470*I470</f>
        <v>691.34</v>
      </c>
      <c r="L470" s="4" t="n">
        <f aca="false">J470-K470</f>
        <v>562.12</v>
      </c>
    </row>
    <row r="471" customFormat="false" ht="15" hidden="false" customHeight="false" outlineLevel="0" collapsed="false">
      <c r="A471" s="0" t="n">
        <v>2273</v>
      </c>
      <c r="B471" s="2" t="n">
        <v>45489</v>
      </c>
      <c r="C471" s="3" t="s">
        <v>32</v>
      </c>
      <c r="D471" s="3" t="s">
        <v>13</v>
      </c>
      <c r="E471" s="3" t="s">
        <v>31</v>
      </c>
      <c r="F471" s="3" t="s">
        <v>22</v>
      </c>
      <c r="G471" s="0" t="n">
        <v>31</v>
      </c>
      <c r="H471" s="4" t="n">
        <v>39.08</v>
      </c>
      <c r="I471" s="4" t="n">
        <v>24.25</v>
      </c>
      <c r="J471" s="4" t="n">
        <f aca="false">G471*H471</f>
        <v>1211.48</v>
      </c>
      <c r="K471" s="4" t="n">
        <f aca="false">G471*I471</f>
        <v>751.75</v>
      </c>
      <c r="L471" s="4" t="n">
        <f aca="false">J471-K471</f>
        <v>459.73</v>
      </c>
    </row>
    <row r="472" customFormat="false" ht="15" hidden="false" customHeight="false" outlineLevel="0" collapsed="false">
      <c r="A472" s="0" t="n">
        <v>2325</v>
      </c>
      <c r="B472" s="2" t="n">
        <v>45489</v>
      </c>
      <c r="C472" s="3" t="s">
        <v>32</v>
      </c>
      <c r="D472" s="3" t="s">
        <v>20</v>
      </c>
      <c r="E472" s="3" t="s">
        <v>21</v>
      </c>
      <c r="F472" s="3" t="s">
        <v>39</v>
      </c>
      <c r="G472" s="0" t="n">
        <v>9</v>
      </c>
      <c r="H472" s="4" t="n">
        <v>133.83</v>
      </c>
      <c r="I472" s="4" t="n">
        <v>96.09</v>
      </c>
      <c r="J472" s="4" t="n">
        <f aca="false">G472*H472</f>
        <v>1204.47</v>
      </c>
      <c r="K472" s="4" t="n">
        <f aca="false">G472*I472</f>
        <v>864.81</v>
      </c>
      <c r="L472" s="4" t="n">
        <f aca="false">J472-K472</f>
        <v>339.66</v>
      </c>
    </row>
    <row r="473" customFormat="false" ht="15" hidden="false" customHeight="false" outlineLevel="0" collapsed="false">
      <c r="A473" s="0" t="n">
        <v>1064</v>
      </c>
      <c r="B473" s="2" t="n">
        <v>45490</v>
      </c>
      <c r="C473" s="3" t="s">
        <v>32</v>
      </c>
      <c r="D473" s="3" t="s">
        <v>13</v>
      </c>
      <c r="E473" s="3" t="s">
        <v>31</v>
      </c>
      <c r="F473" s="3" t="s">
        <v>19</v>
      </c>
      <c r="G473" s="0" t="n">
        <v>20</v>
      </c>
      <c r="H473" s="4" t="n">
        <v>33.45</v>
      </c>
      <c r="I473" s="4" t="n">
        <v>21.35</v>
      </c>
      <c r="J473" s="4" t="n">
        <f aca="false">G473*H473</f>
        <v>669</v>
      </c>
      <c r="K473" s="4" t="n">
        <f aca="false">G473*I473</f>
        <v>427</v>
      </c>
      <c r="L473" s="4" t="n">
        <f aca="false">J473-K473</f>
        <v>242</v>
      </c>
    </row>
    <row r="474" customFormat="false" ht="15" hidden="false" customHeight="false" outlineLevel="0" collapsed="false">
      <c r="A474" s="0" t="n">
        <v>1136</v>
      </c>
      <c r="B474" s="2" t="n">
        <v>45490</v>
      </c>
      <c r="C474" s="3" t="s">
        <v>32</v>
      </c>
      <c r="D474" s="3" t="s">
        <v>20</v>
      </c>
      <c r="E474" s="3" t="s">
        <v>21</v>
      </c>
      <c r="F474" s="3" t="s">
        <v>15</v>
      </c>
      <c r="G474" s="0" t="n">
        <v>25</v>
      </c>
      <c r="H474" s="4" t="n">
        <v>75.92</v>
      </c>
      <c r="I474" s="4" t="n">
        <v>49.44</v>
      </c>
      <c r="J474" s="4" t="n">
        <f aca="false">G474*H474</f>
        <v>1898</v>
      </c>
      <c r="K474" s="4" t="n">
        <f aca="false">G474*I474</f>
        <v>1236</v>
      </c>
      <c r="L474" s="4" t="n">
        <f aca="false">J474-K474</f>
        <v>662</v>
      </c>
    </row>
    <row r="475" customFormat="false" ht="15" hidden="false" customHeight="false" outlineLevel="0" collapsed="false">
      <c r="A475" s="0" t="n">
        <v>2067</v>
      </c>
      <c r="B475" s="2" t="n">
        <v>45490</v>
      </c>
      <c r="C475" s="3" t="s">
        <v>16</v>
      </c>
      <c r="D475" s="3" t="s">
        <v>17</v>
      </c>
      <c r="E475" s="3" t="s">
        <v>40</v>
      </c>
      <c r="F475" s="3" t="s">
        <v>33</v>
      </c>
      <c r="G475" s="0" t="n">
        <v>11</v>
      </c>
      <c r="H475" s="4" t="n">
        <v>820.81</v>
      </c>
      <c r="I475" s="4" t="n">
        <v>603.41</v>
      </c>
      <c r="J475" s="4" t="n">
        <f aca="false">G475*H475</f>
        <v>9028.91</v>
      </c>
      <c r="K475" s="4" t="n">
        <f aca="false">G475*I475</f>
        <v>6637.51</v>
      </c>
      <c r="L475" s="4" t="n">
        <f aca="false">J475-K475</f>
        <v>2391.4</v>
      </c>
    </row>
    <row r="476" customFormat="false" ht="15" hidden="false" customHeight="false" outlineLevel="0" collapsed="false">
      <c r="A476" s="0" t="n">
        <v>2729</v>
      </c>
      <c r="B476" s="2" t="n">
        <v>45491</v>
      </c>
      <c r="C476" s="3" t="s">
        <v>23</v>
      </c>
      <c r="D476" s="3" t="s">
        <v>17</v>
      </c>
      <c r="E476" s="3" t="s">
        <v>27</v>
      </c>
      <c r="F476" s="3" t="s">
        <v>15</v>
      </c>
      <c r="G476" s="0" t="n">
        <v>4</v>
      </c>
      <c r="H476" s="4" t="n">
        <v>602.39</v>
      </c>
      <c r="I476" s="4" t="n">
        <v>423.98</v>
      </c>
      <c r="J476" s="4" t="n">
        <f aca="false">G476*H476</f>
        <v>2409.56</v>
      </c>
      <c r="K476" s="4" t="n">
        <f aca="false">G476*I476</f>
        <v>1695.92</v>
      </c>
      <c r="L476" s="4" t="n">
        <f aca="false">J476-K476</f>
        <v>713.64</v>
      </c>
    </row>
    <row r="477" customFormat="false" ht="15" hidden="false" customHeight="false" outlineLevel="0" collapsed="false">
      <c r="A477" s="0" t="n">
        <v>1353</v>
      </c>
      <c r="B477" s="2" t="n">
        <v>45492</v>
      </c>
      <c r="C477" s="3" t="s">
        <v>12</v>
      </c>
      <c r="D477" s="3" t="s">
        <v>17</v>
      </c>
      <c r="E477" s="3" t="s">
        <v>18</v>
      </c>
      <c r="F477" s="3" t="s">
        <v>39</v>
      </c>
      <c r="G477" s="0" t="n">
        <v>30</v>
      </c>
      <c r="H477" s="4" t="n">
        <v>752.63</v>
      </c>
      <c r="I477" s="4" t="n">
        <v>385.06</v>
      </c>
      <c r="J477" s="4" t="n">
        <f aca="false">G477*H477</f>
        <v>22578.9</v>
      </c>
      <c r="K477" s="4" t="n">
        <f aca="false">G477*I477</f>
        <v>11551.8</v>
      </c>
      <c r="L477" s="4" t="n">
        <f aca="false">J477-K477</f>
        <v>11027.1</v>
      </c>
    </row>
    <row r="478" customFormat="false" ht="15" hidden="false" customHeight="false" outlineLevel="0" collapsed="false">
      <c r="A478" s="0" t="n">
        <v>1585</v>
      </c>
      <c r="B478" s="2" t="n">
        <v>45492</v>
      </c>
      <c r="C478" s="3" t="s">
        <v>26</v>
      </c>
      <c r="D478" s="3" t="s">
        <v>17</v>
      </c>
      <c r="E478" s="3" t="s">
        <v>35</v>
      </c>
      <c r="F478" s="3" t="s">
        <v>28</v>
      </c>
      <c r="G478" s="0" t="n">
        <v>6</v>
      </c>
      <c r="H478" s="4" t="n">
        <v>879.71</v>
      </c>
      <c r="I478" s="4" t="n">
        <v>552.36</v>
      </c>
      <c r="J478" s="4" t="n">
        <f aca="false">G478*H478</f>
        <v>5278.26</v>
      </c>
      <c r="K478" s="4" t="n">
        <f aca="false">G478*I478</f>
        <v>3314.16</v>
      </c>
      <c r="L478" s="4" t="n">
        <f aca="false">J478-K478</f>
        <v>1964.1</v>
      </c>
    </row>
    <row r="479" customFormat="false" ht="15" hidden="false" customHeight="false" outlineLevel="0" collapsed="false">
      <c r="A479" s="0" t="n">
        <v>2513</v>
      </c>
      <c r="B479" s="2" t="n">
        <v>45492</v>
      </c>
      <c r="C479" s="3" t="s">
        <v>23</v>
      </c>
      <c r="D479" s="3" t="s">
        <v>17</v>
      </c>
      <c r="E479" s="3" t="s">
        <v>35</v>
      </c>
      <c r="F479" s="3" t="s">
        <v>33</v>
      </c>
      <c r="G479" s="0" t="n">
        <v>34</v>
      </c>
      <c r="H479" s="4" t="n">
        <v>60.55</v>
      </c>
      <c r="I479" s="4" t="n">
        <v>35.86</v>
      </c>
      <c r="J479" s="4" t="n">
        <f aca="false">G479*H479</f>
        <v>2058.7</v>
      </c>
      <c r="K479" s="4" t="n">
        <f aca="false">G479*I479</f>
        <v>1219.24</v>
      </c>
      <c r="L479" s="4" t="n">
        <f aca="false">J479-K479</f>
        <v>839.46</v>
      </c>
    </row>
    <row r="480" customFormat="false" ht="15" hidden="false" customHeight="false" outlineLevel="0" collapsed="false">
      <c r="A480" s="0" t="n">
        <v>2364</v>
      </c>
      <c r="B480" s="2" t="n">
        <v>45493</v>
      </c>
      <c r="C480" s="3" t="s">
        <v>26</v>
      </c>
      <c r="D480" s="3" t="s">
        <v>20</v>
      </c>
      <c r="E480" s="3" t="s">
        <v>38</v>
      </c>
      <c r="F480" s="3" t="s">
        <v>36</v>
      </c>
      <c r="G480" s="0" t="n">
        <v>15</v>
      </c>
      <c r="H480" s="4" t="n">
        <v>74.46</v>
      </c>
      <c r="I480" s="4" t="n">
        <v>47.83</v>
      </c>
      <c r="J480" s="4" t="n">
        <f aca="false">G480*H480</f>
        <v>1116.9</v>
      </c>
      <c r="K480" s="4" t="n">
        <f aca="false">G480*I480</f>
        <v>717.45</v>
      </c>
      <c r="L480" s="4" t="n">
        <f aca="false">J480-K480</f>
        <v>399.45</v>
      </c>
    </row>
    <row r="481" customFormat="false" ht="15" hidden="false" customHeight="false" outlineLevel="0" collapsed="false">
      <c r="A481" s="0" t="n">
        <v>2239</v>
      </c>
      <c r="B481" s="2" t="n">
        <v>45494</v>
      </c>
      <c r="C481" s="3" t="s">
        <v>12</v>
      </c>
      <c r="D481" s="3" t="s">
        <v>20</v>
      </c>
      <c r="E481" s="3" t="s">
        <v>38</v>
      </c>
      <c r="F481" s="3" t="s">
        <v>28</v>
      </c>
      <c r="G481" s="0" t="n">
        <v>16</v>
      </c>
      <c r="H481" s="4" t="n">
        <v>108.54</v>
      </c>
      <c r="I481" s="4" t="n">
        <v>79.59</v>
      </c>
      <c r="J481" s="4" t="n">
        <f aca="false">G481*H481</f>
        <v>1736.64</v>
      </c>
      <c r="K481" s="4" t="n">
        <f aca="false">G481*I481</f>
        <v>1273.44</v>
      </c>
      <c r="L481" s="4" t="n">
        <f aca="false">J481-K481</f>
        <v>463.2</v>
      </c>
    </row>
    <row r="482" customFormat="false" ht="15" hidden="false" customHeight="false" outlineLevel="0" collapsed="false">
      <c r="A482" s="0" t="n">
        <v>2432</v>
      </c>
      <c r="B482" s="2" t="n">
        <v>45494</v>
      </c>
      <c r="C482" s="3" t="s">
        <v>12</v>
      </c>
      <c r="D482" s="3" t="s">
        <v>29</v>
      </c>
      <c r="E482" s="3" t="s">
        <v>41</v>
      </c>
      <c r="F482" s="3" t="s">
        <v>22</v>
      </c>
      <c r="G482" s="0" t="n">
        <v>29</v>
      </c>
      <c r="H482" s="4" t="n">
        <v>129.51</v>
      </c>
      <c r="I482" s="4" t="n">
        <v>71.37</v>
      </c>
      <c r="J482" s="4" t="n">
        <f aca="false">G482*H482</f>
        <v>3755.79</v>
      </c>
      <c r="K482" s="4" t="n">
        <f aca="false">G482*I482</f>
        <v>2069.73</v>
      </c>
      <c r="L482" s="4" t="n">
        <f aca="false">J482-K482</f>
        <v>1686.06</v>
      </c>
    </row>
    <row r="483" customFormat="false" ht="15" hidden="false" customHeight="false" outlineLevel="0" collapsed="false">
      <c r="A483" s="0" t="n">
        <v>2493</v>
      </c>
      <c r="B483" s="2" t="n">
        <v>45495</v>
      </c>
      <c r="C483" s="3" t="s">
        <v>12</v>
      </c>
      <c r="D483" s="3" t="s">
        <v>20</v>
      </c>
      <c r="E483" s="3" t="s">
        <v>34</v>
      </c>
      <c r="F483" s="3" t="s">
        <v>25</v>
      </c>
      <c r="G483" s="0" t="n">
        <v>9</v>
      </c>
      <c r="H483" s="4" t="n">
        <v>67.95</v>
      </c>
      <c r="I483" s="4" t="n">
        <v>39.83</v>
      </c>
      <c r="J483" s="4" t="n">
        <f aca="false">G483*H483</f>
        <v>611.55</v>
      </c>
      <c r="K483" s="4" t="n">
        <f aca="false">G483*I483</f>
        <v>358.47</v>
      </c>
      <c r="L483" s="4" t="n">
        <f aca="false">J483-K483</f>
        <v>253.08</v>
      </c>
    </row>
    <row r="484" customFormat="false" ht="15" hidden="false" customHeight="false" outlineLevel="0" collapsed="false">
      <c r="A484" s="0" t="n">
        <v>2641</v>
      </c>
      <c r="B484" s="2" t="n">
        <v>45495</v>
      </c>
      <c r="C484" s="3" t="s">
        <v>26</v>
      </c>
      <c r="D484" s="3" t="s">
        <v>20</v>
      </c>
      <c r="E484" s="3" t="s">
        <v>21</v>
      </c>
      <c r="F484" s="3" t="s">
        <v>19</v>
      </c>
      <c r="G484" s="0" t="n">
        <v>1</v>
      </c>
      <c r="H484" s="4" t="n">
        <v>286.7</v>
      </c>
      <c r="I484" s="4" t="n">
        <v>185.52</v>
      </c>
      <c r="J484" s="4" t="n">
        <f aca="false">G484*H484</f>
        <v>286.7</v>
      </c>
      <c r="K484" s="4" t="n">
        <f aca="false">G484*I484</f>
        <v>185.52</v>
      </c>
      <c r="L484" s="4" t="n">
        <f aca="false">J484-K484</f>
        <v>101.18</v>
      </c>
    </row>
    <row r="485" customFormat="false" ht="15" hidden="false" customHeight="false" outlineLevel="0" collapsed="false">
      <c r="A485" s="0" t="n">
        <v>1561</v>
      </c>
      <c r="B485" s="2" t="n">
        <v>45496</v>
      </c>
      <c r="C485" s="3" t="s">
        <v>23</v>
      </c>
      <c r="D485" s="3" t="s">
        <v>13</v>
      </c>
      <c r="E485" s="3" t="s">
        <v>45</v>
      </c>
      <c r="F485" s="3" t="s">
        <v>28</v>
      </c>
      <c r="G485" s="0" t="n">
        <v>38</v>
      </c>
      <c r="H485" s="4" t="n">
        <v>53.76</v>
      </c>
      <c r="I485" s="4" t="n">
        <v>33</v>
      </c>
      <c r="J485" s="4" t="n">
        <f aca="false">G485*H485</f>
        <v>2042.88</v>
      </c>
      <c r="K485" s="4" t="n">
        <f aca="false">G485*I485</f>
        <v>1254</v>
      </c>
      <c r="L485" s="4" t="n">
        <f aca="false">J485-K485</f>
        <v>788.88</v>
      </c>
    </row>
    <row r="486" customFormat="false" ht="15" hidden="false" customHeight="false" outlineLevel="0" collapsed="false">
      <c r="A486" s="0" t="n">
        <v>2054</v>
      </c>
      <c r="B486" s="2" t="n">
        <v>45496</v>
      </c>
      <c r="C486" s="3" t="s">
        <v>26</v>
      </c>
      <c r="D486" s="3" t="s">
        <v>20</v>
      </c>
      <c r="E486" s="3" t="s">
        <v>38</v>
      </c>
      <c r="F486" s="3" t="s">
        <v>25</v>
      </c>
      <c r="G486" s="0" t="n">
        <v>4</v>
      </c>
      <c r="H486" s="4" t="n">
        <v>198.18</v>
      </c>
      <c r="I486" s="4" t="n">
        <v>142.86</v>
      </c>
      <c r="J486" s="4" t="n">
        <f aca="false">G486*H486</f>
        <v>792.72</v>
      </c>
      <c r="K486" s="4" t="n">
        <f aca="false">G486*I486</f>
        <v>571.44</v>
      </c>
      <c r="L486" s="4" t="n">
        <f aca="false">J486-K486</f>
        <v>221.28</v>
      </c>
    </row>
    <row r="487" customFormat="false" ht="15" hidden="false" customHeight="false" outlineLevel="0" collapsed="false">
      <c r="A487" s="0" t="n">
        <v>2073</v>
      </c>
      <c r="B487" s="2" t="n">
        <v>45496</v>
      </c>
      <c r="C487" s="3" t="s">
        <v>12</v>
      </c>
      <c r="D487" s="3" t="s">
        <v>29</v>
      </c>
      <c r="E487" s="3" t="s">
        <v>43</v>
      </c>
      <c r="F487" s="3" t="s">
        <v>28</v>
      </c>
      <c r="G487" s="0" t="n">
        <v>17</v>
      </c>
      <c r="H487" s="4" t="n">
        <v>232.72</v>
      </c>
      <c r="I487" s="4" t="n">
        <v>146.79</v>
      </c>
      <c r="J487" s="4" t="n">
        <f aca="false">G487*H487</f>
        <v>3956.24</v>
      </c>
      <c r="K487" s="4" t="n">
        <f aca="false">G487*I487</f>
        <v>2495.43</v>
      </c>
      <c r="L487" s="4" t="n">
        <f aca="false">J487-K487</f>
        <v>1460.81</v>
      </c>
    </row>
    <row r="488" customFormat="false" ht="15" hidden="false" customHeight="false" outlineLevel="0" collapsed="false">
      <c r="A488" s="0" t="n">
        <v>2738</v>
      </c>
      <c r="B488" s="2" t="n">
        <v>45496</v>
      </c>
      <c r="C488" s="3" t="s">
        <v>23</v>
      </c>
      <c r="D488" s="3" t="s">
        <v>17</v>
      </c>
      <c r="E488" s="3" t="s">
        <v>27</v>
      </c>
      <c r="F488" s="3" t="s">
        <v>22</v>
      </c>
      <c r="G488" s="0" t="n">
        <v>32</v>
      </c>
      <c r="H488" s="4" t="n">
        <v>164.73</v>
      </c>
      <c r="I488" s="4" t="n">
        <v>116.28</v>
      </c>
      <c r="J488" s="4" t="n">
        <f aca="false">G488*H488</f>
        <v>5271.36</v>
      </c>
      <c r="K488" s="4" t="n">
        <f aca="false">G488*I488</f>
        <v>3720.96</v>
      </c>
      <c r="L488" s="4" t="n">
        <f aca="false">J488-K488</f>
        <v>1550.4</v>
      </c>
    </row>
    <row r="489" customFormat="false" ht="15" hidden="false" customHeight="false" outlineLevel="0" collapsed="false">
      <c r="A489" s="0" t="n">
        <v>1316</v>
      </c>
      <c r="B489" s="2" t="n">
        <v>45497</v>
      </c>
      <c r="C489" s="3" t="s">
        <v>26</v>
      </c>
      <c r="D489" s="3" t="s">
        <v>13</v>
      </c>
      <c r="E489" s="3" t="s">
        <v>45</v>
      </c>
      <c r="F489" s="3" t="s">
        <v>28</v>
      </c>
      <c r="G489" s="0" t="n">
        <v>4</v>
      </c>
      <c r="H489" s="4" t="n">
        <v>43.16</v>
      </c>
      <c r="I489" s="4" t="n">
        <v>27.03</v>
      </c>
      <c r="J489" s="4" t="n">
        <f aca="false">G489*H489</f>
        <v>172.64</v>
      </c>
      <c r="K489" s="4" t="n">
        <f aca="false">G489*I489</f>
        <v>108.12</v>
      </c>
      <c r="L489" s="4" t="n">
        <f aca="false">J489-K489</f>
        <v>64.52</v>
      </c>
    </row>
    <row r="490" customFormat="false" ht="15" hidden="false" customHeight="false" outlineLevel="0" collapsed="false">
      <c r="A490" s="0" t="n">
        <v>1730</v>
      </c>
      <c r="B490" s="2" t="n">
        <v>45497</v>
      </c>
      <c r="C490" s="3" t="s">
        <v>12</v>
      </c>
      <c r="D490" s="3" t="s">
        <v>17</v>
      </c>
      <c r="E490" s="3" t="s">
        <v>40</v>
      </c>
      <c r="F490" s="3" t="s">
        <v>39</v>
      </c>
      <c r="G490" s="0" t="n">
        <v>31</v>
      </c>
      <c r="H490" s="4" t="n">
        <v>643.62</v>
      </c>
      <c r="I490" s="4" t="n">
        <v>414.88</v>
      </c>
      <c r="J490" s="4" t="n">
        <f aca="false">G490*H490</f>
        <v>19952.22</v>
      </c>
      <c r="K490" s="4" t="n">
        <f aca="false">G490*I490</f>
        <v>12861.28</v>
      </c>
      <c r="L490" s="4" t="n">
        <f aca="false">J490-K490</f>
        <v>7090.94</v>
      </c>
    </row>
    <row r="491" customFormat="false" ht="15" hidden="false" customHeight="false" outlineLevel="0" collapsed="false">
      <c r="A491" s="0" t="n">
        <v>2224</v>
      </c>
      <c r="B491" s="2" t="n">
        <v>45497</v>
      </c>
      <c r="C491" s="3" t="s">
        <v>12</v>
      </c>
      <c r="D491" s="3" t="s">
        <v>17</v>
      </c>
      <c r="E491" s="3" t="s">
        <v>18</v>
      </c>
      <c r="F491" s="3" t="s">
        <v>28</v>
      </c>
      <c r="G491" s="0" t="n">
        <v>7</v>
      </c>
      <c r="H491" s="4" t="n">
        <v>153.58</v>
      </c>
      <c r="I491" s="4" t="n">
        <v>103.42</v>
      </c>
      <c r="J491" s="4" t="n">
        <f aca="false">G491*H491</f>
        <v>1075.06</v>
      </c>
      <c r="K491" s="4" t="n">
        <f aca="false">G491*I491</f>
        <v>723.94</v>
      </c>
      <c r="L491" s="4" t="n">
        <f aca="false">J491-K491</f>
        <v>351.12</v>
      </c>
    </row>
    <row r="492" customFormat="false" ht="15" hidden="false" customHeight="false" outlineLevel="0" collapsed="false">
      <c r="A492" s="0" t="n">
        <v>2740</v>
      </c>
      <c r="B492" s="2" t="n">
        <v>45497</v>
      </c>
      <c r="C492" s="3" t="s">
        <v>32</v>
      </c>
      <c r="D492" s="3" t="s">
        <v>20</v>
      </c>
      <c r="E492" s="3" t="s">
        <v>38</v>
      </c>
      <c r="F492" s="3" t="s">
        <v>19</v>
      </c>
      <c r="G492" s="0" t="n">
        <v>10</v>
      </c>
      <c r="H492" s="4" t="n">
        <v>213.44</v>
      </c>
      <c r="I492" s="4" t="n">
        <v>114.87</v>
      </c>
      <c r="J492" s="4" t="n">
        <f aca="false">G492*H492</f>
        <v>2134.4</v>
      </c>
      <c r="K492" s="4" t="n">
        <f aca="false">G492*I492</f>
        <v>1148.7</v>
      </c>
      <c r="L492" s="4" t="n">
        <f aca="false">J492-K492</f>
        <v>985.7</v>
      </c>
    </row>
    <row r="493" customFormat="false" ht="15" hidden="false" customHeight="false" outlineLevel="0" collapsed="false">
      <c r="A493" s="0" t="n">
        <v>1756</v>
      </c>
      <c r="B493" s="2" t="n">
        <v>45498</v>
      </c>
      <c r="C493" s="3" t="s">
        <v>26</v>
      </c>
      <c r="D493" s="3" t="s">
        <v>13</v>
      </c>
      <c r="E493" s="3" t="s">
        <v>14</v>
      </c>
      <c r="F493" s="3" t="s">
        <v>25</v>
      </c>
      <c r="G493" s="0" t="n">
        <v>26</v>
      </c>
      <c r="H493" s="4" t="n">
        <v>17.07</v>
      </c>
      <c r="I493" s="4" t="n">
        <v>10.63</v>
      </c>
      <c r="J493" s="4" t="n">
        <f aca="false">G493*H493</f>
        <v>443.82</v>
      </c>
      <c r="K493" s="4" t="n">
        <f aca="false">G493*I493</f>
        <v>276.38</v>
      </c>
      <c r="L493" s="4" t="n">
        <f aca="false">J493-K493</f>
        <v>167.44</v>
      </c>
    </row>
    <row r="494" customFormat="false" ht="15" hidden="false" customHeight="false" outlineLevel="0" collapsed="false">
      <c r="A494" s="0" t="n">
        <v>1852</v>
      </c>
      <c r="B494" s="2" t="n">
        <v>45498</v>
      </c>
      <c r="C494" s="3" t="s">
        <v>16</v>
      </c>
      <c r="D494" s="3" t="s">
        <v>13</v>
      </c>
      <c r="E494" s="3" t="s">
        <v>45</v>
      </c>
      <c r="F494" s="3" t="s">
        <v>19</v>
      </c>
      <c r="G494" s="0" t="n">
        <v>13</v>
      </c>
      <c r="H494" s="4" t="n">
        <v>43.56</v>
      </c>
      <c r="I494" s="4" t="n">
        <v>30.99</v>
      </c>
      <c r="J494" s="4" t="n">
        <f aca="false">G494*H494</f>
        <v>566.28</v>
      </c>
      <c r="K494" s="4" t="n">
        <f aca="false">G494*I494</f>
        <v>402.87</v>
      </c>
      <c r="L494" s="4" t="n">
        <f aca="false">J494-K494</f>
        <v>163.41</v>
      </c>
    </row>
    <row r="495" customFormat="false" ht="15" hidden="false" customHeight="false" outlineLevel="0" collapsed="false">
      <c r="A495" s="0" t="n">
        <v>1489</v>
      </c>
      <c r="B495" s="2" t="n">
        <v>45499</v>
      </c>
      <c r="C495" s="3" t="s">
        <v>26</v>
      </c>
      <c r="D495" s="3" t="s">
        <v>29</v>
      </c>
      <c r="E495" s="3" t="s">
        <v>30</v>
      </c>
      <c r="F495" s="3" t="s">
        <v>28</v>
      </c>
      <c r="G495" s="0" t="n">
        <v>32</v>
      </c>
      <c r="H495" s="4" t="n">
        <v>82.42</v>
      </c>
      <c r="I495" s="4" t="n">
        <v>46.11</v>
      </c>
      <c r="J495" s="4" t="n">
        <f aca="false">G495*H495</f>
        <v>2637.44</v>
      </c>
      <c r="K495" s="4" t="n">
        <f aca="false">G495*I495</f>
        <v>1475.52</v>
      </c>
      <c r="L495" s="4" t="n">
        <f aca="false">J495-K495</f>
        <v>1161.92</v>
      </c>
    </row>
    <row r="496" customFormat="false" ht="15" hidden="false" customHeight="false" outlineLevel="0" collapsed="false">
      <c r="A496" s="0" t="n">
        <v>1264</v>
      </c>
      <c r="B496" s="2" t="n">
        <v>45500</v>
      </c>
      <c r="C496" s="3" t="s">
        <v>12</v>
      </c>
      <c r="D496" s="3" t="s">
        <v>29</v>
      </c>
      <c r="E496" s="3" t="s">
        <v>41</v>
      </c>
      <c r="F496" s="3" t="s">
        <v>25</v>
      </c>
      <c r="G496" s="0" t="n">
        <v>20</v>
      </c>
      <c r="H496" s="4" t="n">
        <v>435.52</v>
      </c>
      <c r="I496" s="4" t="n">
        <v>227.15</v>
      </c>
      <c r="J496" s="4" t="n">
        <f aca="false">G496*H496</f>
        <v>8710.4</v>
      </c>
      <c r="K496" s="4" t="n">
        <f aca="false">G496*I496</f>
        <v>4543</v>
      </c>
      <c r="L496" s="4" t="n">
        <f aca="false">J496-K496</f>
        <v>4167.4</v>
      </c>
    </row>
    <row r="497" customFormat="false" ht="15" hidden="false" customHeight="false" outlineLevel="0" collapsed="false">
      <c r="A497" s="0" t="n">
        <v>1947</v>
      </c>
      <c r="B497" s="2" t="n">
        <v>45500</v>
      </c>
      <c r="C497" s="3" t="s">
        <v>32</v>
      </c>
      <c r="D497" s="3" t="s">
        <v>29</v>
      </c>
      <c r="E497" s="3" t="s">
        <v>43</v>
      </c>
      <c r="F497" s="3" t="s">
        <v>22</v>
      </c>
      <c r="G497" s="0" t="n">
        <v>7</v>
      </c>
      <c r="H497" s="4" t="n">
        <v>341.29</v>
      </c>
      <c r="I497" s="4" t="n">
        <v>243.39</v>
      </c>
      <c r="J497" s="4" t="n">
        <f aca="false">G497*H497</f>
        <v>2389.03</v>
      </c>
      <c r="K497" s="4" t="n">
        <f aca="false">G497*I497</f>
        <v>1703.73</v>
      </c>
      <c r="L497" s="4" t="n">
        <f aca="false">J497-K497</f>
        <v>685.3</v>
      </c>
    </row>
    <row r="498" customFormat="false" ht="15" hidden="false" customHeight="false" outlineLevel="0" collapsed="false">
      <c r="A498" s="0" t="n">
        <v>2599</v>
      </c>
      <c r="B498" s="2" t="n">
        <v>45501</v>
      </c>
      <c r="C498" s="3" t="s">
        <v>23</v>
      </c>
      <c r="D498" s="3" t="s">
        <v>17</v>
      </c>
      <c r="E498" s="3" t="s">
        <v>44</v>
      </c>
      <c r="F498" s="3" t="s">
        <v>39</v>
      </c>
      <c r="G498" s="0" t="n">
        <v>31</v>
      </c>
      <c r="H498" s="4" t="n">
        <v>664.56</v>
      </c>
      <c r="I498" s="4" t="n">
        <v>339.56</v>
      </c>
      <c r="J498" s="4" t="n">
        <f aca="false">G498*H498</f>
        <v>20601.36</v>
      </c>
      <c r="K498" s="4" t="n">
        <f aca="false">G498*I498</f>
        <v>10526.36</v>
      </c>
      <c r="L498" s="4" t="n">
        <f aca="false">J498-K498</f>
        <v>10075</v>
      </c>
    </row>
    <row r="499" customFormat="false" ht="15" hidden="false" customHeight="false" outlineLevel="0" collapsed="false">
      <c r="A499" s="0" t="n">
        <v>1755</v>
      </c>
      <c r="B499" s="2" t="n">
        <v>45502</v>
      </c>
      <c r="C499" s="3" t="s">
        <v>32</v>
      </c>
      <c r="D499" s="3" t="s">
        <v>20</v>
      </c>
      <c r="E499" s="3" t="s">
        <v>21</v>
      </c>
      <c r="F499" s="3" t="s">
        <v>19</v>
      </c>
      <c r="G499" s="0" t="n">
        <v>39</v>
      </c>
      <c r="H499" s="4" t="n">
        <v>220.7</v>
      </c>
      <c r="I499" s="4" t="n">
        <v>135.67</v>
      </c>
      <c r="J499" s="4" t="n">
        <f aca="false">G499*H499</f>
        <v>8607.3</v>
      </c>
      <c r="K499" s="4" t="n">
        <f aca="false">G499*I499</f>
        <v>5291.13</v>
      </c>
      <c r="L499" s="4" t="n">
        <f aca="false">J499-K499</f>
        <v>3316.17</v>
      </c>
    </row>
    <row r="500" customFormat="false" ht="15" hidden="false" customHeight="false" outlineLevel="0" collapsed="false">
      <c r="A500" s="0" t="n">
        <v>2303</v>
      </c>
      <c r="B500" s="2" t="n">
        <v>45502</v>
      </c>
      <c r="C500" s="3" t="s">
        <v>23</v>
      </c>
      <c r="D500" s="3" t="s">
        <v>17</v>
      </c>
      <c r="E500" s="3" t="s">
        <v>18</v>
      </c>
      <c r="F500" s="3" t="s">
        <v>25</v>
      </c>
      <c r="G500" s="0" t="n">
        <v>33</v>
      </c>
      <c r="H500" s="4" t="n">
        <v>516.96</v>
      </c>
      <c r="I500" s="4" t="n">
        <v>329.62</v>
      </c>
      <c r="J500" s="4" t="n">
        <f aca="false">G500*H500</f>
        <v>17059.68</v>
      </c>
      <c r="K500" s="4" t="n">
        <f aca="false">G500*I500</f>
        <v>10877.46</v>
      </c>
      <c r="L500" s="4" t="n">
        <f aca="false">J500-K500</f>
        <v>6182.22</v>
      </c>
    </row>
    <row r="501" customFormat="false" ht="15" hidden="false" customHeight="false" outlineLevel="0" collapsed="false">
      <c r="A501" s="0" t="n">
        <v>2440</v>
      </c>
      <c r="B501" s="2" t="n">
        <v>45502</v>
      </c>
      <c r="C501" s="3" t="s">
        <v>12</v>
      </c>
      <c r="D501" s="3" t="s">
        <v>13</v>
      </c>
      <c r="E501" s="3" t="s">
        <v>45</v>
      </c>
      <c r="F501" s="3" t="s">
        <v>19</v>
      </c>
      <c r="G501" s="0" t="n">
        <v>40</v>
      </c>
      <c r="H501" s="4" t="n">
        <v>27.06</v>
      </c>
      <c r="I501" s="4" t="n">
        <v>18.67</v>
      </c>
      <c r="J501" s="4" t="n">
        <f aca="false">G501*H501</f>
        <v>1082.4</v>
      </c>
      <c r="K501" s="4" t="n">
        <f aca="false">G501*I501</f>
        <v>746.8</v>
      </c>
      <c r="L501" s="4" t="n">
        <f aca="false">J501-K501</f>
        <v>335.6</v>
      </c>
    </row>
    <row r="502" customFormat="false" ht="15" hidden="false" customHeight="false" outlineLevel="0" collapsed="false">
      <c r="A502" s="0" t="n">
        <v>1197</v>
      </c>
      <c r="B502" s="2" t="n">
        <v>45503</v>
      </c>
      <c r="C502" s="3" t="s">
        <v>26</v>
      </c>
      <c r="D502" s="3" t="s">
        <v>17</v>
      </c>
      <c r="E502" s="3" t="s">
        <v>35</v>
      </c>
      <c r="F502" s="3" t="s">
        <v>22</v>
      </c>
      <c r="G502" s="0" t="n">
        <v>29</v>
      </c>
      <c r="H502" s="4" t="n">
        <v>562.14</v>
      </c>
      <c r="I502" s="4" t="n">
        <v>337.6</v>
      </c>
      <c r="J502" s="4" t="n">
        <f aca="false">G502*H502</f>
        <v>16302.06</v>
      </c>
      <c r="K502" s="4" t="n">
        <f aca="false">G502*I502</f>
        <v>9790.4</v>
      </c>
      <c r="L502" s="4" t="n">
        <f aca="false">J502-K502</f>
        <v>6511.66</v>
      </c>
    </row>
    <row r="503" customFormat="false" ht="15" hidden="false" customHeight="false" outlineLevel="0" collapsed="false">
      <c r="A503" s="0" t="n">
        <v>1475</v>
      </c>
      <c r="B503" s="2" t="n">
        <v>45503</v>
      </c>
      <c r="C503" s="3" t="s">
        <v>12</v>
      </c>
      <c r="D503" s="3" t="s">
        <v>13</v>
      </c>
      <c r="E503" s="3" t="s">
        <v>24</v>
      </c>
      <c r="F503" s="3" t="s">
        <v>15</v>
      </c>
      <c r="G503" s="0" t="n">
        <v>34</v>
      </c>
      <c r="H503" s="4" t="n">
        <v>27.51</v>
      </c>
      <c r="I503" s="4" t="n">
        <v>18.27</v>
      </c>
      <c r="J503" s="4" t="n">
        <f aca="false">G503*H503</f>
        <v>935.34</v>
      </c>
      <c r="K503" s="4" t="n">
        <f aca="false">G503*I503</f>
        <v>621.18</v>
      </c>
      <c r="L503" s="4" t="n">
        <f aca="false">J503-K503</f>
        <v>314.16</v>
      </c>
    </row>
    <row r="504" customFormat="false" ht="15" hidden="false" customHeight="false" outlineLevel="0" collapsed="false">
      <c r="A504" s="0" t="n">
        <v>1491</v>
      </c>
      <c r="B504" s="2" t="n">
        <v>45504</v>
      </c>
      <c r="C504" s="3" t="s">
        <v>26</v>
      </c>
      <c r="D504" s="3" t="s">
        <v>13</v>
      </c>
      <c r="E504" s="3" t="s">
        <v>24</v>
      </c>
      <c r="F504" s="3" t="s">
        <v>22</v>
      </c>
      <c r="G504" s="0" t="n">
        <v>23</v>
      </c>
      <c r="H504" s="4" t="n">
        <v>51.67</v>
      </c>
      <c r="I504" s="4" t="n">
        <v>29.69</v>
      </c>
      <c r="J504" s="4" t="n">
        <f aca="false">G504*H504</f>
        <v>1188.41</v>
      </c>
      <c r="K504" s="4" t="n">
        <f aca="false">G504*I504</f>
        <v>682.87</v>
      </c>
      <c r="L504" s="4" t="n">
        <f aca="false">J504-K504</f>
        <v>505.54</v>
      </c>
    </row>
    <row r="505" customFormat="false" ht="15" hidden="false" customHeight="false" outlineLevel="0" collapsed="false">
      <c r="A505" s="0" t="n">
        <v>1570</v>
      </c>
      <c r="B505" s="2" t="n">
        <v>45504</v>
      </c>
      <c r="C505" s="3" t="s">
        <v>26</v>
      </c>
      <c r="D505" s="3" t="s">
        <v>29</v>
      </c>
      <c r="E505" s="3" t="s">
        <v>30</v>
      </c>
      <c r="F505" s="3" t="s">
        <v>33</v>
      </c>
      <c r="G505" s="0" t="n">
        <v>4</v>
      </c>
      <c r="H505" s="4" t="n">
        <v>340.04</v>
      </c>
      <c r="I505" s="4" t="n">
        <v>184.92</v>
      </c>
      <c r="J505" s="4" t="n">
        <f aca="false">G505*H505</f>
        <v>1360.16</v>
      </c>
      <c r="K505" s="4" t="n">
        <f aca="false">G505*I505</f>
        <v>739.68</v>
      </c>
      <c r="L505" s="4" t="n">
        <f aca="false">J505-K505</f>
        <v>620.48</v>
      </c>
    </row>
    <row r="506" customFormat="false" ht="15" hidden="false" customHeight="false" outlineLevel="0" collapsed="false">
      <c r="A506" s="0" t="n">
        <v>2154</v>
      </c>
      <c r="B506" s="2" t="n">
        <v>45505</v>
      </c>
      <c r="C506" s="3" t="s">
        <v>23</v>
      </c>
      <c r="D506" s="3" t="s">
        <v>17</v>
      </c>
      <c r="E506" s="3" t="s">
        <v>18</v>
      </c>
      <c r="F506" s="3" t="s">
        <v>28</v>
      </c>
      <c r="G506" s="0" t="n">
        <v>26</v>
      </c>
      <c r="H506" s="4" t="n">
        <v>226.86</v>
      </c>
      <c r="I506" s="4" t="n">
        <v>168.4</v>
      </c>
      <c r="J506" s="4" t="n">
        <f aca="false">G506*H506</f>
        <v>5898.36</v>
      </c>
      <c r="K506" s="4" t="n">
        <f aca="false">G506*I506</f>
        <v>4378.4</v>
      </c>
      <c r="L506" s="4" t="n">
        <f aca="false">J506-K506</f>
        <v>1519.96</v>
      </c>
    </row>
    <row r="507" customFormat="false" ht="15" hidden="false" customHeight="false" outlineLevel="0" collapsed="false">
      <c r="A507" s="0" t="n">
        <v>2458</v>
      </c>
      <c r="B507" s="2" t="n">
        <v>45505</v>
      </c>
      <c r="C507" s="3" t="s">
        <v>32</v>
      </c>
      <c r="D507" s="3" t="s">
        <v>13</v>
      </c>
      <c r="E507" s="3" t="s">
        <v>46</v>
      </c>
      <c r="F507" s="3" t="s">
        <v>15</v>
      </c>
      <c r="G507" s="0" t="n">
        <v>38</v>
      </c>
      <c r="H507" s="4" t="n">
        <v>43.41</v>
      </c>
      <c r="I507" s="4" t="n">
        <v>23.24</v>
      </c>
      <c r="J507" s="4" t="n">
        <f aca="false">G507*H507</f>
        <v>1649.58</v>
      </c>
      <c r="K507" s="4" t="n">
        <f aca="false">G507*I507</f>
        <v>883.12</v>
      </c>
      <c r="L507" s="4" t="n">
        <f aca="false">J507-K507</f>
        <v>766.46</v>
      </c>
    </row>
    <row r="508" customFormat="false" ht="15" hidden="false" customHeight="false" outlineLevel="0" collapsed="false">
      <c r="A508" s="0" t="n">
        <v>1330</v>
      </c>
      <c r="B508" s="2" t="n">
        <v>45506</v>
      </c>
      <c r="C508" s="3" t="s">
        <v>12</v>
      </c>
      <c r="D508" s="3" t="s">
        <v>13</v>
      </c>
      <c r="E508" s="3" t="s">
        <v>14</v>
      </c>
      <c r="F508" s="3" t="s">
        <v>25</v>
      </c>
      <c r="G508" s="0" t="n">
        <v>9</v>
      </c>
      <c r="H508" s="4" t="n">
        <v>39.11</v>
      </c>
      <c r="I508" s="4" t="n">
        <v>23.3</v>
      </c>
      <c r="J508" s="4" t="n">
        <f aca="false">G508*H508</f>
        <v>351.99</v>
      </c>
      <c r="K508" s="4" t="n">
        <f aca="false">G508*I508</f>
        <v>209.7</v>
      </c>
      <c r="L508" s="4" t="n">
        <f aca="false">J508-K508</f>
        <v>142.29</v>
      </c>
    </row>
    <row r="509" customFormat="false" ht="15" hidden="false" customHeight="false" outlineLevel="0" collapsed="false">
      <c r="A509" s="0" t="n">
        <v>1507</v>
      </c>
      <c r="B509" s="2" t="n">
        <v>45506</v>
      </c>
      <c r="C509" s="3" t="s">
        <v>32</v>
      </c>
      <c r="D509" s="3" t="s">
        <v>13</v>
      </c>
      <c r="E509" s="3" t="s">
        <v>24</v>
      </c>
      <c r="F509" s="3" t="s">
        <v>15</v>
      </c>
      <c r="G509" s="0" t="n">
        <v>18</v>
      </c>
      <c r="H509" s="4" t="n">
        <v>47.05</v>
      </c>
      <c r="I509" s="4" t="n">
        <v>25.38</v>
      </c>
      <c r="J509" s="4" t="n">
        <f aca="false">G509*H509</f>
        <v>846.9</v>
      </c>
      <c r="K509" s="4" t="n">
        <f aca="false">G509*I509</f>
        <v>456.84</v>
      </c>
      <c r="L509" s="4" t="n">
        <f aca="false">J509-K509</f>
        <v>390.06</v>
      </c>
    </row>
    <row r="510" customFormat="false" ht="15" hidden="false" customHeight="false" outlineLevel="0" collapsed="false">
      <c r="A510" s="0" t="n">
        <v>1669</v>
      </c>
      <c r="B510" s="2" t="n">
        <v>45506</v>
      </c>
      <c r="C510" s="3" t="s">
        <v>23</v>
      </c>
      <c r="D510" s="3" t="s">
        <v>13</v>
      </c>
      <c r="E510" s="3" t="s">
        <v>24</v>
      </c>
      <c r="F510" s="3" t="s">
        <v>36</v>
      </c>
      <c r="G510" s="0" t="n">
        <v>35</v>
      </c>
      <c r="H510" s="4" t="n">
        <v>20.15</v>
      </c>
      <c r="I510" s="4" t="n">
        <v>10.18</v>
      </c>
      <c r="J510" s="4" t="n">
        <f aca="false">G510*H510</f>
        <v>705.25</v>
      </c>
      <c r="K510" s="4" t="n">
        <f aca="false">G510*I510</f>
        <v>356.3</v>
      </c>
      <c r="L510" s="4" t="n">
        <f aca="false">J510-K510</f>
        <v>348.95</v>
      </c>
    </row>
    <row r="511" customFormat="false" ht="15" hidden="false" customHeight="false" outlineLevel="0" collapsed="false">
      <c r="A511" s="0" t="n">
        <v>1417</v>
      </c>
      <c r="B511" s="2" t="n">
        <v>45507</v>
      </c>
      <c r="C511" s="3" t="s">
        <v>23</v>
      </c>
      <c r="D511" s="3" t="s">
        <v>17</v>
      </c>
      <c r="E511" s="3" t="s">
        <v>40</v>
      </c>
      <c r="F511" s="3" t="s">
        <v>33</v>
      </c>
      <c r="G511" s="0" t="n">
        <v>40</v>
      </c>
      <c r="H511" s="4" t="n">
        <v>783.95</v>
      </c>
      <c r="I511" s="4" t="n">
        <v>579.83</v>
      </c>
      <c r="J511" s="4" t="n">
        <f aca="false">G511*H511</f>
        <v>31358</v>
      </c>
      <c r="K511" s="4" t="n">
        <f aca="false">G511*I511</f>
        <v>23193.2</v>
      </c>
      <c r="L511" s="4" t="n">
        <f aca="false">J511-K511</f>
        <v>8164.8</v>
      </c>
    </row>
    <row r="512" customFormat="false" ht="15" hidden="false" customHeight="false" outlineLevel="0" collapsed="false">
      <c r="A512" s="0" t="n">
        <v>1736</v>
      </c>
      <c r="B512" s="2" t="n">
        <v>45507</v>
      </c>
      <c r="C512" s="3" t="s">
        <v>32</v>
      </c>
      <c r="D512" s="3" t="s">
        <v>20</v>
      </c>
      <c r="E512" s="3" t="s">
        <v>34</v>
      </c>
      <c r="F512" s="3" t="s">
        <v>33</v>
      </c>
      <c r="G512" s="0" t="n">
        <v>24</v>
      </c>
      <c r="H512" s="4" t="n">
        <v>299.35</v>
      </c>
      <c r="I512" s="4" t="n">
        <v>215.66</v>
      </c>
      <c r="J512" s="4" t="n">
        <f aca="false">G512*H512</f>
        <v>7184.4</v>
      </c>
      <c r="K512" s="4" t="n">
        <f aca="false">G512*I512</f>
        <v>5175.84</v>
      </c>
      <c r="L512" s="4" t="n">
        <f aca="false">J512-K512</f>
        <v>2008.56</v>
      </c>
    </row>
    <row r="513" customFormat="false" ht="15" hidden="false" customHeight="false" outlineLevel="0" collapsed="false">
      <c r="A513" s="0" t="n">
        <v>1807</v>
      </c>
      <c r="B513" s="2" t="n">
        <v>45507</v>
      </c>
      <c r="C513" s="3" t="s">
        <v>12</v>
      </c>
      <c r="D513" s="3" t="s">
        <v>17</v>
      </c>
      <c r="E513" s="3" t="s">
        <v>44</v>
      </c>
      <c r="F513" s="3" t="s">
        <v>28</v>
      </c>
      <c r="G513" s="0" t="n">
        <v>26</v>
      </c>
      <c r="H513" s="4" t="n">
        <v>311.25</v>
      </c>
      <c r="I513" s="4" t="n">
        <v>157.3</v>
      </c>
      <c r="J513" s="4" t="n">
        <f aca="false">G513*H513</f>
        <v>8092.5</v>
      </c>
      <c r="K513" s="4" t="n">
        <f aca="false">G513*I513</f>
        <v>4089.8</v>
      </c>
      <c r="L513" s="4" t="n">
        <f aca="false">J513-K513</f>
        <v>4002.7</v>
      </c>
    </row>
    <row r="514" customFormat="false" ht="15" hidden="false" customHeight="false" outlineLevel="0" collapsed="false">
      <c r="A514" s="0" t="n">
        <v>2156</v>
      </c>
      <c r="B514" s="2" t="n">
        <v>45507</v>
      </c>
      <c r="C514" s="3" t="s">
        <v>26</v>
      </c>
      <c r="D514" s="3" t="s">
        <v>29</v>
      </c>
      <c r="E514" s="3" t="s">
        <v>41</v>
      </c>
      <c r="F514" s="3" t="s">
        <v>15</v>
      </c>
      <c r="G514" s="0" t="n">
        <v>33</v>
      </c>
      <c r="H514" s="4" t="n">
        <v>83.05</v>
      </c>
      <c r="I514" s="4" t="n">
        <v>49.84</v>
      </c>
      <c r="J514" s="4" t="n">
        <f aca="false">G514*H514</f>
        <v>2740.65</v>
      </c>
      <c r="K514" s="4" t="n">
        <f aca="false">G514*I514</f>
        <v>1644.72</v>
      </c>
      <c r="L514" s="4" t="n">
        <f aca="false">J514-K514</f>
        <v>1095.93</v>
      </c>
    </row>
    <row r="515" customFormat="false" ht="15" hidden="false" customHeight="false" outlineLevel="0" collapsed="false">
      <c r="A515" s="0" t="n">
        <v>2226</v>
      </c>
      <c r="B515" s="2" t="n">
        <v>45507</v>
      </c>
      <c r="C515" s="3" t="s">
        <v>32</v>
      </c>
      <c r="D515" s="3" t="s">
        <v>17</v>
      </c>
      <c r="E515" s="3" t="s">
        <v>35</v>
      </c>
      <c r="F515" s="3" t="s">
        <v>22</v>
      </c>
      <c r="G515" s="0" t="n">
        <v>10</v>
      </c>
      <c r="H515" s="4" t="n">
        <v>346.73</v>
      </c>
      <c r="I515" s="4" t="n">
        <v>190.76</v>
      </c>
      <c r="J515" s="4" t="n">
        <f aca="false">G515*H515</f>
        <v>3467.3</v>
      </c>
      <c r="K515" s="4" t="n">
        <f aca="false">G515*I515</f>
        <v>1907.6</v>
      </c>
      <c r="L515" s="4" t="n">
        <f aca="false">J515-K515</f>
        <v>1559.7</v>
      </c>
    </row>
    <row r="516" customFormat="false" ht="15" hidden="false" customHeight="false" outlineLevel="0" collapsed="false">
      <c r="A516" s="0" t="n">
        <v>1016</v>
      </c>
      <c r="B516" s="2" t="n">
        <v>45508</v>
      </c>
      <c r="C516" s="3" t="s">
        <v>16</v>
      </c>
      <c r="D516" s="3" t="s">
        <v>13</v>
      </c>
      <c r="E516" s="3" t="s">
        <v>31</v>
      </c>
      <c r="F516" s="3" t="s">
        <v>36</v>
      </c>
      <c r="G516" s="0" t="n">
        <v>24</v>
      </c>
      <c r="H516" s="4" t="n">
        <v>32.5</v>
      </c>
      <c r="I516" s="4" t="n">
        <v>19</v>
      </c>
      <c r="J516" s="4" t="n">
        <f aca="false">G516*H516</f>
        <v>780</v>
      </c>
      <c r="K516" s="4" t="n">
        <f aca="false">G516*I516</f>
        <v>456</v>
      </c>
      <c r="L516" s="4" t="n">
        <f aca="false">J516-K516</f>
        <v>324</v>
      </c>
    </row>
    <row r="517" customFormat="false" ht="15" hidden="false" customHeight="false" outlineLevel="0" collapsed="false">
      <c r="A517" s="0" t="n">
        <v>2411</v>
      </c>
      <c r="B517" s="2" t="n">
        <v>45508</v>
      </c>
      <c r="C517" s="3" t="s">
        <v>16</v>
      </c>
      <c r="D517" s="3" t="s">
        <v>20</v>
      </c>
      <c r="E517" s="3" t="s">
        <v>34</v>
      </c>
      <c r="F517" s="3" t="s">
        <v>15</v>
      </c>
      <c r="G517" s="0" t="n">
        <v>23</v>
      </c>
      <c r="H517" s="4" t="n">
        <v>181.93</v>
      </c>
      <c r="I517" s="4" t="n">
        <v>103.22</v>
      </c>
      <c r="J517" s="4" t="n">
        <f aca="false">G517*H517</f>
        <v>4184.39</v>
      </c>
      <c r="K517" s="4" t="n">
        <f aca="false">G517*I517</f>
        <v>2374.06</v>
      </c>
      <c r="L517" s="4" t="n">
        <f aca="false">J517-K517</f>
        <v>1810.33</v>
      </c>
    </row>
    <row r="518" customFormat="false" ht="15" hidden="false" customHeight="false" outlineLevel="0" collapsed="false">
      <c r="A518" s="0" t="n">
        <v>1769</v>
      </c>
      <c r="B518" s="2" t="n">
        <v>45509</v>
      </c>
      <c r="C518" s="3" t="s">
        <v>23</v>
      </c>
      <c r="D518" s="3" t="s">
        <v>13</v>
      </c>
      <c r="E518" s="3" t="s">
        <v>45</v>
      </c>
      <c r="F518" s="3" t="s">
        <v>15</v>
      </c>
      <c r="G518" s="0" t="n">
        <v>40</v>
      </c>
      <c r="H518" s="4" t="n">
        <v>6.84</v>
      </c>
      <c r="I518" s="4" t="n">
        <v>4.44</v>
      </c>
      <c r="J518" s="4" t="n">
        <f aca="false">G518*H518</f>
        <v>273.6</v>
      </c>
      <c r="K518" s="4" t="n">
        <f aca="false">G518*I518</f>
        <v>177.6</v>
      </c>
      <c r="L518" s="4" t="n">
        <f aca="false">J518-K518</f>
        <v>96</v>
      </c>
    </row>
    <row r="519" customFormat="false" ht="15" hidden="false" customHeight="false" outlineLevel="0" collapsed="false">
      <c r="A519" s="0" t="n">
        <v>2666</v>
      </c>
      <c r="B519" s="2" t="n">
        <v>45510</v>
      </c>
      <c r="C519" s="3" t="s">
        <v>32</v>
      </c>
      <c r="D519" s="3" t="s">
        <v>20</v>
      </c>
      <c r="E519" s="3" t="s">
        <v>38</v>
      </c>
      <c r="F519" s="3" t="s">
        <v>39</v>
      </c>
      <c r="G519" s="0" t="n">
        <v>22</v>
      </c>
      <c r="H519" s="4" t="n">
        <v>133.58</v>
      </c>
      <c r="I519" s="4" t="n">
        <v>75.91</v>
      </c>
      <c r="J519" s="4" t="n">
        <f aca="false">G519*H519</f>
        <v>2938.76</v>
      </c>
      <c r="K519" s="4" t="n">
        <f aca="false">G519*I519</f>
        <v>1670.02</v>
      </c>
      <c r="L519" s="4" t="n">
        <f aca="false">J519-K519</f>
        <v>1268.74</v>
      </c>
    </row>
    <row r="520" customFormat="false" ht="15" hidden="false" customHeight="false" outlineLevel="0" collapsed="false">
      <c r="A520" s="0" t="n">
        <v>1109</v>
      </c>
      <c r="B520" s="2" t="n">
        <v>45512</v>
      </c>
      <c r="C520" s="3" t="s">
        <v>23</v>
      </c>
      <c r="D520" s="3" t="s">
        <v>20</v>
      </c>
      <c r="E520" s="3" t="s">
        <v>34</v>
      </c>
      <c r="F520" s="3" t="s">
        <v>36</v>
      </c>
      <c r="G520" s="0" t="n">
        <v>22</v>
      </c>
      <c r="H520" s="4" t="n">
        <v>107.51</v>
      </c>
      <c r="I520" s="4" t="n">
        <v>62.15</v>
      </c>
      <c r="J520" s="4" t="n">
        <f aca="false">G520*H520</f>
        <v>2365.22</v>
      </c>
      <c r="K520" s="4" t="n">
        <f aca="false">G520*I520</f>
        <v>1367.3</v>
      </c>
      <c r="L520" s="4" t="n">
        <f aca="false">J520-K520</f>
        <v>997.92</v>
      </c>
    </row>
    <row r="521" customFormat="false" ht="15" hidden="false" customHeight="false" outlineLevel="0" collapsed="false">
      <c r="A521" s="0" t="n">
        <v>1538</v>
      </c>
      <c r="B521" s="2" t="n">
        <v>45514</v>
      </c>
      <c r="C521" s="3" t="s">
        <v>16</v>
      </c>
      <c r="D521" s="3" t="s">
        <v>17</v>
      </c>
      <c r="E521" s="3" t="s">
        <v>27</v>
      </c>
      <c r="F521" s="3" t="s">
        <v>25</v>
      </c>
      <c r="G521" s="0" t="n">
        <v>39</v>
      </c>
      <c r="H521" s="4" t="n">
        <v>169.12</v>
      </c>
      <c r="I521" s="4" t="n">
        <v>125.45</v>
      </c>
      <c r="J521" s="4" t="n">
        <f aca="false">G521*H521</f>
        <v>6595.68</v>
      </c>
      <c r="K521" s="4" t="n">
        <f aca="false">G521*I521</f>
        <v>4892.55</v>
      </c>
      <c r="L521" s="4" t="n">
        <f aca="false">J521-K521</f>
        <v>1703.13</v>
      </c>
    </row>
    <row r="522" customFormat="false" ht="15" hidden="false" customHeight="false" outlineLevel="0" collapsed="false">
      <c r="A522" s="0" t="n">
        <v>2290</v>
      </c>
      <c r="B522" s="2" t="n">
        <v>45514</v>
      </c>
      <c r="C522" s="3" t="s">
        <v>16</v>
      </c>
      <c r="D522" s="3" t="s">
        <v>17</v>
      </c>
      <c r="E522" s="3" t="s">
        <v>40</v>
      </c>
      <c r="F522" s="3" t="s">
        <v>22</v>
      </c>
      <c r="G522" s="0" t="n">
        <v>14</v>
      </c>
      <c r="H522" s="4" t="n">
        <v>756.85</v>
      </c>
      <c r="I522" s="4" t="n">
        <v>451.95</v>
      </c>
      <c r="J522" s="4" t="n">
        <f aca="false">G522*H522</f>
        <v>10595.9</v>
      </c>
      <c r="K522" s="4" t="n">
        <f aca="false">G522*I522</f>
        <v>6327.3</v>
      </c>
      <c r="L522" s="4" t="n">
        <f aca="false">J522-K522</f>
        <v>4268.6</v>
      </c>
    </row>
    <row r="523" customFormat="false" ht="15" hidden="false" customHeight="false" outlineLevel="0" collapsed="false">
      <c r="A523" s="0" t="n">
        <v>2414</v>
      </c>
      <c r="B523" s="2" t="n">
        <v>45515</v>
      </c>
      <c r="C523" s="3" t="s">
        <v>32</v>
      </c>
      <c r="D523" s="3" t="s">
        <v>17</v>
      </c>
      <c r="E523" s="3" t="s">
        <v>35</v>
      </c>
      <c r="F523" s="3" t="s">
        <v>22</v>
      </c>
      <c r="G523" s="0" t="n">
        <v>14</v>
      </c>
      <c r="H523" s="4" t="n">
        <v>662.48</v>
      </c>
      <c r="I523" s="4" t="n">
        <v>365.41</v>
      </c>
      <c r="J523" s="4" t="n">
        <f aca="false">G523*H523</f>
        <v>9274.72</v>
      </c>
      <c r="K523" s="4" t="n">
        <f aca="false">G523*I523</f>
        <v>5115.74</v>
      </c>
      <c r="L523" s="4" t="n">
        <f aca="false">J523-K523</f>
        <v>4158.98</v>
      </c>
    </row>
    <row r="524" customFormat="false" ht="15" hidden="false" customHeight="false" outlineLevel="0" collapsed="false">
      <c r="A524" s="0" t="n">
        <v>2766</v>
      </c>
      <c r="B524" s="2" t="n">
        <v>45515</v>
      </c>
      <c r="C524" s="3" t="s">
        <v>16</v>
      </c>
      <c r="D524" s="3" t="s">
        <v>29</v>
      </c>
      <c r="E524" s="3" t="s">
        <v>30</v>
      </c>
      <c r="F524" s="3" t="s">
        <v>39</v>
      </c>
      <c r="G524" s="0" t="n">
        <v>11</v>
      </c>
      <c r="H524" s="4" t="n">
        <v>455.57</v>
      </c>
      <c r="I524" s="4" t="n">
        <v>242.49</v>
      </c>
      <c r="J524" s="4" t="n">
        <f aca="false">G524*H524</f>
        <v>5011.27</v>
      </c>
      <c r="K524" s="4" t="n">
        <f aca="false">G524*I524</f>
        <v>2667.39</v>
      </c>
      <c r="L524" s="4" t="n">
        <f aca="false">J524-K524</f>
        <v>2343.88</v>
      </c>
    </row>
    <row r="525" customFormat="false" ht="15" hidden="false" customHeight="false" outlineLevel="0" collapsed="false">
      <c r="A525" s="0" t="n">
        <v>1805</v>
      </c>
      <c r="B525" s="2" t="n">
        <v>45516</v>
      </c>
      <c r="C525" s="3" t="s">
        <v>23</v>
      </c>
      <c r="D525" s="3" t="s">
        <v>20</v>
      </c>
      <c r="E525" s="3" t="s">
        <v>34</v>
      </c>
      <c r="F525" s="3" t="s">
        <v>15</v>
      </c>
      <c r="G525" s="0" t="n">
        <v>10</v>
      </c>
      <c r="H525" s="4" t="n">
        <v>29.62</v>
      </c>
      <c r="I525" s="4" t="n">
        <v>17.18</v>
      </c>
      <c r="J525" s="4" t="n">
        <f aca="false">G525*H525</f>
        <v>296.2</v>
      </c>
      <c r="K525" s="4" t="n">
        <f aca="false">G525*I525</f>
        <v>171.8</v>
      </c>
      <c r="L525" s="4" t="n">
        <f aca="false">J525-K525</f>
        <v>124.4</v>
      </c>
    </row>
    <row r="526" customFormat="false" ht="15" hidden="false" customHeight="false" outlineLevel="0" collapsed="false">
      <c r="A526" s="0" t="n">
        <v>2036</v>
      </c>
      <c r="B526" s="2" t="n">
        <v>45516</v>
      </c>
      <c r="C526" s="3" t="s">
        <v>32</v>
      </c>
      <c r="D526" s="3" t="s">
        <v>17</v>
      </c>
      <c r="E526" s="3" t="s">
        <v>40</v>
      </c>
      <c r="F526" s="3" t="s">
        <v>28</v>
      </c>
      <c r="G526" s="0" t="n">
        <v>27</v>
      </c>
      <c r="H526" s="4" t="n">
        <v>245.9</v>
      </c>
      <c r="I526" s="4" t="n">
        <v>129.73</v>
      </c>
      <c r="J526" s="4" t="n">
        <f aca="false">G526*H526</f>
        <v>6639.3</v>
      </c>
      <c r="K526" s="4" t="n">
        <f aca="false">G526*I526</f>
        <v>3502.71</v>
      </c>
      <c r="L526" s="4" t="n">
        <f aca="false">J526-K526</f>
        <v>3136.59</v>
      </c>
    </row>
    <row r="527" customFormat="false" ht="15" hidden="false" customHeight="false" outlineLevel="0" collapsed="false">
      <c r="A527" s="0" t="n">
        <v>2366</v>
      </c>
      <c r="B527" s="2" t="n">
        <v>45516</v>
      </c>
      <c r="C527" s="3" t="s">
        <v>23</v>
      </c>
      <c r="D527" s="3" t="s">
        <v>13</v>
      </c>
      <c r="E527" s="3" t="s">
        <v>14</v>
      </c>
      <c r="F527" s="3" t="s">
        <v>25</v>
      </c>
      <c r="G527" s="0" t="n">
        <v>6</v>
      </c>
      <c r="H527" s="4" t="n">
        <v>49.27</v>
      </c>
      <c r="I527" s="4" t="n">
        <v>29.22</v>
      </c>
      <c r="J527" s="4" t="n">
        <f aca="false">G527*H527</f>
        <v>295.62</v>
      </c>
      <c r="K527" s="4" t="n">
        <f aca="false">G527*I527</f>
        <v>175.32</v>
      </c>
      <c r="L527" s="4" t="n">
        <f aca="false">J527-K527</f>
        <v>120.3</v>
      </c>
    </row>
    <row r="528" customFormat="false" ht="15" hidden="false" customHeight="false" outlineLevel="0" collapsed="false">
      <c r="A528" s="0" t="n">
        <v>2544</v>
      </c>
      <c r="B528" s="2" t="n">
        <v>45516</v>
      </c>
      <c r="C528" s="3" t="s">
        <v>12</v>
      </c>
      <c r="D528" s="3" t="s">
        <v>20</v>
      </c>
      <c r="E528" s="3" t="s">
        <v>38</v>
      </c>
      <c r="F528" s="3" t="s">
        <v>39</v>
      </c>
      <c r="G528" s="0" t="n">
        <v>2</v>
      </c>
      <c r="H528" s="4" t="n">
        <v>247.01</v>
      </c>
      <c r="I528" s="4" t="n">
        <v>171.36</v>
      </c>
      <c r="J528" s="4" t="n">
        <f aca="false">G528*H528</f>
        <v>494.02</v>
      </c>
      <c r="K528" s="4" t="n">
        <f aca="false">G528*I528</f>
        <v>342.72</v>
      </c>
      <c r="L528" s="4" t="n">
        <f aca="false">J528-K528</f>
        <v>151.3</v>
      </c>
    </row>
    <row r="529" customFormat="false" ht="15" hidden="false" customHeight="false" outlineLevel="0" collapsed="false">
      <c r="A529" s="0" t="n">
        <v>1243</v>
      </c>
      <c r="B529" s="2" t="n">
        <v>45517</v>
      </c>
      <c r="C529" s="3" t="s">
        <v>32</v>
      </c>
      <c r="D529" s="3" t="s">
        <v>17</v>
      </c>
      <c r="E529" s="3" t="s">
        <v>40</v>
      </c>
      <c r="F529" s="3" t="s">
        <v>39</v>
      </c>
      <c r="G529" s="0" t="n">
        <v>35</v>
      </c>
      <c r="H529" s="4" t="n">
        <v>302.48</v>
      </c>
      <c r="I529" s="4" t="n">
        <v>188.7</v>
      </c>
      <c r="J529" s="4" t="n">
        <f aca="false">G529*H529</f>
        <v>10586.8</v>
      </c>
      <c r="K529" s="4" t="n">
        <f aca="false">G529*I529</f>
        <v>6604.5</v>
      </c>
      <c r="L529" s="4" t="n">
        <f aca="false">J529-K529</f>
        <v>3982.3</v>
      </c>
    </row>
    <row r="530" customFormat="false" ht="15" hidden="false" customHeight="false" outlineLevel="0" collapsed="false">
      <c r="A530" s="0" t="n">
        <v>1584</v>
      </c>
      <c r="B530" s="2" t="n">
        <v>45517</v>
      </c>
      <c r="C530" s="3" t="s">
        <v>23</v>
      </c>
      <c r="D530" s="3" t="s">
        <v>29</v>
      </c>
      <c r="E530" s="3" t="s">
        <v>30</v>
      </c>
      <c r="F530" s="3" t="s">
        <v>33</v>
      </c>
      <c r="G530" s="0" t="n">
        <v>4</v>
      </c>
      <c r="H530" s="4" t="n">
        <v>301.1</v>
      </c>
      <c r="I530" s="4" t="n">
        <v>208.29</v>
      </c>
      <c r="J530" s="4" t="n">
        <f aca="false">G530*H530</f>
        <v>1204.4</v>
      </c>
      <c r="K530" s="4" t="n">
        <f aca="false">G530*I530</f>
        <v>833.16</v>
      </c>
      <c r="L530" s="4" t="n">
        <f aca="false">J530-K530</f>
        <v>371.24</v>
      </c>
    </row>
    <row r="531" customFormat="false" ht="15" hidden="false" customHeight="false" outlineLevel="0" collapsed="false">
      <c r="A531" s="0" t="n">
        <v>2341</v>
      </c>
      <c r="B531" s="2" t="n">
        <v>45517</v>
      </c>
      <c r="C531" s="3" t="s">
        <v>32</v>
      </c>
      <c r="D531" s="3" t="s">
        <v>17</v>
      </c>
      <c r="E531" s="3" t="s">
        <v>27</v>
      </c>
      <c r="F531" s="3" t="s">
        <v>39</v>
      </c>
      <c r="G531" s="0" t="n">
        <v>20</v>
      </c>
      <c r="H531" s="4" t="n">
        <v>425.56</v>
      </c>
      <c r="I531" s="4" t="n">
        <v>237.48</v>
      </c>
      <c r="J531" s="4" t="n">
        <f aca="false">G531*H531</f>
        <v>8511.2</v>
      </c>
      <c r="K531" s="4" t="n">
        <f aca="false">G531*I531</f>
        <v>4749.6</v>
      </c>
      <c r="L531" s="4" t="n">
        <f aca="false">J531-K531</f>
        <v>3761.6</v>
      </c>
    </row>
    <row r="532" customFormat="false" ht="15" hidden="false" customHeight="false" outlineLevel="0" collapsed="false">
      <c r="A532" s="0" t="n">
        <v>2759</v>
      </c>
      <c r="B532" s="2" t="n">
        <v>45517</v>
      </c>
      <c r="C532" s="3" t="s">
        <v>23</v>
      </c>
      <c r="D532" s="3" t="s">
        <v>13</v>
      </c>
      <c r="E532" s="3" t="s">
        <v>45</v>
      </c>
      <c r="F532" s="3" t="s">
        <v>36</v>
      </c>
      <c r="G532" s="0" t="n">
        <v>18</v>
      </c>
      <c r="H532" s="4" t="n">
        <v>38.14</v>
      </c>
      <c r="I532" s="4" t="n">
        <v>20.12</v>
      </c>
      <c r="J532" s="4" t="n">
        <f aca="false">G532*H532</f>
        <v>686.52</v>
      </c>
      <c r="K532" s="4" t="n">
        <f aca="false">G532*I532</f>
        <v>362.16</v>
      </c>
      <c r="L532" s="4" t="n">
        <f aca="false">J532-K532</f>
        <v>324.36</v>
      </c>
    </row>
    <row r="533" customFormat="false" ht="15" hidden="false" customHeight="false" outlineLevel="0" collapsed="false">
      <c r="A533" s="0" t="n">
        <v>2517</v>
      </c>
      <c r="B533" s="2" t="n">
        <v>45519</v>
      </c>
      <c r="C533" s="3" t="s">
        <v>12</v>
      </c>
      <c r="D533" s="3" t="s">
        <v>17</v>
      </c>
      <c r="E533" s="3" t="s">
        <v>40</v>
      </c>
      <c r="F533" s="3" t="s">
        <v>36</v>
      </c>
      <c r="G533" s="0" t="n">
        <v>11</v>
      </c>
      <c r="H533" s="4" t="n">
        <v>279.01</v>
      </c>
      <c r="I533" s="4" t="n">
        <v>192.62</v>
      </c>
      <c r="J533" s="4" t="n">
        <f aca="false">G533*H533</f>
        <v>3069.11</v>
      </c>
      <c r="K533" s="4" t="n">
        <f aca="false">G533*I533</f>
        <v>2118.82</v>
      </c>
      <c r="L533" s="4" t="n">
        <f aca="false">J533-K533</f>
        <v>950.29</v>
      </c>
    </row>
    <row r="534" customFormat="false" ht="15" hidden="false" customHeight="false" outlineLevel="0" collapsed="false">
      <c r="A534" s="0" t="n">
        <v>1035</v>
      </c>
      <c r="B534" s="2" t="n">
        <v>45520</v>
      </c>
      <c r="C534" s="3" t="s">
        <v>26</v>
      </c>
      <c r="D534" s="3" t="s">
        <v>13</v>
      </c>
      <c r="E534" s="3" t="s">
        <v>14</v>
      </c>
      <c r="F534" s="3" t="s">
        <v>33</v>
      </c>
      <c r="G534" s="0" t="n">
        <v>18</v>
      </c>
      <c r="H534" s="4" t="n">
        <v>58.11</v>
      </c>
      <c r="I534" s="4" t="n">
        <v>34.86</v>
      </c>
      <c r="J534" s="4" t="n">
        <f aca="false">G534*H534</f>
        <v>1045.98</v>
      </c>
      <c r="K534" s="4" t="n">
        <f aca="false">G534*I534</f>
        <v>627.48</v>
      </c>
      <c r="L534" s="4" t="n">
        <f aca="false">J534-K534</f>
        <v>418.5</v>
      </c>
    </row>
    <row r="535" customFormat="false" ht="15" hidden="false" customHeight="false" outlineLevel="0" collapsed="false">
      <c r="A535" s="0" t="n">
        <v>1351</v>
      </c>
      <c r="B535" s="2" t="n">
        <v>45520</v>
      </c>
      <c r="C535" s="3" t="s">
        <v>23</v>
      </c>
      <c r="D535" s="3" t="s">
        <v>29</v>
      </c>
      <c r="E535" s="3" t="s">
        <v>41</v>
      </c>
      <c r="F535" s="3" t="s">
        <v>33</v>
      </c>
      <c r="G535" s="0" t="n">
        <v>29</v>
      </c>
      <c r="H535" s="4" t="n">
        <v>173.13</v>
      </c>
      <c r="I535" s="4" t="n">
        <v>122.48</v>
      </c>
      <c r="J535" s="4" t="n">
        <f aca="false">G535*H535</f>
        <v>5020.77</v>
      </c>
      <c r="K535" s="4" t="n">
        <f aca="false">G535*I535</f>
        <v>3551.92</v>
      </c>
      <c r="L535" s="4" t="n">
        <f aca="false">J535-K535</f>
        <v>1468.85</v>
      </c>
    </row>
    <row r="536" customFormat="false" ht="15" hidden="false" customHeight="false" outlineLevel="0" collapsed="false">
      <c r="A536" s="0" t="n">
        <v>1388</v>
      </c>
      <c r="B536" s="2" t="n">
        <v>45520</v>
      </c>
      <c r="C536" s="3" t="s">
        <v>16</v>
      </c>
      <c r="D536" s="3" t="s">
        <v>20</v>
      </c>
      <c r="E536" s="3" t="s">
        <v>38</v>
      </c>
      <c r="F536" s="3" t="s">
        <v>33</v>
      </c>
      <c r="G536" s="0" t="n">
        <v>32</v>
      </c>
      <c r="H536" s="4" t="n">
        <v>266.97</v>
      </c>
      <c r="I536" s="4" t="n">
        <v>162.84</v>
      </c>
      <c r="J536" s="4" t="n">
        <f aca="false">G536*H536</f>
        <v>8543.04</v>
      </c>
      <c r="K536" s="4" t="n">
        <f aca="false">G536*I536</f>
        <v>5210.88</v>
      </c>
      <c r="L536" s="4" t="n">
        <f aca="false">J536-K536</f>
        <v>3332.16</v>
      </c>
    </row>
    <row r="537" customFormat="false" ht="15" hidden="false" customHeight="false" outlineLevel="0" collapsed="false">
      <c r="A537" s="0" t="n">
        <v>1512</v>
      </c>
      <c r="B537" s="2" t="n">
        <v>45521</v>
      </c>
      <c r="C537" s="3" t="s">
        <v>12</v>
      </c>
      <c r="D537" s="3" t="s">
        <v>29</v>
      </c>
      <c r="E537" s="3" t="s">
        <v>43</v>
      </c>
      <c r="F537" s="3" t="s">
        <v>36</v>
      </c>
      <c r="G537" s="0" t="n">
        <v>12</v>
      </c>
      <c r="H537" s="4" t="n">
        <v>411.29</v>
      </c>
      <c r="I537" s="4" t="n">
        <v>252.25</v>
      </c>
      <c r="J537" s="4" t="n">
        <f aca="false">G537*H537</f>
        <v>4935.48</v>
      </c>
      <c r="K537" s="4" t="n">
        <f aca="false">G537*I537</f>
        <v>3027</v>
      </c>
      <c r="L537" s="4" t="n">
        <f aca="false">J537-K537</f>
        <v>1908.48</v>
      </c>
    </row>
    <row r="538" customFormat="false" ht="15" hidden="false" customHeight="false" outlineLevel="0" collapsed="false">
      <c r="A538" s="0" t="n">
        <v>2012</v>
      </c>
      <c r="B538" s="2" t="n">
        <v>45521</v>
      </c>
      <c r="C538" s="3" t="s">
        <v>16</v>
      </c>
      <c r="D538" s="3" t="s">
        <v>20</v>
      </c>
      <c r="E538" s="3" t="s">
        <v>42</v>
      </c>
      <c r="F538" s="3" t="s">
        <v>22</v>
      </c>
      <c r="G538" s="0" t="n">
        <v>39</v>
      </c>
      <c r="H538" s="4" t="n">
        <v>95.37</v>
      </c>
      <c r="I538" s="4" t="n">
        <v>67.62</v>
      </c>
      <c r="J538" s="4" t="n">
        <f aca="false">G538*H538</f>
        <v>3719.43</v>
      </c>
      <c r="K538" s="4" t="n">
        <f aca="false">G538*I538</f>
        <v>2637.18</v>
      </c>
      <c r="L538" s="4" t="n">
        <f aca="false">J538-K538</f>
        <v>1082.25</v>
      </c>
    </row>
    <row r="539" customFormat="false" ht="15" hidden="false" customHeight="false" outlineLevel="0" collapsed="false">
      <c r="A539" s="0" t="n">
        <v>2195</v>
      </c>
      <c r="B539" s="2" t="n">
        <v>45521</v>
      </c>
      <c r="C539" s="3" t="s">
        <v>12</v>
      </c>
      <c r="D539" s="3" t="s">
        <v>13</v>
      </c>
      <c r="E539" s="3" t="s">
        <v>24</v>
      </c>
      <c r="F539" s="3" t="s">
        <v>28</v>
      </c>
      <c r="G539" s="0" t="n">
        <v>14</v>
      </c>
      <c r="H539" s="4" t="n">
        <v>19.92</v>
      </c>
      <c r="I539" s="4" t="n">
        <v>12.37</v>
      </c>
      <c r="J539" s="4" t="n">
        <f aca="false">G539*H539</f>
        <v>278.88</v>
      </c>
      <c r="K539" s="4" t="n">
        <f aca="false">G539*I539</f>
        <v>173.18</v>
      </c>
      <c r="L539" s="4" t="n">
        <f aca="false">J539-K539</f>
        <v>105.7</v>
      </c>
    </row>
    <row r="540" customFormat="false" ht="15" hidden="false" customHeight="false" outlineLevel="0" collapsed="false">
      <c r="A540" s="0" t="n">
        <v>1319</v>
      </c>
      <c r="B540" s="2" t="n">
        <v>45522</v>
      </c>
      <c r="C540" s="3" t="s">
        <v>12</v>
      </c>
      <c r="D540" s="3" t="s">
        <v>29</v>
      </c>
      <c r="E540" s="3" t="s">
        <v>41</v>
      </c>
      <c r="F540" s="3" t="s">
        <v>22</v>
      </c>
      <c r="G540" s="0" t="n">
        <v>1</v>
      </c>
      <c r="H540" s="4" t="n">
        <v>152.74</v>
      </c>
      <c r="I540" s="4" t="n">
        <v>84.91</v>
      </c>
      <c r="J540" s="4" t="n">
        <f aca="false">G540*H540</f>
        <v>152.74</v>
      </c>
      <c r="K540" s="4" t="n">
        <f aca="false">G540*I540</f>
        <v>84.91</v>
      </c>
      <c r="L540" s="4" t="n">
        <f aca="false">J540-K540</f>
        <v>67.83</v>
      </c>
    </row>
    <row r="541" customFormat="false" ht="15" hidden="false" customHeight="false" outlineLevel="0" collapsed="false">
      <c r="A541" s="0" t="n">
        <v>2684</v>
      </c>
      <c r="B541" s="2" t="n">
        <v>45522</v>
      </c>
      <c r="C541" s="3" t="s">
        <v>26</v>
      </c>
      <c r="D541" s="3" t="s">
        <v>17</v>
      </c>
      <c r="E541" s="3" t="s">
        <v>18</v>
      </c>
      <c r="F541" s="3" t="s">
        <v>28</v>
      </c>
      <c r="G541" s="0" t="n">
        <v>30</v>
      </c>
      <c r="H541" s="4" t="n">
        <v>376.66</v>
      </c>
      <c r="I541" s="4" t="n">
        <v>208.85</v>
      </c>
      <c r="J541" s="4" t="n">
        <f aca="false">G541*H541</f>
        <v>11299.8</v>
      </c>
      <c r="K541" s="4" t="n">
        <f aca="false">G541*I541</f>
        <v>6265.5</v>
      </c>
      <c r="L541" s="4" t="n">
        <f aca="false">J541-K541</f>
        <v>5034.3</v>
      </c>
    </row>
    <row r="542" customFormat="false" ht="15" hidden="false" customHeight="false" outlineLevel="0" collapsed="false">
      <c r="A542" s="0" t="n">
        <v>1133</v>
      </c>
      <c r="B542" s="2" t="n">
        <v>45523</v>
      </c>
      <c r="C542" s="3" t="s">
        <v>12</v>
      </c>
      <c r="D542" s="3" t="s">
        <v>13</v>
      </c>
      <c r="E542" s="3" t="s">
        <v>45</v>
      </c>
      <c r="F542" s="3" t="s">
        <v>15</v>
      </c>
      <c r="G542" s="0" t="n">
        <v>7</v>
      </c>
      <c r="H542" s="4" t="n">
        <v>33.77</v>
      </c>
      <c r="I542" s="4" t="n">
        <v>22.47</v>
      </c>
      <c r="J542" s="4" t="n">
        <f aca="false">G542*H542</f>
        <v>236.39</v>
      </c>
      <c r="K542" s="4" t="n">
        <f aca="false">G542*I542</f>
        <v>157.29</v>
      </c>
      <c r="L542" s="4" t="n">
        <f aca="false">J542-K542</f>
        <v>79.1</v>
      </c>
    </row>
    <row r="543" customFormat="false" ht="15" hidden="false" customHeight="false" outlineLevel="0" collapsed="false">
      <c r="A543" s="0" t="n">
        <v>1332</v>
      </c>
      <c r="B543" s="2" t="n">
        <v>45523</v>
      </c>
      <c r="C543" s="3" t="s">
        <v>32</v>
      </c>
      <c r="D543" s="3" t="s">
        <v>29</v>
      </c>
      <c r="E543" s="3" t="s">
        <v>37</v>
      </c>
      <c r="F543" s="3" t="s">
        <v>25</v>
      </c>
      <c r="G543" s="0" t="n">
        <v>25</v>
      </c>
      <c r="H543" s="4" t="n">
        <v>107.42</v>
      </c>
      <c r="I543" s="4" t="n">
        <v>79.18</v>
      </c>
      <c r="J543" s="4" t="n">
        <f aca="false">G543*H543</f>
        <v>2685.5</v>
      </c>
      <c r="K543" s="4" t="n">
        <f aca="false">G543*I543</f>
        <v>1979.5</v>
      </c>
      <c r="L543" s="4" t="n">
        <f aca="false">J543-K543</f>
        <v>706</v>
      </c>
    </row>
    <row r="544" customFormat="false" ht="15" hidden="false" customHeight="false" outlineLevel="0" collapsed="false">
      <c r="A544" s="0" t="n">
        <v>1825</v>
      </c>
      <c r="B544" s="2" t="n">
        <v>45523</v>
      </c>
      <c r="C544" s="3" t="s">
        <v>32</v>
      </c>
      <c r="D544" s="3" t="s">
        <v>17</v>
      </c>
      <c r="E544" s="3" t="s">
        <v>27</v>
      </c>
      <c r="F544" s="3" t="s">
        <v>36</v>
      </c>
      <c r="G544" s="0" t="n">
        <v>15</v>
      </c>
      <c r="H544" s="4" t="n">
        <v>378.05</v>
      </c>
      <c r="I544" s="4" t="n">
        <v>257.86</v>
      </c>
      <c r="J544" s="4" t="n">
        <f aca="false">G544*H544</f>
        <v>5670.75</v>
      </c>
      <c r="K544" s="4" t="n">
        <f aca="false">G544*I544</f>
        <v>3867.9</v>
      </c>
      <c r="L544" s="4" t="n">
        <f aca="false">J544-K544</f>
        <v>1802.85</v>
      </c>
    </row>
    <row r="545" customFormat="false" ht="15" hidden="false" customHeight="false" outlineLevel="0" collapsed="false">
      <c r="A545" s="0" t="n">
        <v>1946</v>
      </c>
      <c r="B545" s="2" t="n">
        <v>45523</v>
      </c>
      <c r="C545" s="3" t="s">
        <v>16</v>
      </c>
      <c r="D545" s="3" t="s">
        <v>20</v>
      </c>
      <c r="E545" s="3" t="s">
        <v>21</v>
      </c>
      <c r="F545" s="3" t="s">
        <v>36</v>
      </c>
      <c r="G545" s="0" t="n">
        <v>7</v>
      </c>
      <c r="H545" s="4" t="n">
        <v>158.65</v>
      </c>
      <c r="I545" s="4" t="n">
        <v>86.11</v>
      </c>
      <c r="J545" s="4" t="n">
        <f aca="false">G545*H545</f>
        <v>1110.55</v>
      </c>
      <c r="K545" s="4" t="n">
        <f aca="false">G545*I545</f>
        <v>602.77</v>
      </c>
      <c r="L545" s="4" t="n">
        <f aca="false">J545-K545</f>
        <v>507.78</v>
      </c>
    </row>
    <row r="546" customFormat="false" ht="15" hidden="false" customHeight="false" outlineLevel="0" collapsed="false">
      <c r="A546" s="0" t="n">
        <v>1431</v>
      </c>
      <c r="B546" s="2" t="n">
        <v>45524</v>
      </c>
      <c r="C546" s="3" t="s">
        <v>26</v>
      </c>
      <c r="D546" s="3" t="s">
        <v>20</v>
      </c>
      <c r="E546" s="3" t="s">
        <v>38</v>
      </c>
      <c r="F546" s="3" t="s">
        <v>33</v>
      </c>
      <c r="G546" s="0" t="n">
        <v>27</v>
      </c>
      <c r="H546" s="4" t="n">
        <v>248.31</v>
      </c>
      <c r="I546" s="4" t="n">
        <v>176.79</v>
      </c>
      <c r="J546" s="4" t="n">
        <f aca="false">G546*H546</f>
        <v>6704.37</v>
      </c>
      <c r="K546" s="4" t="n">
        <f aca="false">G546*I546</f>
        <v>4773.33</v>
      </c>
      <c r="L546" s="4" t="n">
        <f aca="false">J546-K546</f>
        <v>1931.04</v>
      </c>
    </row>
    <row r="547" customFormat="false" ht="15" hidden="false" customHeight="false" outlineLevel="0" collapsed="false">
      <c r="A547" s="0" t="n">
        <v>1372</v>
      </c>
      <c r="B547" s="2" t="n">
        <v>45525</v>
      </c>
      <c r="C547" s="3" t="s">
        <v>32</v>
      </c>
      <c r="D547" s="3" t="s">
        <v>20</v>
      </c>
      <c r="E547" s="3" t="s">
        <v>21</v>
      </c>
      <c r="F547" s="3" t="s">
        <v>28</v>
      </c>
      <c r="G547" s="0" t="n">
        <v>26</v>
      </c>
      <c r="H547" s="4" t="n">
        <v>169.75</v>
      </c>
      <c r="I547" s="4" t="n">
        <v>112.1</v>
      </c>
      <c r="J547" s="4" t="n">
        <f aca="false">G547*H547</f>
        <v>4413.5</v>
      </c>
      <c r="K547" s="4" t="n">
        <f aca="false">G547*I547</f>
        <v>2914.6</v>
      </c>
      <c r="L547" s="4" t="n">
        <f aca="false">J547-K547</f>
        <v>1498.9</v>
      </c>
    </row>
    <row r="548" customFormat="false" ht="15" hidden="false" customHeight="false" outlineLevel="0" collapsed="false">
      <c r="A548" s="0" t="n">
        <v>1425</v>
      </c>
      <c r="B548" s="2" t="n">
        <v>45525</v>
      </c>
      <c r="C548" s="3" t="s">
        <v>32</v>
      </c>
      <c r="D548" s="3" t="s">
        <v>29</v>
      </c>
      <c r="E548" s="3" t="s">
        <v>43</v>
      </c>
      <c r="F548" s="3" t="s">
        <v>15</v>
      </c>
      <c r="G548" s="0" t="n">
        <v>39</v>
      </c>
      <c r="H548" s="4" t="n">
        <v>266.86</v>
      </c>
      <c r="I548" s="4" t="n">
        <v>157.66</v>
      </c>
      <c r="J548" s="4" t="n">
        <f aca="false">G548*H548</f>
        <v>10407.54</v>
      </c>
      <c r="K548" s="4" t="n">
        <f aca="false">G548*I548</f>
        <v>6148.74</v>
      </c>
      <c r="L548" s="4" t="n">
        <f aca="false">J548-K548</f>
        <v>4258.8</v>
      </c>
    </row>
    <row r="549" customFormat="false" ht="15" hidden="false" customHeight="false" outlineLevel="0" collapsed="false">
      <c r="A549" s="0" t="n">
        <v>2190</v>
      </c>
      <c r="B549" s="2" t="n">
        <v>45525</v>
      </c>
      <c r="C549" s="3" t="s">
        <v>32</v>
      </c>
      <c r="D549" s="3" t="s">
        <v>29</v>
      </c>
      <c r="E549" s="3" t="s">
        <v>30</v>
      </c>
      <c r="F549" s="3" t="s">
        <v>25</v>
      </c>
      <c r="G549" s="0" t="n">
        <v>26</v>
      </c>
      <c r="H549" s="4" t="n">
        <v>158.2</v>
      </c>
      <c r="I549" s="4" t="n">
        <v>89.57</v>
      </c>
      <c r="J549" s="4" t="n">
        <f aca="false">G549*H549</f>
        <v>4113.2</v>
      </c>
      <c r="K549" s="4" t="n">
        <f aca="false">G549*I549</f>
        <v>2328.82</v>
      </c>
      <c r="L549" s="4" t="n">
        <f aca="false">J549-K549</f>
        <v>1784.38</v>
      </c>
    </row>
    <row r="550" customFormat="false" ht="15" hidden="false" customHeight="false" outlineLevel="0" collapsed="false">
      <c r="A550" s="0" t="n">
        <v>2262</v>
      </c>
      <c r="B550" s="2" t="n">
        <v>45525</v>
      </c>
      <c r="C550" s="3" t="s">
        <v>16</v>
      </c>
      <c r="D550" s="3" t="s">
        <v>13</v>
      </c>
      <c r="E550" s="3" t="s">
        <v>45</v>
      </c>
      <c r="F550" s="3" t="s">
        <v>33</v>
      </c>
      <c r="G550" s="0" t="n">
        <v>27</v>
      </c>
      <c r="H550" s="4" t="n">
        <v>29.31</v>
      </c>
      <c r="I550" s="4" t="n">
        <v>21.78</v>
      </c>
      <c r="J550" s="4" t="n">
        <f aca="false">G550*H550</f>
        <v>791.37</v>
      </c>
      <c r="K550" s="4" t="n">
        <f aca="false">G550*I550</f>
        <v>588.06</v>
      </c>
      <c r="L550" s="4" t="n">
        <f aca="false">J550-K550</f>
        <v>203.31</v>
      </c>
    </row>
    <row r="551" customFormat="false" ht="15" hidden="false" customHeight="false" outlineLevel="0" collapsed="false">
      <c r="A551" s="0" t="n">
        <v>2502</v>
      </c>
      <c r="B551" s="2" t="n">
        <v>45526</v>
      </c>
      <c r="C551" s="3" t="s">
        <v>16</v>
      </c>
      <c r="D551" s="3" t="s">
        <v>20</v>
      </c>
      <c r="E551" s="3" t="s">
        <v>42</v>
      </c>
      <c r="F551" s="3" t="s">
        <v>28</v>
      </c>
      <c r="G551" s="0" t="n">
        <v>38</v>
      </c>
      <c r="H551" s="4" t="n">
        <v>279.59</v>
      </c>
      <c r="I551" s="4" t="n">
        <v>148.11</v>
      </c>
      <c r="J551" s="4" t="n">
        <f aca="false">G551*H551</f>
        <v>10624.42</v>
      </c>
      <c r="K551" s="4" t="n">
        <f aca="false">G551*I551</f>
        <v>5628.18</v>
      </c>
      <c r="L551" s="4" t="n">
        <f aca="false">J551-K551</f>
        <v>4996.24</v>
      </c>
    </row>
    <row r="552" customFormat="false" ht="15" hidden="false" customHeight="false" outlineLevel="0" collapsed="false">
      <c r="A552" s="0" t="n">
        <v>2699</v>
      </c>
      <c r="B552" s="2" t="n">
        <v>45526</v>
      </c>
      <c r="C552" s="3" t="s">
        <v>12</v>
      </c>
      <c r="D552" s="3" t="s">
        <v>13</v>
      </c>
      <c r="E552" s="3" t="s">
        <v>45</v>
      </c>
      <c r="F552" s="3" t="s">
        <v>15</v>
      </c>
      <c r="G552" s="0" t="n">
        <v>6</v>
      </c>
      <c r="H552" s="4" t="n">
        <v>30.77</v>
      </c>
      <c r="I552" s="4" t="n">
        <v>16.4</v>
      </c>
      <c r="J552" s="4" t="n">
        <f aca="false">G552*H552</f>
        <v>184.62</v>
      </c>
      <c r="K552" s="4" t="n">
        <f aca="false">G552*I552</f>
        <v>98.4</v>
      </c>
      <c r="L552" s="4" t="n">
        <f aca="false">J552-K552</f>
        <v>86.22</v>
      </c>
    </row>
    <row r="553" customFormat="false" ht="15" hidden="false" customHeight="false" outlineLevel="0" collapsed="false">
      <c r="A553" s="0" t="n">
        <v>1389</v>
      </c>
      <c r="B553" s="2" t="n">
        <v>45527</v>
      </c>
      <c r="C553" s="3" t="s">
        <v>26</v>
      </c>
      <c r="D553" s="3" t="s">
        <v>29</v>
      </c>
      <c r="E553" s="3" t="s">
        <v>37</v>
      </c>
      <c r="F553" s="3" t="s">
        <v>19</v>
      </c>
      <c r="G553" s="0" t="n">
        <v>12</v>
      </c>
      <c r="H553" s="4" t="n">
        <v>423.12</v>
      </c>
      <c r="I553" s="4" t="n">
        <v>255.42</v>
      </c>
      <c r="J553" s="4" t="n">
        <f aca="false">G553*H553</f>
        <v>5077.44</v>
      </c>
      <c r="K553" s="4" t="n">
        <f aca="false">G553*I553</f>
        <v>3065.04</v>
      </c>
      <c r="L553" s="4" t="n">
        <f aca="false">J553-K553</f>
        <v>2012.4</v>
      </c>
    </row>
    <row r="554" customFormat="false" ht="15" hidden="false" customHeight="false" outlineLevel="0" collapsed="false">
      <c r="A554" s="0" t="n">
        <v>2508</v>
      </c>
      <c r="B554" s="2" t="n">
        <v>45527</v>
      </c>
      <c r="C554" s="3" t="s">
        <v>16</v>
      </c>
      <c r="D554" s="3" t="s">
        <v>20</v>
      </c>
      <c r="E554" s="3" t="s">
        <v>38</v>
      </c>
      <c r="F554" s="3" t="s">
        <v>15</v>
      </c>
      <c r="G554" s="0" t="n">
        <v>9</v>
      </c>
      <c r="H554" s="4" t="n">
        <v>190.72</v>
      </c>
      <c r="I554" s="4" t="n">
        <v>121.75</v>
      </c>
      <c r="J554" s="4" t="n">
        <f aca="false">G554*H554</f>
        <v>1716.48</v>
      </c>
      <c r="K554" s="4" t="n">
        <f aca="false">G554*I554</f>
        <v>1095.75</v>
      </c>
      <c r="L554" s="4" t="n">
        <f aca="false">J554-K554</f>
        <v>620.73</v>
      </c>
    </row>
    <row r="555" customFormat="false" ht="15" hidden="false" customHeight="false" outlineLevel="0" collapsed="false">
      <c r="A555" s="0" t="n">
        <v>2628</v>
      </c>
      <c r="B555" s="2" t="n">
        <v>45527</v>
      </c>
      <c r="C555" s="3" t="s">
        <v>32</v>
      </c>
      <c r="D555" s="3" t="s">
        <v>17</v>
      </c>
      <c r="E555" s="3" t="s">
        <v>27</v>
      </c>
      <c r="F555" s="3" t="s">
        <v>25</v>
      </c>
      <c r="G555" s="0" t="n">
        <v>33</v>
      </c>
      <c r="H555" s="4" t="n">
        <v>118.06</v>
      </c>
      <c r="I555" s="4" t="n">
        <v>74.21</v>
      </c>
      <c r="J555" s="4" t="n">
        <f aca="false">G555*H555</f>
        <v>3895.98</v>
      </c>
      <c r="K555" s="4" t="n">
        <f aca="false">G555*I555</f>
        <v>2448.93</v>
      </c>
      <c r="L555" s="4" t="n">
        <f aca="false">J555-K555</f>
        <v>1447.05</v>
      </c>
    </row>
    <row r="556" customFormat="false" ht="15" hidden="false" customHeight="false" outlineLevel="0" collapsed="false">
      <c r="A556" s="0" t="n">
        <v>1674</v>
      </c>
      <c r="B556" s="2" t="n">
        <v>45529</v>
      </c>
      <c r="C556" s="3" t="s">
        <v>16</v>
      </c>
      <c r="D556" s="3" t="s">
        <v>13</v>
      </c>
      <c r="E556" s="3" t="s">
        <v>46</v>
      </c>
      <c r="F556" s="3" t="s">
        <v>33</v>
      </c>
      <c r="G556" s="0" t="n">
        <v>39</v>
      </c>
      <c r="H556" s="4" t="n">
        <v>43.77</v>
      </c>
      <c r="I556" s="4" t="n">
        <v>29.8</v>
      </c>
      <c r="J556" s="4" t="n">
        <f aca="false">G556*H556</f>
        <v>1707.03</v>
      </c>
      <c r="K556" s="4" t="n">
        <f aca="false">G556*I556</f>
        <v>1162.2</v>
      </c>
      <c r="L556" s="4" t="n">
        <f aca="false">J556-K556</f>
        <v>544.83</v>
      </c>
    </row>
    <row r="557" customFormat="false" ht="15" hidden="false" customHeight="false" outlineLevel="0" collapsed="false">
      <c r="A557" s="0" t="n">
        <v>1772</v>
      </c>
      <c r="B557" s="2" t="n">
        <v>45530</v>
      </c>
      <c r="C557" s="3" t="s">
        <v>16</v>
      </c>
      <c r="D557" s="3" t="s">
        <v>17</v>
      </c>
      <c r="E557" s="3" t="s">
        <v>44</v>
      </c>
      <c r="F557" s="3" t="s">
        <v>22</v>
      </c>
      <c r="G557" s="0" t="n">
        <v>40</v>
      </c>
      <c r="H557" s="4" t="n">
        <v>697.51</v>
      </c>
      <c r="I557" s="4" t="n">
        <v>391.22</v>
      </c>
      <c r="J557" s="4" t="n">
        <f aca="false">G557*H557</f>
        <v>27900.4</v>
      </c>
      <c r="K557" s="4" t="n">
        <f aca="false">G557*I557</f>
        <v>15648.8</v>
      </c>
      <c r="L557" s="4" t="n">
        <f aca="false">J557-K557</f>
        <v>12251.6</v>
      </c>
    </row>
    <row r="558" customFormat="false" ht="15" hidden="false" customHeight="false" outlineLevel="0" collapsed="false">
      <c r="A558" s="0" t="n">
        <v>1928</v>
      </c>
      <c r="B558" s="2" t="n">
        <v>45530</v>
      </c>
      <c r="C558" s="3" t="s">
        <v>16</v>
      </c>
      <c r="D558" s="3" t="s">
        <v>17</v>
      </c>
      <c r="E558" s="3" t="s">
        <v>18</v>
      </c>
      <c r="F558" s="3" t="s">
        <v>15</v>
      </c>
      <c r="G558" s="0" t="n">
        <v>39</v>
      </c>
      <c r="H558" s="4" t="n">
        <v>238.23</v>
      </c>
      <c r="I558" s="4" t="n">
        <v>175.47</v>
      </c>
      <c r="J558" s="4" t="n">
        <f aca="false">G558*H558</f>
        <v>9290.97</v>
      </c>
      <c r="K558" s="4" t="n">
        <f aca="false">G558*I558</f>
        <v>6843.33</v>
      </c>
      <c r="L558" s="4" t="n">
        <f aca="false">J558-K558</f>
        <v>2447.64</v>
      </c>
    </row>
    <row r="559" customFormat="false" ht="15" hidden="false" customHeight="false" outlineLevel="0" collapsed="false">
      <c r="A559" s="0" t="n">
        <v>2153</v>
      </c>
      <c r="B559" s="2" t="n">
        <v>45530</v>
      </c>
      <c r="C559" s="3" t="s">
        <v>12</v>
      </c>
      <c r="D559" s="3" t="s">
        <v>29</v>
      </c>
      <c r="E559" s="3" t="s">
        <v>30</v>
      </c>
      <c r="F559" s="3" t="s">
        <v>19</v>
      </c>
      <c r="G559" s="0" t="n">
        <v>29</v>
      </c>
      <c r="H559" s="4" t="n">
        <v>90.68</v>
      </c>
      <c r="I559" s="4" t="n">
        <v>64.7</v>
      </c>
      <c r="J559" s="4" t="n">
        <f aca="false">G559*H559</f>
        <v>2629.72</v>
      </c>
      <c r="K559" s="4" t="n">
        <f aca="false">G559*I559</f>
        <v>1876.3</v>
      </c>
      <c r="L559" s="4" t="n">
        <f aca="false">J559-K559</f>
        <v>753.42</v>
      </c>
    </row>
    <row r="560" customFormat="false" ht="15" hidden="false" customHeight="false" outlineLevel="0" collapsed="false">
      <c r="A560" s="0" t="n">
        <v>2581</v>
      </c>
      <c r="B560" s="2" t="n">
        <v>45530</v>
      </c>
      <c r="C560" s="3" t="s">
        <v>12</v>
      </c>
      <c r="D560" s="3" t="s">
        <v>29</v>
      </c>
      <c r="E560" s="3" t="s">
        <v>41</v>
      </c>
      <c r="F560" s="3" t="s">
        <v>19</v>
      </c>
      <c r="G560" s="0" t="n">
        <v>14</v>
      </c>
      <c r="H560" s="4" t="n">
        <v>361.29</v>
      </c>
      <c r="I560" s="4" t="n">
        <v>233.29</v>
      </c>
      <c r="J560" s="4" t="n">
        <f aca="false">G560*H560</f>
        <v>5058.06</v>
      </c>
      <c r="K560" s="4" t="n">
        <f aca="false">G560*I560</f>
        <v>3266.06</v>
      </c>
      <c r="L560" s="4" t="n">
        <f aca="false">J560-K560</f>
        <v>1792</v>
      </c>
    </row>
    <row r="561" customFormat="false" ht="15" hidden="false" customHeight="false" outlineLevel="0" collapsed="false">
      <c r="A561" s="0" t="n">
        <v>1198</v>
      </c>
      <c r="B561" s="2" t="n">
        <v>45531</v>
      </c>
      <c r="C561" s="3" t="s">
        <v>16</v>
      </c>
      <c r="D561" s="3" t="s">
        <v>13</v>
      </c>
      <c r="E561" s="3" t="s">
        <v>45</v>
      </c>
      <c r="F561" s="3" t="s">
        <v>19</v>
      </c>
      <c r="G561" s="0" t="n">
        <v>33</v>
      </c>
      <c r="H561" s="4" t="n">
        <v>16.35</v>
      </c>
      <c r="I561" s="4" t="n">
        <v>10.54</v>
      </c>
      <c r="J561" s="4" t="n">
        <f aca="false">G561*H561</f>
        <v>539.55</v>
      </c>
      <c r="K561" s="4" t="n">
        <f aca="false">G561*I561</f>
        <v>347.82</v>
      </c>
      <c r="L561" s="4" t="n">
        <f aca="false">J561-K561</f>
        <v>191.73</v>
      </c>
    </row>
    <row r="562" customFormat="false" ht="15" hidden="false" customHeight="false" outlineLevel="0" collapsed="false">
      <c r="A562" s="0" t="n">
        <v>2672</v>
      </c>
      <c r="B562" s="2" t="n">
        <v>45531</v>
      </c>
      <c r="C562" s="3" t="s">
        <v>26</v>
      </c>
      <c r="D562" s="3" t="s">
        <v>17</v>
      </c>
      <c r="E562" s="3" t="s">
        <v>27</v>
      </c>
      <c r="F562" s="3" t="s">
        <v>28</v>
      </c>
      <c r="G562" s="0" t="n">
        <v>33</v>
      </c>
      <c r="H562" s="4" t="n">
        <v>850.78</v>
      </c>
      <c r="I562" s="4" t="n">
        <v>495.27</v>
      </c>
      <c r="J562" s="4" t="n">
        <f aca="false">G562*H562</f>
        <v>28075.74</v>
      </c>
      <c r="K562" s="4" t="n">
        <f aca="false">G562*I562</f>
        <v>16343.91</v>
      </c>
      <c r="L562" s="4" t="n">
        <f aca="false">J562-K562</f>
        <v>11731.83</v>
      </c>
    </row>
    <row r="563" customFormat="false" ht="15" hidden="false" customHeight="false" outlineLevel="0" collapsed="false">
      <c r="A563" s="0" t="n">
        <v>2086</v>
      </c>
      <c r="B563" s="2" t="n">
        <v>45532</v>
      </c>
      <c r="C563" s="3" t="s">
        <v>32</v>
      </c>
      <c r="D563" s="3" t="s">
        <v>29</v>
      </c>
      <c r="E563" s="3" t="s">
        <v>43</v>
      </c>
      <c r="F563" s="3" t="s">
        <v>22</v>
      </c>
      <c r="G563" s="0" t="n">
        <v>40</v>
      </c>
      <c r="H563" s="4" t="n">
        <v>112.45</v>
      </c>
      <c r="I563" s="4" t="n">
        <v>70.28</v>
      </c>
      <c r="J563" s="4" t="n">
        <f aca="false">G563*H563</f>
        <v>4498</v>
      </c>
      <c r="K563" s="4" t="n">
        <f aca="false">G563*I563</f>
        <v>2811.2</v>
      </c>
      <c r="L563" s="4" t="n">
        <f aca="false">J563-K563</f>
        <v>1686.8</v>
      </c>
    </row>
    <row r="564" customFormat="false" ht="15" hidden="false" customHeight="false" outlineLevel="0" collapsed="false">
      <c r="A564" s="0" t="n">
        <v>2507</v>
      </c>
      <c r="B564" s="2" t="n">
        <v>45532</v>
      </c>
      <c r="C564" s="3" t="s">
        <v>23</v>
      </c>
      <c r="D564" s="3" t="s">
        <v>29</v>
      </c>
      <c r="E564" s="3" t="s">
        <v>30</v>
      </c>
      <c r="F564" s="3" t="s">
        <v>19</v>
      </c>
      <c r="G564" s="0" t="n">
        <v>9</v>
      </c>
      <c r="H564" s="4" t="n">
        <v>218.97</v>
      </c>
      <c r="I564" s="4" t="n">
        <v>142.61</v>
      </c>
      <c r="J564" s="4" t="n">
        <f aca="false">G564*H564</f>
        <v>1970.73</v>
      </c>
      <c r="K564" s="4" t="n">
        <f aca="false">G564*I564</f>
        <v>1283.49</v>
      </c>
      <c r="L564" s="4" t="n">
        <f aca="false">J564-K564</f>
        <v>687.24</v>
      </c>
    </row>
    <row r="565" customFormat="false" ht="15" hidden="false" customHeight="false" outlineLevel="0" collapsed="false">
      <c r="A565" s="0" t="n">
        <v>2735</v>
      </c>
      <c r="B565" s="2" t="n">
        <v>45532</v>
      </c>
      <c r="C565" s="3" t="s">
        <v>12</v>
      </c>
      <c r="D565" s="3" t="s">
        <v>13</v>
      </c>
      <c r="E565" s="3" t="s">
        <v>24</v>
      </c>
      <c r="F565" s="3" t="s">
        <v>28</v>
      </c>
      <c r="G565" s="0" t="n">
        <v>15</v>
      </c>
      <c r="H565" s="4" t="n">
        <v>13.84</v>
      </c>
      <c r="I565" s="4" t="n">
        <v>6.92</v>
      </c>
      <c r="J565" s="4" t="n">
        <f aca="false">G565*H565</f>
        <v>207.6</v>
      </c>
      <c r="K565" s="4" t="n">
        <f aca="false">G565*I565</f>
        <v>103.8</v>
      </c>
      <c r="L565" s="4" t="n">
        <f aca="false">J565-K565</f>
        <v>103.8</v>
      </c>
    </row>
    <row r="566" customFormat="false" ht="15" hidden="false" customHeight="false" outlineLevel="0" collapsed="false">
      <c r="A566" s="0" t="n">
        <v>1307</v>
      </c>
      <c r="B566" s="2" t="n">
        <v>45533</v>
      </c>
      <c r="C566" s="3" t="s">
        <v>23</v>
      </c>
      <c r="D566" s="3" t="s">
        <v>29</v>
      </c>
      <c r="E566" s="3" t="s">
        <v>30</v>
      </c>
      <c r="F566" s="3" t="s">
        <v>36</v>
      </c>
      <c r="G566" s="0" t="n">
        <v>3</v>
      </c>
      <c r="H566" s="4" t="n">
        <v>416.19</v>
      </c>
      <c r="I566" s="4" t="n">
        <v>272.63</v>
      </c>
      <c r="J566" s="4" t="n">
        <f aca="false">G566*H566</f>
        <v>1248.57</v>
      </c>
      <c r="K566" s="4" t="n">
        <f aca="false">G566*I566</f>
        <v>817.89</v>
      </c>
      <c r="L566" s="4" t="n">
        <f aca="false">J566-K566</f>
        <v>430.68</v>
      </c>
    </row>
    <row r="567" customFormat="false" ht="15" hidden="false" customHeight="false" outlineLevel="0" collapsed="false">
      <c r="A567" s="0" t="n">
        <v>1531</v>
      </c>
      <c r="B567" s="2" t="n">
        <v>45533</v>
      </c>
      <c r="C567" s="3" t="s">
        <v>23</v>
      </c>
      <c r="D567" s="3" t="s">
        <v>13</v>
      </c>
      <c r="E567" s="3" t="s">
        <v>46</v>
      </c>
      <c r="F567" s="3" t="s">
        <v>22</v>
      </c>
      <c r="G567" s="0" t="n">
        <v>22</v>
      </c>
      <c r="H567" s="4" t="n">
        <v>58.14</v>
      </c>
      <c r="I567" s="4" t="n">
        <v>41.24</v>
      </c>
      <c r="J567" s="4" t="n">
        <f aca="false">G567*H567</f>
        <v>1279.08</v>
      </c>
      <c r="K567" s="4" t="n">
        <f aca="false">G567*I567</f>
        <v>907.28</v>
      </c>
      <c r="L567" s="4" t="n">
        <f aca="false">J567-K567</f>
        <v>371.8</v>
      </c>
    </row>
    <row r="568" customFormat="false" ht="15" hidden="false" customHeight="false" outlineLevel="0" collapsed="false">
      <c r="A568" s="0" t="n">
        <v>1636</v>
      </c>
      <c r="B568" s="2" t="n">
        <v>45533</v>
      </c>
      <c r="C568" s="3" t="s">
        <v>32</v>
      </c>
      <c r="D568" s="3" t="s">
        <v>13</v>
      </c>
      <c r="E568" s="3" t="s">
        <v>24</v>
      </c>
      <c r="F568" s="3" t="s">
        <v>28</v>
      </c>
      <c r="G568" s="0" t="n">
        <v>21</v>
      </c>
      <c r="H568" s="4" t="n">
        <v>46.7</v>
      </c>
      <c r="I568" s="4" t="n">
        <v>33.47</v>
      </c>
      <c r="J568" s="4" t="n">
        <f aca="false">G568*H568</f>
        <v>980.7</v>
      </c>
      <c r="K568" s="4" t="n">
        <f aca="false">G568*I568</f>
        <v>702.87</v>
      </c>
      <c r="L568" s="4" t="n">
        <f aca="false">J568-K568</f>
        <v>277.83</v>
      </c>
    </row>
    <row r="569" customFormat="false" ht="15" hidden="false" customHeight="false" outlineLevel="0" collapsed="false">
      <c r="A569" s="0" t="n">
        <v>2372</v>
      </c>
      <c r="B569" s="2" t="n">
        <v>45533</v>
      </c>
      <c r="C569" s="3" t="s">
        <v>23</v>
      </c>
      <c r="D569" s="3" t="s">
        <v>20</v>
      </c>
      <c r="E569" s="3" t="s">
        <v>21</v>
      </c>
      <c r="F569" s="3" t="s">
        <v>39</v>
      </c>
      <c r="G569" s="0" t="n">
        <v>26</v>
      </c>
      <c r="H569" s="4" t="n">
        <v>245.27</v>
      </c>
      <c r="I569" s="4" t="n">
        <v>143.24</v>
      </c>
      <c r="J569" s="4" t="n">
        <f aca="false">G569*H569</f>
        <v>6377.02</v>
      </c>
      <c r="K569" s="4" t="n">
        <f aca="false">G569*I569</f>
        <v>3724.24</v>
      </c>
      <c r="L569" s="4" t="n">
        <f aca="false">J569-K569</f>
        <v>2652.78</v>
      </c>
    </row>
    <row r="570" customFormat="false" ht="15" hidden="false" customHeight="false" outlineLevel="0" collapsed="false">
      <c r="A570" s="0" t="n">
        <v>1246</v>
      </c>
      <c r="B570" s="2" t="n">
        <v>45534</v>
      </c>
      <c r="C570" s="3" t="s">
        <v>12</v>
      </c>
      <c r="D570" s="3" t="s">
        <v>29</v>
      </c>
      <c r="E570" s="3" t="s">
        <v>41</v>
      </c>
      <c r="F570" s="3" t="s">
        <v>19</v>
      </c>
      <c r="G570" s="0" t="n">
        <v>40</v>
      </c>
      <c r="H570" s="4" t="n">
        <v>166.92</v>
      </c>
      <c r="I570" s="4" t="n">
        <v>98.1</v>
      </c>
      <c r="J570" s="4" t="n">
        <f aca="false">G570*H570</f>
        <v>6676.8</v>
      </c>
      <c r="K570" s="4" t="n">
        <f aca="false">G570*I570</f>
        <v>3924</v>
      </c>
      <c r="L570" s="4" t="n">
        <f aca="false">J570-K570</f>
        <v>2752.8</v>
      </c>
    </row>
    <row r="571" customFormat="false" ht="15" hidden="false" customHeight="false" outlineLevel="0" collapsed="false">
      <c r="A571" s="0" t="n">
        <v>1723</v>
      </c>
      <c r="B571" s="2" t="n">
        <v>45534</v>
      </c>
      <c r="C571" s="3" t="s">
        <v>26</v>
      </c>
      <c r="D571" s="3" t="s">
        <v>20</v>
      </c>
      <c r="E571" s="3" t="s">
        <v>42</v>
      </c>
      <c r="F571" s="3" t="s">
        <v>28</v>
      </c>
      <c r="G571" s="0" t="n">
        <v>38</v>
      </c>
      <c r="H571" s="4" t="n">
        <v>125.67</v>
      </c>
      <c r="I571" s="4" t="n">
        <v>90.8</v>
      </c>
      <c r="J571" s="4" t="n">
        <f aca="false">G571*H571</f>
        <v>4775.46</v>
      </c>
      <c r="K571" s="4" t="n">
        <f aca="false">G571*I571</f>
        <v>3450.4</v>
      </c>
      <c r="L571" s="4" t="n">
        <f aca="false">J571-K571</f>
        <v>1325.06</v>
      </c>
    </row>
    <row r="572" customFormat="false" ht="15" hidden="false" customHeight="false" outlineLevel="0" collapsed="false">
      <c r="A572" s="0" t="n">
        <v>2339</v>
      </c>
      <c r="B572" s="2" t="n">
        <v>45534</v>
      </c>
      <c r="C572" s="3" t="s">
        <v>12</v>
      </c>
      <c r="D572" s="3" t="s">
        <v>17</v>
      </c>
      <c r="E572" s="3" t="s">
        <v>35</v>
      </c>
      <c r="F572" s="3" t="s">
        <v>33</v>
      </c>
      <c r="G572" s="0" t="n">
        <v>15</v>
      </c>
      <c r="H572" s="4" t="n">
        <v>204.35</v>
      </c>
      <c r="I572" s="4" t="n">
        <v>103.07</v>
      </c>
      <c r="J572" s="4" t="n">
        <f aca="false">G572*H572</f>
        <v>3065.25</v>
      </c>
      <c r="K572" s="4" t="n">
        <f aca="false">G572*I572</f>
        <v>1546.05</v>
      </c>
      <c r="L572" s="4" t="n">
        <f aca="false">J572-K572</f>
        <v>1519.2</v>
      </c>
    </row>
    <row r="573" customFormat="false" ht="15" hidden="false" customHeight="false" outlineLevel="0" collapsed="false">
      <c r="A573" s="0" t="n">
        <v>1503</v>
      </c>
      <c r="B573" s="2" t="n">
        <v>45535</v>
      </c>
      <c r="C573" s="3" t="s">
        <v>32</v>
      </c>
      <c r="D573" s="3" t="s">
        <v>20</v>
      </c>
      <c r="E573" s="3" t="s">
        <v>38</v>
      </c>
      <c r="F573" s="3" t="s">
        <v>39</v>
      </c>
      <c r="G573" s="0" t="n">
        <v>34</v>
      </c>
      <c r="H573" s="4" t="n">
        <v>237.78</v>
      </c>
      <c r="I573" s="4" t="n">
        <v>173.18</v>
      </c>
      <c r="J573" s="4" t="n">
        <f aca="false">G573*H573</f>
        <v>8084.52</v>
      </c>
      <c r="K573" s="4" t="n">
        <f aca="false">G573*I573</f>
        <v>5888.12</v>
      </c>
      <c r="L573" s="4" t="n">
        <f aca="false">J573-K573</f>
        <v>2196.4</v>
      </c>
    </row>
    <row r="574" customFormat="false" ht="15" hidden="false" customHeight="false" outlineLevel="0" collapsed="false">
      <c r="A574" s="0" t="n">
        <v>1580</v>
      </c>
      <c r="B574" s="2" t="n">
        <v>45535</v>
      </c>
      <c r="C574" s="3" t="s">
        <v>26</v>
      </c>
      <c r="D574" s="3" t="s">
        <v>17</v>
      </c>
      <c r="E574" s="3" t="s">
        <v>40</v>
      </c>
      <c r="F574" s="3" t="s">
        <v>19</v>
      </c>
      <c r="G574" s="0" t="n">
        <v>29</v>
      </c>
      <c r="H574" s="4" t="n">
        <v>278.74</v>
      </c>
      <c r="I574" s="4" t="n">
        <v>161.46</v>
      </c>
      <c r="J574" s="4" t="n">
        <f aca="false">G574*H574</f>
        <v>8083.46</v>
      </c>
      <c r="K574" s="4" t="n">
        <f aca="false">G574*I574</f>
        <v>4682.34</v>
      </c>
      <c r="L574" s="4" t="n">
        <f aca="false">J574-K574</f>
        <v>3401.12</v>
      </c>
    </row>
    <row r="575" customFormat="false" ht="15" hidden="false" customHeight="false" outlineLevel="0" collapsed="false">
      <c r="A575" s="0" t="n">
        <v>2410</v>
      </c>
      <c r="B575" s="2" t="n">
        <v>45536</v>
      </c>
      <c r="C575" s="3" t="s">
        <v>23</v>
      </c>
      <c r="D575" s="3" t="s">
        <v>17</v>
      </c>
      <c r="E575" s="3" t="s">
        <v>35</v>
      </c>
      <c r="F575" s="3" t="s">
        <v>15</v>
      </c>
      <c r="G575" s="0" t="n">
        <v>37</v>
      </c>
      <c r="H575" s="4" t="n">
        <v>727.52</v>
      </c>
      <c r="I575" s="4" t="n">
        <v>374.56</v>
      </c>
      <c r="J575" s="4" t="n">
        <f aca="false">G575*H575</f>
        <v>26918.24</v>
      </c>
      <c r="K575" s="4" t="n">
        <f aca="false">G575*I575</f>
        <v>13858.72</v>
      </c>
      <c r="L575" s="4" t="n">
        <f aca="false">J575-K575</f>
        <v>13059.52</v>
      </c>
    </row>
    <row r="576" customFormat="false" ht="15" hidden="false" customHeight="false" outlineLevel="0" collapsed="false">
      <c r="A576" s="0" t="n">
        <v>1916</v>
      </c>
      <c r="B576" s="2" t="n">
        <v>45537</v>
      </c>
      <c r="C576" s="3" t="s">
        <v>12</v>
      </c>
      <c r="D576" s="3" t="s">
        <v>29</v>
      </c>
      <c r="E576" s="3" t="s">
        <v>37</v>
      </c>
      <c r="F576" s="3" t="s">
        <v>39</v>
      </c>
      <c r="G576" s="0" t="n">
        <v>25</v>
      </c>
      <c r="H576" s="4" t="n">
        <v>195.49</v>
      </c>
      <c r="I576" s="4" t="n">
        <v>128.41</v>
      </c>
      <c r="J576" s="4" t="n">
        <f aca="false">G576*H576</f>
        <v>4887.25</v>
      </c>
      <c r="K576" s="4" t="n">
        <f aca="false">G576*I576</f>
        <v>3210.25</v>
      </c>
      <c r="L576" s="4" t="n">
        <f aca="false">J576-K576</f>
        <v>1677</v>
      </c>
    </row>
    <row r="577" customFormat="false" ht="15" hidden="false" customHeight="false" outlineLevel="0" collapsed="false">
      <c r="A577" s="0" t="n">
        <v>1348</v>
      </c>
      <c r="B577" s="2" t="n">
        <v>45538</v>
      </c>
      <c r="C577" s="3" t="s">
        <v>32</v>
      </c>
      <c r="D577" s="3" t="s">
        <v>29</v>
      </c>
      <c r="E577" s="3" t="s">
        <v>30</v>
      </c>
      <c r="F577" s="3" t="s">
        <v>39</v>
      </c>
      <c r="G577" s="0" t="n">
        <v>36</v>
      </c>
      <c r="H577" s="4" t="n">
        <v>178.7</v>
      </c>
      <c r="I577" s="4" t="n">
        <v>125.15</v>
      </c>
      <c r="J577" s="4" t="n">
        <f aca="false">G577*H577</f>
        <v>6433.2</v>
      </c>
      <c r="K577" s="4" t="n">
        <f aca="false">G577*I577</f>
        <v>4505.4</v>
      </c>
      <c r="L577" s="4" t="n">
        <f aca="false">J577-K577</f>
        <v>1927.8</v>
      </c>
    </row>
    <row r="578" customFormat="false" ht="15" hidden="false" customHeight="false" outlineLevel="0" collapsed="false">
      <c r="A578" s="0" t="n">
        <v>1567</v>
      </c>
      <c r="B578" s="2" t="n">
        <v>45538</v>
      </c>
      <c r="C578" s="3" t="s">
        <v>26</v>
      </c>
      <c r="D578" s="3" t="s">
        <v>17</v>
      </c>
      <c r="E578" s="3" t="s">
        <v>18</v>
      </c>
      <c r="F578" s="3" t="s">
        <v>39</v>
      </c>
      <c r="G578" s="0" t="n">
        <v>9</v>
      </c>
      <c r="H578" s="4" t="n">
        <v>361.06</v>
      </c>
      <c r="I578" s="4" t="n">
        <v>240.92</v>
      </c>
      <c r="J578" s="4" t="n">
        <f aca="false">G578*H578</f>
        <v>3249.54</v>
      </c>
      <c r="K578" s="4" t="n">
        <f aca="false">G578*I578</f>
        <v>2168.28</v>
      </c>
      <c r="L578" s="4" t="n">
        <f aca="false">J578-K578</f>
        <v>1081.26</v>
      </c>
    </row>
    <row r="579" customFormat="false" ht="15" hidden="false" customHeight="false" outlineLevel="0" collapsed="false">
      <c r="A579" s="0" t="n">
        <v>2219</v>
      </c>
      <c r="B579" s="2" t="n">
        <v>45538</v>
      </c>
      <c r="C579" s="3" t="s">
        <v>32</v>
      </c>
      <c r="D579" s="3" t="s">
        <v>13</v>
      </c>
      <c r="E579" s="3" t="s">
        <v>14</v>
      </c>
      <c r="F579" s="3" t="s">
        <v>39</v>
      </c>
      <c r="G579" s="0" t="n">
        <v>24</v>
      </c>
      <c r="H579" s="4" t="n">
        <v>25.91</v>
      </c>
      <c r="I579" s="4" t="n">
        <v>16.98</v>
      </c>
      <c r="J579" s="4" t="n">
        <f aca="false">G579*H579</f>
        <v>621.84</v>
      </c>
      <c r="K579" s="4" t="n">
        <f aca="false">G579*I579</f>
        <v>407.52</v>
      </c>
      <c r="L579" s="4" t="n">
        <f aca="false">J579-K579</f>
        <v>214.32</v>
      </c>
    </row>
    <row r="580" customFormat="false" ht="15" hidden="false" customHeight="false" outlineLevel="0" collapsed="false">
      <c r="A580" s="0" t="n">
        <v>2425</v>
      </c>
      <c r="B580" s="2" t="n">
        <v>45538</v>
      </c>
      <c r="C580" s="3" t="s">
        <v>16</v>
      </c>
      <c r="D580" s="3" t="s">
        <v>29</v>
      </c>
      <c r="E580" s="3" t="s">
        <v>41</v>
      </c>
      <c r="F580" s="3" t="s">
        <v>39</v>
      </c>
      <c r="G580" s="0" t="n">
        <v>28</v>
      </c>
      <c r="H580" s="4" t="n">
        <v>112.03</v>
      </c>
      <c r="I580" s="4" t="n">
        <v>59.85</v>
      </c>
      <c r="J580" s="4" t="n">
        <f aca="false">G580*H580</f>
        <v>3136.84</v>
      </c>
      <c r="K580" s="4" t="n">
        <f aca="false">G580*I580</f>
        <v>1675.8</v>
      </c>
      <c r="L580" s="4" t="n">
        <f aca="false">J580-K580</f>
        <v>1461.04</v>
      </c>
    </row>
    <row r="581" customFormat="false" ht="15" hidden="false" customHeight="false" outlineLevel="0" collapsed="false">
      <c r="A581" s="0" t="n">
        <v>2429</v>
      </c>
      <c r="B581" s="2" t="n">
        <v>45538</v>
      </c>
      <c r="C581" s="3" t="s">
        <v>26</v>
      </c>
      <c r="D581" s="3" t="s">
        <v>20</v>
      </c>
      <c r="E581" s="3" t="s">
        <v>38</v>
      </c>
      <c r="F581" s="3" t="s">
        <v>19</v>
      </c>
      <c r="G581" s="0" t="n">
        <v>1</v>
      </c>
      <c r="H581" s="4" t="n">
        <v>242.8</v>
      </c>
      <c r="I581" s="4" t="n">
        <v>175.27</v>
      </c>
      <c r="J581" s="4" t="n">
        <f aca="false">G581*H581</f>
        <v>242.8</v>
      </c>
      <c r="K581" s="4" t="n">
        <f aca="false">G581*I581</f>
        <v>175.27</v>
      </c>
      <c r="L581" s="4" t="n">
        <f aca="false">J581-K581</f>
        <v>67.53</v>
      </c>
    </row>
    <row r="582" customFormat="false" ht="15" hidden="false" customHeight="false" outlineLevel="0" collapsed="false">
      <c r="A582" s="0" t="n">
        <v>2460</v>
      </c>
      <c r="B582" s="2" t="n">
        <v>45538</v>
      </c>
      <c r="C582" s="3" t="s">
        <v>16</v>
      </c>
      <c r="D582" s="3" t="s">
        <v>17</v>
      </c>
      <c r="E582" s="3" t="s">
        <v>44</v>
      </c>
      <c r="F582" s="3" t="s">
        <v>28</v>
      </c>
      <c r="G582" s="0" t="n">
        <v>14</v>
      </c>
      <c r="H582" s="4" t="n">
        <v>173.15</v>
      </c>
      <c r="I582" s="4" t="n">
        <v>104.18</v>
      </c>
      <c r="J582" s="4" t="n">
        <f aca="false">G582*H582</f>
        <v>2424.1</v>
      </c>
      <c r="K582" s="4" t="n">
        <f aca="false">G582*I582</f>
        <v>1458.52</v>
      </c>
      <c r="L582" s="4" t="n">
        <f aca="false">J582-K582</f>
        <v>965.58</v>
      </c>
    </row>
    <row r="583" customFormat="false" ht="15" hidden="false" customHeight="false" outlineLevel="0" collapsed="false">
      <c r="A583" s="0" t="n">
        <v>2691</v>
      </c>
      <c r="B583" s="2" t="n">
        <v>45538</v>
      </c>
      <c r="C583" s="3" t="s">
        <v>23</v>
      </c>
      <c r="D583" s="3" t="s">
        <v>13</v>
      </c>
      <c r="E583" s="3" t="s">
        <v>45</v>
      </c>
      <c r="F583" s="3" t="s">
        <v>19</v>
      </c>
      <c r="G583" s="0" t="n">
        <v>30</v>
      </c>
      <c r="H583" s="4" t="n">
        <v>32.68</v>
      </c>
      <c r="I583" s="4" t="n">
        <v>20.13</v>
      </c>
      <c r="J583" s="4" t="n">
        <f aca="false">G583*H583</f>
        <v>980.4</v>
      </c>
      <c r="K583" s="4" t="n">
        <f aca="false">G583*I583</f>
        <v>603.9</v>
      </c>
      <c r="L583" s="4" t="n">
        <f aca="false">J583-K583</f>
        <v>376.5</v>
      </c>
    </row>
    <row r="584" customFormat="false" ht="15" hidden="false" customHeight="false" outlineLevel="0" collapsed="false">
      <c r="A584" s="0" t="n">
        <v>1413</v>
      </c>
      <c r="B584" s="2" t="n">
        <v>45539</v>
      </c>
      <c r="C584" s="3" t="s">
        <v>32</v>
      </c>
      <c r="D584" s="3" t="s">
        <v>13</v>
      </c>
      <c r="E584" s="3" t="s">
        <v>24</v>
      </c>
      <c r="F584" s="3" t="s">
        <v>39</v>
      </c>
      <c r="G584" s="0" t="n">
        <v>16</v>
      </c>
      <c r="H584" s="4" t="n">
        <v>23.29</v>
      </c>
      <c r="I584" s="4" t="n">
        <v>12.1</v>
      </c>
      <c r="J584" s="4" t="n">
        <f aca="false">G584*H584</f>
        <v>372.64</v>
      </c>
      <c r="K584" s="4" t="n">
        <f aca="false">G584*I584</f>
        <v>193.6</v>
      </c>
      <c r="L584" s="4" t="n">
        <f aca="false">J584-K584</f>
        <v>179.04</v>
      </c>
    </row>
    <row r="585" customFormat="false" ht="15" hidden="false" customHeight="false" outlineLevel="0" collapsed="false">
      <c r="A585" s="0" t="n">
        <v>2683</v>
      </c>
      <c r="B585" s="2" t="n">
        <v>45539</v>
      </c>
      <c r="C585" s="3" t="s">
        <v>23</v>
      </c>
      <c r="D585" s="3" t="s">
        <v>29</v>
      </c>
      <c r="E585" s="3" t="s">
        <v>37</v>
      </c>
      <c r="F585" s="3" t="s">
        <v>39</v>
      </c>
      <c r="G585" s="0" t="n">
        <v>13</v>
      </c>
      <c r="H585" s="4" t="n">
        <v>324.04</v>
      </c>
      <c r="I585" s="4" t="n">
        <v>192.4</v>
      </c>
      <c r="J585" s="4" t="n">
        <f aca="false">G585*H585</f>
        <v>4212.52</v>
      </c>
      <c r="K585" s="4" t="n">
        <f aca="false">G585*I585</f>
        <v>2501.2</v>
      </c>
      <c r="L585" s="4" t="n">
        <f aca="false">J585-K585</f>
        <v>1711.32</v>
      </c>
    </row>
    <row r="586" customFormat="false" ht="15" hidden="false" customHeight="false" outlineLevel="0" collapsed="false">
      <c r="A586" s="0" t="n">
        <v>1877</v>
      </c>
      <c r="B586" s="2" t="n">
        <v>45540</v>
      </c>
      <c r="C586" s="3" t="s">
        <v>12</v>
      </c>
      <c r="D586" s="3" t="s">
        <v>13</v>
      </c>
      <c r="E586" s="3" t="s">
        <v>45</v>
      </c>
      <c r="F586" s="3" t="s">
        <v>19</v>
      </c>
      <c r="G586" s="0" t="n">
        <v>8</v>
      </c>
      <c r="H586" s="4" t="n">
        <v>43.13</v>
      </c>
      <c r="I586" s="4" t="n">
        <v>31.97</v>
      </c>
      <c r="J586" s="4" t="n">
        <f aca="false">G586*H586</f>
        <v>345.04</v>
      </c>
      <c r="K586" s="4" t="n">
        <f aca="false">G586*I586</f>
        <v>255.76</v>
      </c>
      <c r="L586" s="4" t="n">
        <f aca="false">J586-K586</f>
        <v>89.28</v>
      </c>
    </row>
    <row r="587" customFormat="false" ht="15" hidden="false" customHeight="false" outlineLevel="0" collapsed="false">
      <c r="A587" s="0" t="n">
        <v>2177</v>
      </c>
      <c r="B587" s="2" t="n">
        <v>45540</v>
      </c>
      <c r="C587" s="3" t="s">
        <v>23</v>
      </c>
      <c r="D587" s="3" t="s">
        <v>13</v>
      </c>
      <c r="E587" s="3" t="s">
        <v>14</v>
      </c>
      <c r="F587" s="3" t="s">
        <v>36</v>
      </c>
      <c r="G587" s="0" t="n">
        <v>38</v>
      </c>
      <c r="H587" s="4" t="n">
        <v>50.56</v>
      </c>
      <c r="I587" s="4" t="n">
        <v>28.77</v>
      </c>
      <c r="J587" s="4" t="n">
        <f aca="false">G587*H587</f>
        <v>1921.28</v>
      </c>
      <c r="K587" s="4" t="n">
        <f aca="false">G587*I587</f>
        <v>1093.26</v>
      </c>
      <c r="L587" s="4" t="n">
        <f aca="false">J587-K587</f>
        <v>828.02</v>
      </c>
    </row>
    <row r="588" customFormat="false" ht="15" hidden="false" customHeight="false" outlineLevel="0" collapsed="false">
      <c r="A588" s="0" t="n">
        <v>2764</v>
      </c>
      <c r="B588" s="2" t="n">
        <v>45540</v>
      </c>
      <c r="C588" s="3" t="s">
        <v>32</v>
      </c>
      <c r="D588" s="3" t="s">
        <v>29</v>
      </c>
      <c r="E588" s="3" t="s">
        <v>41</v>
      </c>
      <c r="F588" s="3" t="s">
        <v>15</v>
      </c>
      <c r="G588" s="0" t="n">
        <v>15</v>
      </c>
      <c r="H588" s="4" t="n">
        <v>252.17</v>
      </c>
      <c r="I588" s="4" t="n">
        <v>173.94</v>
      </c>
      <c r="J588" s="4" t="n">
        <f aca="false">G588*H588</f>
        <v>3782.55</v>
      </c>
      <c r="K588" s="4" t="n">
        <f aca="false">G588*I588</f>
        <v>2609.1</v>
      </c>
      <c r="L588" s="4" t="n">
        <f aca="false">J588-K588</f>
        <v>1173.45</v>
      </c>
    </row>
    <row r="589" customFormat="false" ht="15" hidden="false" customHeight="false" outlineLevel="0" collapsed="false">
      <c r="A589" s="0" t="n">
        <v>1738</v>
      </c>
      <c r="B589" s="2" t="n">
        <v>45542</v>
      </c>
      <c r="C589" s="3" t="s">
        <v>26</v>
      </c>
      <c r="D589" s="3" t="s">
        <v>13</v>
      </c>
      <c r="E589" s="3" t="s">
        <v>46</v>
      </c>
      <c r="F589" s="3" t="s">
        <v>15</v>
      </c>
      <c r="G589" s="0" t="n">
        <v>10</v>
      </c>
      <c r="H589" s="4" t="n">
        <v>6.04</v>
      </c>
      <c r="I589" s="4" t="n">
        <v>4.31</v>
      </c>
      <c r="J589" s="4" t="n">
        <f aca="false">G589*H589</f>
        <v>60.4</v>
      </c>
      <c r="K589" s="4" t="n">
        <f aca="false">G589*I589</f>
        <v>43.1</v>
      </c>
      <c r="L589" s="4" t="n">
        <f aca="false">J589-K589</f>
        <v>17.3</v>
      </c>
    </row>
    <row r="590" customFormat="false" ht="15" hidden="false" customHeight="false" outlineLevel="0" collapsed="false">
      <c r="A590" s="0" t="n">
        <v>2083</v>
      </c>
      <c r="B590" s="2" t="n">
        <v>45542</v>
      </c>
      <c r="C590" s="3" t="s">
        <v>12</v>
      </c>
      <c r="D590" s="3" t="s">
        <v>29</v>
      </c>
      <c r="E590" s="3" t="s">
        <v>30</v>
      </c>
      <c r="F590" s="3" t="s">
        <v>28</v>
      </c>
      <c r="G590" s="0" t="n">
        <v>11</v>
      </c>
      <c r="H590" s="4" t="n">
        <v>368.45</v>
      </c>
      <c r="I590" s="4" t="n">
        <v>268.31</v>
      </c>
      <c r="J590" s="4" t="n">
        <f aca="false">G590*H590</f>
        <v>4052.95</v>
      </c>
      <c r="K590" s="4" t="n">
        <f aca="false">G590*I590</f>
        <v>2951.41</v>
      </c>
      <c r="L590" s="4" t="n">
        <f aca="false">J590-K590</f>
        <v>1101.54</v>
      </c>
    </row>
    <row r="591" customFormat="false" ht="15" hidden="false" customHeight="false" outlineLevel="0" collapsed="false">
      <c r="A591" s="0" t="n">
        <v>2543</v>
      </c>
      <c r="B591" s="2" t="n">
        <v>45542</v>
      </c>
      <c r="C591" s="3" t="s">
        <v>16</v>
      </c>
      <c r="D591" s="3" t="s">
        <v>13</v>
      </c>
      <c r="E591" s="3" t="s">
        <v>31</v>
      </c>
      <c r="F591" s="3" t="s">
        <v>15</v>
      </c>
      <c r="G591" s="0" t="n">
        <v>18</v>
      </c>
      <c r="H591" s="4" t="n">
        <v>30.88</v>
      </c>
      <c r="I591" s="4" t="n">
        <v>22.25</v>
      </c>
      <c r="J591" s="4" t="n">
        <f aca="false">G591*H591</f>
        <v>555.84</v>
      </c>
      <c r="K591" s="4" t="n">
        <f aca="false">G591*I591</f>
        <v>400.5</v>
      </c>
      <c r="L591" s="4" t="n">
        <f aca="false">J591-K591</f>
        <v>155.34</v>
      </c>
    </row>
    <row r="592" customFormat="false" ht="15" hidden="false" customHeight="false" outlineLevel="0" collapsed="false">
      <c r="A592" s="0" t="n">
        <v>1691</v>
      </c>
      <c r="B592" s="2" t="n">
        <v>45545</v>
      </c>
      <c r="C592" s="3" t="s">
        <v>26</v>
      </c>
      <c r="D592" s="3" t="s">
        <v>29</v>
      </c>
      <c r="E592" s="3" t="s">
        <v>37</v>
      </c>
      <c r="F592" s="3" t="s">
        <v>33</v>
      </c>
      <c r="G592" s="0" t="n">
        <v>30</v>
      </c>
      <c r="H592" s="4" t="n">
        <v>427.94</v>
      </c>
      <c r="I592" s="4" t="n">
        <v>220.62</v>
      </c>
      <c r="J592" s="4" t="n">
        <f aca="false">G592*H592</f>
        <v>12838.2</v>
      </c>
      <c r="K592" s="4" t="n">
        <f aca="false">G592*I592</f>
        <v>6618.6</v>
      </c>
      <c r="L592" s="4" t="n">
        <f aca="false">J592-K592</f>
        <v>6219.6</v>
      </c>
    </row>
    <row r="593" customFormat="false" ht="15" hidden="false" customHeight="false" outlineLevel="0" collapsed="false">
      <c r="A593" s="0" t="n">
        <v>1230</v>
      </c>
      <c r="B593" s="2" t="n">
        <v>45546</v>
      </c>
      <c r="C593" s="3" t="s">
        <v>32</v>
      </c>
      <c r="D593" s="3" t="s">
        <v>13</v>
      </c>
      <c r="E593" s="3" t="s">
        <v>46</v>
      </c>
      <c r="F593" s="3" t="s">
        <v>22</v>
      </c>
      <c r="G593" s="0" t="n">
        <v>37</v>
      </c>
      <c r="H593" s="4" t="n">
        <v>41.62</v>
      </c>
      <c r="I593" s="4" t="n">
        <v>30.86</v>
      </c>
      <c r="J593" s="4" t="n">
        <f aca="false">G593*H593</f>
        <v>1539.94</v>
      </c>
      <c r="K593" s="4" t="n">
        <f aca="false">G593*I593</f>
        <v>1141.82</v>
      </c>
      <c r="L593" s="4" t="n">
        <f aca="false">J593-K593</f>
        <v>398.12</v>
      </c>
    </row>
    <row r="594" customFormat="false" ht="15" hidden="false" customHeight="false" outlineLevel="0" collapsed="false">
      <c r="A594" s="0" t="n">
        <v>1439</v>
      </c>
      <c r="B594" s="2" t="n">
        <v>45546</v>
      </c>
      <c r="C594" s="3" t="s">
        <v>23</v>
      </c>
      <c r="D594" s="3" t="s">
        <v>20</v>
      </c>
      <c r="E594" s="3" t="s">
        <v>34</v>
      </c>
      <c r="F594" s="3" t="s">
        <v>22</v>
      </c>
      <c r="G594" s="0" t="n">
        <v>13</v>
      </c>
      <c r="H594" s="4" t="n">
        <v>294.99</v>
      </c>
      <c r="I594" s="4" t="n">
        <v>182.36</v>
      </c>
      <c r="J594" s="4" t="n">
        <f aca="false">G594*H594</f>
        <v>3834.87</v>
      </c>
      <c r="K594" s="4" t="n">
        <f aca="false">G594*I594</f>
        <v>2370.68</v>
      </c>
      <c r="L594" s="4" t="n">
        <f aca="false">J594-K594</f>
        <v>1464.19</v>
      </c>
    </row>
    <row r="595" customFormat="false" ht="15" hidden="false" customHeight="false" outlineLevel="0" collapsed="false">
      <c r="A595" s="0" t="n">
        <v>1778</v>
      </c>
      <c r="B595" s="2" t="n">
        <v>45546</v>
      </c>
      <c r="C595" s="3" t="s">
        <v>32</v>
      </c>
      <c r="D595" s="3" t="s">
        <v>29</v>
      </c>
      <c r="E595" s="3" t="s">
        <v>41</v>
      </c>
      <c r="F595" s="3" t="s">
        <v>39</v>
      </c>
      <c r="G595" s="0" t="n">
        <v>18</v>
      </c>
      <c r="H595" s="4" t="n">
        <v>479.43</v>
      </c>
      <c r="I595" s="4" t="n">
        <v>284.99</v>
      </c>
      <c r="J595" s="4" t="n">
        <f aca="false">G595*H595</f>
        <v>8629.74</v>
      </c>
      <c r="K595" s="4" t="n">
        <f aca="false">G595*I595</f>
        <v>5129.82</v>
      </c>
      <c r="L595" s="4" t="n">
        <f aca="false">J595-K595</f>
        <v>3499.92</v>
      </c>
    </row>
    <row r="596" customFormat="false" ht="15" hidden="false" customHeight="false" outlineLevel="0" collapsed="false">
      <c r="A596" s="0" t="n">
        <v>1021</v>
      </c>
      <c r="B596" s="2" t="n">
        <v>45547</v>
      </c>
      <c r="C596" s="3" t="s">
        <v>26</v>
      </c>
      <c r="D596" s="3" t="s">
        <v>20</v>
      </c>
      <c r="E596" s="3" t="s">
        <v>42</v>
      </c>
      <c r="F596" s="3" t="s">
        <v>22</v>
      </c>
      <c r="G596" s="0" t="n">
        <v>35</v>
      </c>
      <c r="H596" s="4" t="n">
        <v>257.63</v>
      </c>
      <c r="I596" s="4" t="n">
        <v>139.53</v>
      </c>
      <c r="J596" s="4" t="n">
        <f aca="false">G596*H596</f>
        <v>9017.05</v>
      </c>
      <c r="K596" s="4" t="n">
        <f aca="false">G596*I596</f>
        <v>4883.55</v>
      </c>
      <c r="L596" s="4" t="n">
        <f aca="false">J596-K596</f>
        <v>4133.5</v>
      </c>
    </row>
    <row r="597" customFormat="false" ht="15" hidden="false" customHeight="false" outlineLevel="0" collapsed="false">
      <c r="A597" s="0" t="n">
        <v>2578</v>
      </c>
      <c r="B597" s="2" t="n">
        <v>45547</v>
      </c>
      <c r="C597" s="3" t="s">
        <v>26</v>
      </c>
      <c r="D597" s="3" t="s">
        <v>29</v>
      </c>
      <c r="E597" s="3" t="s">
        <v>37</v>
      </c>
      <c r="F597" s="3" t="s">
        <v>22</v>
      </c>
      <c r="G597" s="0" t="n">
        <v>17</v>
      </c>
      <c r="H597" s="4" t="n">
        <v>419.29</v>
      </c>
      <c r="I597" s="4" t="n">
        <v>296.66</v>
      </c>
      <c r="J597" s="4" t="n">
        <f aca="false">G597*H597</f>
        <v>7127.93</v>
      </c>
      <c r="K597" s="4" t="n">
        <f aca="false">G597*I597</f>
        <v>5043.22</v>
      </c>
      <c r="L597" s="4" t="n">
        <f aca="false">J597-K597</f>
        <v>2084.71</v>
      </c>
    </row>
    <row r="598" customFormat="false" ht="15" hidden="false" customHeight="false" outlineLevel="0" collapsed="false">
      <c r="A598" s="0" t="n">
        <v>1137</v>
      </c>
      <c r="B598" s="2" t="n">
        <v>45548</v>
      </c>
      <c r="C598" s="3" t="s">
        <v>26</v>
      </c>
      <c r="D598" s="3" t="s">
        <v>20</v>
      </c>
      <c r="E598" s="3" t="s">
        <v>38</v>
      </c>
      <c r="F598" s="3" t="s">
        <v>25</v>
      </c>
      <c r="G598" s="0" t="n">
        <v>34</v>
      </c>
      <c r="H598" s="4" t="n">
        <v>96.38</v>
      </c>
      <c r="I598" s="4" t="n">
        <v>70</v>
      </c>
      <c r="J598" s="4" t="n">
        <f aca="false">G598*H598</f>
        <v>3276.92</v>
      </c>
      <c r="K598" s="4" t="n">
        <f aca="false">G598*I598</f>
        <v>2380</v>
      </c>
      <c r="L598" s="4" t="n">
        <f aca="false">J598-K598</f>
        <v>896.92</v>
      </c>
    </row>
    <row r="599" customFormat="false" ht="15" hidden="false" customHeight="false" outlineLevel="0" collapsed="false">
      <c r="A599" s="0" t="n">
        <v>1377</v>
      </c>
      <c r="B599" s="2" t="n">
        <v>45550</v>
      </c>
      <c r="C599" s="3" t="s">
        <v>12</v>
      </c>
      <c r="D599" s="3" t="s">
        <v>17</v>
      </c>
      <c r="E599" s="3" t="s">
        <v>44</v>
      </c>
      <c r="F599" s="3" t="s">
        <v>22</v>
      </c>
      <c r="G599" s="0" t="n">
        <v>36</v>
      </c>
      <c r="H599" s="4" t="n">
        <v>447.46</v>
      </c>
      <c r="I599" s="4" t="n">
        <v>234.72</v>
      </c>
      <c r="J599" s="4" t="n">
        <f aca="false">G599*H599</f>
        <v>16108.56</v>
      </c>
      <c r="K599" s="4" t="n">
        <f aca="false">G599*I599</f>
        <v>8449.92</v>
      </c>
      <c r="L599" s="4" t="n">
        <f aca="false">J599-K599</f>
        <v>7658.64</v>
      </c>
    </row>
    <row r="600" customFormat="false" ht="15" hidden="false" customHeight="false" outlineLevel="0" collapsed="false">
      <c r="A600" s="0" t="n">
        <v>2079</v>
      </c>
      <c r="B600" s="2" t="n">
        <v>45550</v>
      </c>
      <c r="C600" s="3" t="s">
        <v>32</v>
      </c>
      <c r="D600" s="3" t="s">
        <v>29</v>
      </c>
      <c r="E600" s="3" t="s">
        <v>41</v>
      </c>
      <c r="F600" s="3" t="s">
        <v>36</v>
      </c>
      <c r="G600" s="0" t="n">
        <v>20</v>
      </c>
      <c r="H600" s="4" t="n">
        <v>178.41</v>
      </c>
      <c r="I600" s="4" t="n">
        <v>130.55</v>
      </c>
      <c r="J600" s="4" t="n">
        <f aca="false">G600*H600</f>
        <v>3568.2</v>
      </c>
      <c r="K600" s="4" t="n">
        <f aca="false">G600*I600</f>
        <v>2611</v>
      </c>
      <c r="L600" s="4" t="n">
        <f aca="false">J600-K600</f>
        <v>957.2</v>
      </c>
    </row>
    <row r="601" customFormat="false" ht="15" hidden="false" customHeight="false" outlineLevel="0" collapsed="false">
      <c r="A601" s="0" t="n">
        <v>2382</v>
      </c>
      <c r="B601" s="2" t="n">
        <v>45550</v>
      </c>
      <c r="C601" s="3" t="s">
        <v>23</v>
      </c>
      <c r="D601" s="3" t="s">
        <v>13</v>
      </c>
      <c r="E601" s="3" t="s">
        <v>14</v>
      </c>
      <c r="F601" s="3" t="s">
        <v>28</v>
      </c>
      <c r="G601" s="0" t="n">
        <v>26</v>
      </c>
      <c r="H601" s="4" t="n">
        <v>52.17</v>
      </c>
      <c r="I601" s="4" t="n">
        <v>35.81</v>
      </c>
      <c r="J601" s="4" t="n">
        <f aca="false">G601*H601</f>
        <v>1356.42</v>
      </c>
      <c r="K601" s="4" t="n">
        <f aca="false">G601*I601</f>
        <v>931.06</v>
      </c>
      <c r="L601" s="4" t="n">
        <f aca="false">J601-K601</f>
        <v>425.36</v>
      </c>
    </row>
    <row r="602" customFormat="false" ht="15" hidden="false" customHeight="false" outlineLevel="0" collapsed="false">
      <c r="A602" s="0" t="n">
        <v>1822</v>
      </c>
      <c r="B602" s="2" t="n">
        <v>45552</v>
      </c>
      <c r="C602" s="3" t="s">
        <v>23</v>
      </c>
      <c r="D602" s="3" t="s">
        <v>13</v>
      </c>
      <c r="E602" s="3" t="s">
        <v>46</v>
      </c>
      <c r="F602" s="3" t="s">
        <v>39</v>
      </c>
      <c r="G602" s="0" t="n">
        <v>5</v>
      </c>
      <c r="H602" s="4" t="n">
        <v>18.36</v>
      </c>
      <c r="I602" s="4" t="n">
        <v>12.46</v>
      </c>
      <c r="J602" s="4" t="n">
        <f aca="false">G602*H602</f>
        <v>91.8</v>
      </c>
      <c r="K602" s="4" t="n">
        <f aca="false">G602*I602</f>
        <v>62.3</v>
      </c>
      <c r="L602" s="4" t="n">
        <f aca="false">J602-K602</f>
        <v>29.5</v>
      </c>
    </row>
    <row r="603" customFormat="false" ht="15" hidden="false" customHeight="false" outlineLevel="0" collapsed="false">
      <c r="A603" s="0" t="n">
        <v>2334</v>
      </c>
      <c r="B603" s="2" t="n">
        <v>45552</v>
      </c>
      <c r="C603" s="3" t="s">
        <v>16</v>
      </c>
      <c r="D603" s="3" t="s">
        <v>17</v>
      </c>
      <c r="E603" s="3" t="s">
        <v>40</v>
      </c>
      <c r="F603" s="3" t="s">
        <v>25</v>
      </c>
      <c r="G603" s="0" t="n">
        <v>25</v>
      </c>
      <c r="H603" s="4" t="n">
        <v>743.02</v>
      </c>
      <c r="I603" s="4" t="n">
        <v>545.03</v>
      </c>
      <c r="J603" s="4" t="n">
        <f aca="false">G603*H603</f>
        <v>18575.5</v>
      </c>
      <c r="K603" s="4" t="n">
        <f aca="false">G603*I603</f>
        <v>13625.75</v>
      </c>
      <c r="L603" s="4" t="n">
        <f aca="false">J603-K603</f>
        <v>4949.75</v>
      </c>
    </row>
    <row r="604" customFormat="false" ht="15" hidden="false" customHeight="false" outlineLevel="0" collapsed="false">
      <c r="A604" s="0" t="n">
        <v>2600</v>
      </c>
      <c r="B604" s="2" t="n">
        <v>45552</v>
      </c>
      <c r="C604" s="3" t="s">
        <v>32</v>
      </c>
      <c r="D604" s="3" t="s">
        <v>17</v>
      </c>
      <c r="E604" s="3" t="s">
        <v>18</v>
      </c>
      <c r="F604" s="3" t="s">
        <v>33</v>
      </c>
      <c r="G604" s="0" t="n">
        <v>2</v>
      </c>
      <c r="H604" s="4" t="n">
        <v>824.41</v>
      </c>
      <c r="I604" s="4" t="n">
        <v>514.35</v>
      </c>
      <c r="J604" s="4" t="n">
        <f aca="false">G604*H604</f>
        <v>1648.82</v>
      </c>
      <c r="K604" s="4" t="n">
        <f aca="false">G604*I604</f>
        <v>1028.7</v>
      </c>
      <c r="L604" s="4" t="n">
        <f aca="false">J604-K604</f>
        <v>620.12</v>
      </c>
    </row>
    <row r="605" customFormat="false" ht="15" hidden="false" customHeight="false" outlineLevel="0" collapsed="false">
      <c r="A605" s="0" t="n">
        <v>1110</v>
      </c>
      <c r="B605" s="2" t="n">
        <v>45553</v>
      </c>
      <c r="C605" s="3" t="s">
        <v>32</v>
      </c>
      <c r="D605" s="3" t="s">
        <v>13</v>
      </c>
      <c r="E605" s="3" t="s">
        <v>14</v>
      </c>
      <c r="F605" s="3" t="s">
        <v>25</v>
      </c>
      <c r="G605" s="0" t="n">
        <v>6</v>
      </c>
      <c r="H605" s="4" t="n">
        <v>8.31</v>
      </c>
      <c r="I605" s="4" t="n">
        <v>5.84</v>
      </c>
      <c r="J605" s="4" t="n">
        <f aca="false">G605*H605</f>
        <v>49.86</v>
      </c>
      <c r="K605" s="4" t="n">
        <f aca="false">G605*I605</f>
        <v>35.04</v>
      </c>
      <c r="L605" s="4" t="n">
        <f aca="false">J605-K605</f>
        <v>14.82</v>
      </c>
    </row>
    <row r="606" customFormat="false" ht="15" hidden="false" customHeight="false" outlineLevel="0" collapsed="false">
      <c r="A606" s="0" t="n">
        <v>1458</v>
      </c>
      <c r="B606" s="2" t="n">
        <v>45554</v>
      </c>
      <c r="C606" s="3" t="s">
        <v>32</v>
      </c>
      <c r="D606" s="3" t="s">
        <v>17</v>
      </c>
      <c r="E606" s="3" t="s">
        <v>35</v>
      </c>
      <c r="F606" s="3" t="s">
        <v>36</v>
      </c>
      <c r="G606" s="0" t="n">
        <v>37</v>
      </c>
      <c r="H606" s="4" t="n">
        <v>831.02</v>
      </c>
      <c r="I606" s="4" t="n">
        <v>451.43</v>
      </c>
      <c r="J606" s="4" t="n">
        <f aca="false">G606*H606</f>
        <v>30747.74</v>
      </c>
      <c r="K606" s="4" t="n">
        <f aca="false">G606*I606</f>
        <v>16702.91</v>
      </c>
      <c r="L606" s="4" t="n">
        <f aca="false">J606-K606</f>
        <v>14044.83</v>
      </c>
    </row>
    <row r="607" customFormat="false" ht="15" hidden="false" customHeight="false" outlineLevel="0" collapsed="false">
      <c r="A607" s="0" t="n">
        <v>2121</v>
      </c>
      <c r="B607" s="2" t="n">
        <v>45555</v>
      </c>
      <c r="C607" s="3" t="s">
        <v>12</v>
      </c>
      <c r="D607" s="3" t="s">
        <v>17</v>
      </c>
      <c r="E607" s="3" t="s">
        <v>44</v>
      </c>
      <c r="F607" s="3" t="s">
        <v>15</v>
      </c>
      <c r="G607" s="0" t="n">
        <v>10</v>
      </c>
      <c r="H607" s="4" t="n">
        <v>550.76</v>
      </c>
      <c r="I607" s="4" t="n">
        <v>412.54</v>
      </c>
      <c r="J607" s="4" t="n">
        <f aca="false">G607*H607</f>
        <v>5507.6</v>
      </c>
      <c r="K607" s="4" t="n">
        <f aca="false">G607*I607</f>
        <v>4125.4</v>
      </c>
      <c r="L607" s="4" t="n">
        <f aca="false">J607-K607</f>
        <v>1382.2</v>
      </c>
    </row>
    <row r="608" customFormat="false" ht="15" hidden="false" customHeight="false" outlineLevel="0" collapsed="false">
      <c r="A608" s="0" t="n">
        <v>2369</v>
      </c>
      <c r="B608" s="2" t="n">
        <v>45555</v>
      </c>
      <c r="C608" s="3" t="s">
        <v>26</v>
      </c>
      <c r="D608" s="3" t="s">
        <v>13</v>
      </c>
      <c r="E608" s="3" t="s">
        <v>46</v>
      </c>
      <c r="F608" s="3" t="s">
        <v>39</v>
      </c>
      <c r="G608" s="0" t="n">
        <v>15</v>
      </c>
      <c r="H608" s="4" t="n">
        <v>17.18</v>
      </c>
      <c r="I608" s="4" t="n">
        <v>11.59</v>
      </c>
      <c r="J608" s="4" t="n">
        <f aca="false">G608*H608</f>
        <v>257.7</v>
      </c>
      <c r="K608" s="4" t="n">
        <f aca="false">G608*I608</f>
        <v>173.85</v>
      </c>
      <c r="L608" s="4" t="n">
        <f aca="false">J608-K608</f>
        <v>83.85</v>
      </c>
    </row>
    <row r="609" customFormat="false" ht="15" hidden="false" customHeight="false" outlineLevel="0" collapsed="false">
      <c r="A609" s="0" t="n">
        <v>2220</v>
      </c>
      <c r="B609" s="2" t="n">
        <v>45556</v>
      </c>
      <c r="C609" s="3" t="s">
        <v>23</v>
      </c>
      <c r="D609" s="3" t="s">
        <v>29</v>
      </c>
      <c r="E609" s="3" t="s">
        <v>37</v>
      </c>
      <c r="F609" s="3" t="s">
        <v>15</v>
      </c>
      <c r="G609" s="0" t="n">
        <v>27</v>
      </c>
      <c r="H609" s="4" t="n">
        <v>253.73</v>
      </c>
      <c r="I609" s="4" t="n">
        <v>184.02</v>
      </c>
      <c r="J609" s="4" t="n">
        <f aca="false">G609*H609</f>
        <v>6850.71</v>
      </c>
      <c r="K609" s="4" t="n">
        <f aca="false">G609*I609</f>
        <v>4968.54</v>
      </c>
      <c r="L609" s="4" t="n">
        <f aca="false">J609-K609</f>
        <v>1882.17</v>
      </c>
    </row>
    <row r="610" customFormat="false" ht="15" hidden="false" customHeight="false" outlineLevel="0" collapsed="false">
      <c r="A610" s="0" t="n">
        <v>2393</v>
      </c>
      <c r="B610" s="2" t="n">
        <v>45556</v>
      </c>
      <c r="C610" s="3" t="s">
        <v>12</v>
      </c>
      <c r="D610" s="3" t="s">
        <v>29</v>
      </c>
      <c r="E610" s="3" t="s">
        <v>43</v>
      </c>
      <c r="F610" s="3" t="s">
        <v>36</v>
      </c>
      <c r="G610" s="0" t="n">
        <v>11</v>
      </c>
      <c r="H610" s="4" t="n">
        <v>148.84</v>
      </c>
      <c r="I610" s="4" t="n">
        <v>109.09</v>
      </c>
      <c r="J610" s="4" t="n">
        <f aca="false">G610*H610</f>
        <v>1637.24</v>
      </c>
      <c r="K610" s="4" t="n">
        <f aca="false">G610*I610</f>
        <v>1199.99</v>
      </c>
      <c r="L610" s="4" t="n">
        <f aca="false">J610-K610</f>
        <v>437.25</v>
      </c>
    </row>
    <row r="611" customFormat="false" ht="15" hidden="false" customHeight="false" outlineLevel="0" collapsed="false">
      <c r="A611" s="0" t="n">
        <v>2665</v>
      </c>
      <c r="B611" s="2" t="n">
        <v>45556</v>
      </c>
      <c r="C611" s="3" t="s">
        <v>32</v>
      </c>
      <c r="D611" s="3" t="s">
        <v>17</v>
      </c>
      <c r="E611" s="3" t="s">
        <v>44</v>
      </c>
      <c r="F611" s="3" t="s">
        <v>33</v>
      </c>
      <c r="G611" s="0" t="n">
        <v>36</v>
      </c>
      <c r="H611" s="4" t="n">
        <v>617.75</v>
      </c>
      <c r="I611" s="4" t="n">
        <v>446.7</v>
      </c>
      <c r="J611" s="4" t="n">
        <f aca="false">G611*H611</f>
        <v>22239</v>
      </c>
      <c r="K611" s="4" t="n">
        <f aca="false">G611*I611</f>
        <v>16081.2</v>
      </c>
      <c r="L611" s="4" t="n">
        <f aca="false">J611-K611</f>
        <v>6157.8</v>
      </c>
    </row>
    <row r="612" customFormat="false" ht="15" hidden="false" customHeight="false" outlineLevel="0" collapsed="false">
      <c r="A612" s="0" t="n">
        <v>1901</v>
      </c>
      <c r="B612" s="2" t="n">
        <v>45557</v>
      </c>
      <c r="C612" s="3" t="s">
        <v>12</v>
      </c>
      <c r="D612" s="3" t="s">
        <v>17</v>
      </c>
      <c r="E612" s="3" t="s">
        <v>27</v>
      </c>
      <c r="F612" s="3" t="s">
        <v>36</v>
      </c>
      <c r="G612" s="0" t="n">
        <v>22</v>
      </c>
      <c r="H612" s="4" t="n">
        <v>869.23</v>
      </c>
      <c r="I612" s="4" t="n">
        <v>539.28</v>
      </c>
      <c r="J612" s="4" t="n">
        <f aca="false">G612*H612</f>
        <v>19123.06</v>
      </c>
      <c r="K612" s="4" t="n">
        <f aca="false">G612*I612</f>
        <v>11864.16</v>
      </c>
      <c r="L612" s="4" t="n">
        <f aca="false">J612-K612</f>
        <v>7258.9</v>
      </c>
    </row>
    <row r="613" customFormat="false" ht="15" hidden="false" customHeight="false" outlineLevel="0" collapsed="false">
      <c r="A613" s="0" t="n">
        <v>2251</v>
      </c>
      <c r="B613" s="2" t="n">
        <v>45559</v>
      </c>
      <c r="C613" s="3" t="s">
        <v>16</v>
      </c>
      <c r="D613" s="3" t="s">
        <v>13</v>
      </c>
      <c r="E613" s="3" t="s">
        <v>14</v>
      </c>
      <c r="F613" s="3" t="s">
        <v>15</v>
      </c>
      <c r="G613" s="0" t="n">
        <v>18</v>
      </c>
      <c r="H613" s="4" t="n">
        <v>28.64</v>
      </c>
      <c r="I613" s="4" t="n">
        <v>20.86</v>
      </c>
      <c r="J613" s="4" t="n">
        <f aca="false">G613*H613</f>
        <v>515.52</v>
      </c>
      <c r="K613" s="4" t="n">
        <f aca="false">G613*I613</f>
        <v>375.48</v>
      </c>
      <c r="L613" s="4" t="n">
        <f aca="false">J613-K613</f>
        <v>140.04</v>
      </c>
    </row>
    <row r="614" customFormat="false" ht="15" hidden="false" customHeight="false" outlineLevel="0" collapsed="false">
      <c r="A614" s="0" t="n">
        <v>1463</v>
      </c>
      <c r="B614" s="2" t="n">
        <v>45560</v>
      </c>
      <c r="C614" s="3" t="s">
        <v>26</v>
      </c>
      <c r="D614" s="3" t="s">
        <v>20</v>
      </c>
      <c r="E614" s="3" t="s">
        <v>21</v>
      </c>
      <c r="F614" s="3" t="s">
        <v>19</v>
      </c>
      <c r="G614" s="0" t="n">
        <v>9</v>
      </c>
      <c r="H614" s="4" t="n">
        <v>179.97</v>
      </c>
      <c r="I614" s="4" t="n">
        <v>115.23</v>
      </c>
      <c r="J614" s="4" t="n">
        <f aca="false">G614*H614</f>
        <v>1619.73</v>
      </c>
      <c r="K614" s="4" t="n">
        <f aca="false">G614*I614</f>
        <v>1037.07</v>
      </c>
      <c r="L614" s="4" t="n">
        <f aca="false">J614-K614</f>
        <v>582.66</v>
      </c>
    </row>
    <row r="615" customFormat="false" ht="15" hidden="false" customHeight="false" outlineLevel="0" collapsed="false">
      <c r="A615" s="0" t="n">
        <v>1591</v>
      </c>
      <c r="B615" s="2" t="n">
        <v>45560</v>
      </c>
      <c r="C615" s="3" t="s">
        <v>32</v>
      </c>
      <c r="D615" s="3" t="s">
        <v>20</v>
      </c>
      <c r="E615" s="3" t="s">
        <v>42</v>
      </c>
      <c r="F615" s="3" t="s">
        <v>15</v>
      </c>
      <c r="G615" s="0" t="n">
        <v>27</v>
      </c>
      <c r="H615" s="4" t="n">
        <v>27.96</v>
      </c>
      <c r="I615" s="4" t="n">
        <v>19.33</v>
      </c>
      <c r="J615" s="4" t="n">
        <f aca="false">G615*H615</f>
        <v>754.92</v>
      </c>
      <c r="K615" s="4" t="n">
        <f aca="false">G615*I615</f>
        <v>521.91</v>
      </c>
      <c r="L615" s="4" t="n">
        <f aca="false">J615-K615</f>
        <v>233.01</v>
      </c>
    </row>
    <row r="616" customFormat="false" ht="15" hidden="false" customHeight="false" outlineLevel="0" collapsed="false">
      <c r="A616" s="0" t="n">
        <v>2601</v>
      </c>
      <c r="B616" s="2" t="n">
        <v>45560</v>
      </c>
      <c r="C616" s="3" t="s">
        <v>26</v>
      </c>
      <c r="D616" s="3" t="s">
        <v>17</v>
      </c>
      <c r="E616" s="3" t="s">
        <v>18</v>
      </c>
      <c r="F616" s="3" t="s">
        <v>33</v>
      </c>
      <c r="G616" s="0" t="n">
        <v>3</v>
      </c>
      <c r="H616" s="4" t="n">
        <v>793.36</v>
      </c>
      <c r="I616" s="4" t="n">
        <v>479.27</v>
      </c>
      <c r="J616" s="4" t="n">
        <f aca="false">G616*H616</f>
        <v>2380.08</v>
      </c>
      <c r="K616" s="4" t="n">
        <f aca="false">G616*I616</f>
        <v>1437.81</v>
      </c>
      <c r="L616" s="4" t="n">
        <f aca="false">J616-K616</f>
        <v>942.27</v>
      </c>
    </row>
    <row r="617" customFormat="false" ht="15" hidden="false" customHeight="false" outlineLevel="0" collapsed="false">
      <c r="A617" s="0" t="n">
        <v>1403</v>
      </c>
      <c r="B617" s="2" t="n">
        <v>45561</v>
      </c>
      <c r="C617" s="3" t="s">
        <v>12</v>
      </c>
      <c r="D617" s="3" t="s">
        <v>29</v>
      </c>
      <c r="E617" s="3" t="s">
        <v>30</v>
      </c>
      <c r="F617" s="3" t="s">
        <v>22</v>
      </c>
      <c r="G617" s="0" t="n">
        <v>25</v>
      </c>
      <c r="H617" s="4" t="n">
        <v>355.59</v>
      </c>
      <c r="I617" s="4" t="n">
        <v>263.45</v>
      </c>
      <c r="J617" s="4" t="n">
        <f aca="false">G617*H617</f>
        <v>8889.75</v>
      </c>
      <c r="K617" s="4" t="n">
        <f aca="false">G617*I617</f>
        <v>6586.25</v>
      </c>
      <c r="L617" s="4" t="n">
        <f aca="false">J617-K617</f>
        <v>2303.5</v>
      </c>
    </row>
    <row r="618" customFormat="false" ht="15" hidden="false" customHeight="false" outlineLevel="0" collapsed="false">
      <c r="A618" s="0" t="n">
        <v>1904</v>
      </c>
      <c r="B618" s="2" t="n">
        <v>45561</v>
      </c>
      <c r="C618" s="3" t="s">
        <v>16</v>
      </c>
      <c r="D618" s="3" t="s">
        <v>17</v>
      </c>
      <c r="E618" s="3" t="s">
        <v>18</v>
      </c>
      <c r="F618" s="3" t="s">
        <v>19</v>
      </c>
      <c r="G618" s="0" t="n">
        <v>29</v>
      </c>
      <c r="H618" s="4" t="n">
        <v>596.69</v>
      </c>
      <c r="I618" s="4" t="n">
        <v>326.34</v>
      </c>
      <c r="J618" s="4" t="n">
        <f aca="false">G618*H618</f>
        <v>17304.01</v>
      </c>
      <c r="K618" s="4" t="n">
        <f aca="false">G618*I618</f>
        <v>9463.86</v>
      </c>
      <c r="L618" s="4" t="n">
        <f aca="false">J618-K618</f>
        <v>7840.15</v>
      </c>
    </row>
    <row r="619" customFormat="false" ht="15" hidden="false" customHeight="false" outlineLevel="0" collapsed="false">
      <c r="A619" s="0" t="n">
        <v>1986</v>
      </c>
      <c r="B619" s="2" t="n">
        <v>45561</v>
      </c>
      <c r="C619" s="3" t="s">
        <v>26</v>
      </c>
      <c r="D619" s="3" t="s">
        <v>17</v>
      </c>
      <c r="E619" s="3" t="s">
        <v>40</v>
      </c>
      <c r="F619" s="3" t="s">
        <v>36</v>
      </c>
      <c r="G619" s="0" t="n">
        <v>17</v>
      </c>
      <c r="H619" s="4" t="n">
        <v>228.43</v>
      </c>
      <c r="I619" s="4" t="n">
        <v>160.86</v>
      </c>
      <c r="J619" s="4" t="n">
        <f aca="false">G619*H619</f>
        <v>3883.31</v>
      </c>
      <c r="K619" s="4" t="n">
        <f aca="false">G619*I619</f>
        <v>2734.62</v>
      </c>
      <c r="L619" s="4" t="n">
        <f aca="false">J619-K619</f>
        <v>1148.69</v>
      </c>
    </row>
    <row r="620" customFormat="false" ht="15" hidden="false" customHeight="false" outlineLevel="0" collapsed="false">
      <c r="A620" s="0" t="n">
        <v>1911</v>
      </c>
      <c r="B620" s="2" t="n">
        <v>45562</v>
      </c>
      <c r="C620" s="3" t="s">
        <v>32</v>
      </c>
      <c r="D620" s="3" t="s">
        <v>20</v>
      </c>
      <c r="E620" s="3" t="s">
        <v>34</v>
      </c>
      <c r="F620" s="3" t="s">
        <v>22</v>
      </c>
      <c r="G620" s="0" t="n">
        <v>27</v>
      </c>
      <c r="H620" s="4" t="n">
        <v>255.42</v>
      </c>
      <c r="I620" s="4" t="n">
        <v>160.85</v>
      </c>
      <c r="J620" s="4" t="n">
        <f aca="false">G620*H620</f>
        <v>6896.34</v>
      </c>
      <c r="K620" s="4" t="n">
        <f aca="false">G620*I620</f>
        <v>4342.95</v>
      </c>
      <c r="L620" s="4" t="n">
        <f aca="false">J620-K620</f>
        <v>2553.39</v>
      </c>
    </row>
    <row r="621" customFormat="false" ht="15" hidden="false" customHeight="false" outlineLevel="0" collapsed="false">
      <c r="A621" s="0" t="n">
        <v>2132</v>
      </c>
      <c r="B621" s="2" t="n">
        <v>45562</v>
      </c>
      <c r="C621" s="3" t="s">
        <v>16</v>
      </c>
      <c r="D621" s="3" t="s">
        <v>13</v>
      </c>
      <c r="E621" s="3" t="s">
        <v>31</v>
      </c>
      <c r="F621" s="3" t="s">
        <v>15</v>
      </c>
      <c r="G621" s="0" t="n">
        <v>36</v>
      </c>
      <c r="H621" s="4" t="n">
        <v>38.68</v>
      </c>
      <c r="I621" s="4" t="n">
        <v>21.1</v>
      </c>
      <c r="J621" s="4" t="n">
        <f aca="false">G621*H621</f>
        <v>1392.48</v>
      </c>
      <c r="K621" s="4" t="n">
        <f aca="false">G621*I621</f>
        <v>759.6</v>
      </c>
      <c r="L621" s="4" t="n">
        <f aca="false">J621-K621</f>
        <v>632.88</v>
      </c>
    </row>
    <row r="622" customFormat="false" ht="15" hidden="false" customHeight="false" outlineLevel="0" collapsed="false">
      <c r="A622" s="0" t="n">
        <v>1162</v>
      </c>
      <c r="B622" s="2" t="n">
        <v>45563</v>
      </c>
      <c r="C622" s="3" t="s">
        <v>12</v>
      </c>
      <c r="D622" s="3" t="s">
        <v>20</v>
      </c>
      <c r="E622" s="3" t="s">
        <v>42</v>
      </c>
      <c r="F622" s="3" t="s">
        <v>28</v>
      </c>
      <c r="G622" s="0" t="n">
        <v>35</v>
      </c>
      <c r="H622" s="4" t="n">
        <v>245.31</v>
      </c>
      <c r="I622" s="4" t="n">
        <v>164.66</v>
      </c>
      <c r="J622" s="4" t="n">
        <f aca="false">G622*H622</f>
        <v>8585.85</v>
      </c>
      <c r="K622" s="4" t="n">
        <f aca="false">G622*I622</f>
        <v>5763.1</v>
      </c>
      <c r="L622" s="4" t="n">
        <f aca="false">J622-K622</f>
        <v>2822.75</v>
      </c>
    </row>
    <row r="623" customFormat="false" ht="15" hidden="false" customHeight="false" outlineLevel="0" collapsed="false">
      <c r="A623" s="0" t="n">
        <v>1744</v>
      </c>
      <c r="B623" s="2" t="n">
        <v>45563</v>
      </c>
      <c r="C623" s="3" t="s">
        <v>26</v>
      </c>
      <c r="D623" s="3" t="s">
        <v>29</v>
      </c>
      <c r="E623" s="3" t="s">
        <v>30</v>
      </c>
      <c r="F623" s="3" t="s">
        <v>15</v>
      </c>
      <c r="G623" s="0" t="n">
        <v>33</v>
      </c>
      <c r="H623" s="4" t="n">
        <v>410.07</v>
      </c>
      <c r="I623" s="4" t="n">
        <v>215.12</v>
      </c>
      <c r="J623" s="4" t="n">
        <f aca="false">G623*H623</f>
        <v>13532.31</v>
      </c>
      <c r="K623" s="4" t="n">
        <f aca="false">G623*I623</f>
        <v>7098.96</v>
      </c>
      <c r="L623" s="4" t="n">
        <f aca="false">J623-K623</f>
        <v>6433.35</v>
      </c>
    </row>
    <row r="624" customFormat="false" ht="15" hidden="false" customHeight="false" outlineLevel="0" collapsed="false">
      <c r="A624" s="0" t="n">
        <v>1943</v>
      </c>
      <c r="B624" s="2" t="n">
        <v>45563</v>
      </c>
      <c r="C624" s="3" t="s">
        <v>26</v>
      </c>
      <c r="D624" s="3" t="s">
        <v>17</v>
      </c>
      <c r="E624" s="3" t="s">
        <v>40</v>
      </c>
      <c r="F624" s="3" t="s">
        <v>36</v>
      </c>
      <c r="G624" s="0" t="n">
        <v>14</v>
      </c>
      <c r="H624" s="4" t="n">
        <v>186.52</v>
      </c>
      <c r="I624" s="4" t="n">
        <v>105.97</v>
      </c>
      <c r="J624" s="4" t="n">
        <f aca="false">G624*H624</f>
        <v>2611.28</v>
      </c>
      <c r="K624" s="4" t="n">
        <f aca="false">G624*I624</f>
        <v>1483.58</v>
      </c>
      <c r="L624" s="4" t="n">
        <f aca="false">J624-K624</f>
        <v>1127.7</v>
      </c>
    </row>
    <row r="625" customFormat="false" ht="15" hidden="false" customHeight="false" outlineLevel="0" collapsed="false">
      <c r="A625" s="0" t="n">
        <v>1438</v>
      </c>
      <c r="B625" s="2" t="n">
        <v>45564</v>
      </c>
      <c r="C625" s="3" t="s">
        <v>23</v>
      </c>
      <c r="D625" s="3" t="s">
        <v>17</v>
      </c>
      <c r="E625" s="3" t="s">
        <v>35</v>
      </c>
      <c r="F625" s="3" t="s">
        <v>28</v>
      </c>
      <c r="G625" s="0" t="n">
        <v>12</v>
      </c>
      <c r="H625" s="4" t="n">
        <v>221.44</v>
      </c>
      <c r="I625" s="4" t="n">
        <v>117.47</v>
      </c>
      <c r="J625" s="4" t="n">
        <f aca="false">G625*H625</f>
        <v>2657.28</v>
      </c>
      <c r="K625" s="4" t="n">
        <f aca="false">G625*I625</f>
        <v>1409.64</v>
      </c>
      <c r="L625" s="4" t="n">
        <f aca="false">J625-K625</f>
        <v>1247.64</v>
      </c>
    </row>
    <row r="626" customFormat="false" ht="15" hidden="false" customHeight="false" outlineLevel="0" collapsed="false">
      <c r="A626" s="0" t="n">
        <v>1644</v>
      </c>
      <c r="B626" s="2" t="n">
        <v>45564</v>
      </c>
      <c r="C626" s="3" t="s">
        <v>32</v>
      </c>
      <c r="D626" s="3" t="s">
        <v>20</v>
      </c>
      <c r="E626" s="3" t="s">
        <v>21</v>
      </c>
      <c r="F626" s="3" t="s">
        <v>19</v>
      </c>
      <c r="G626" s="0" t="n">
        <v>28</v>
      </c>
      <c r="H626" s="4" t="n">
        <v>99.23</v>
      </c>
      <c r="I626" s="4" t="n">
        <v>66.41</v>
      </c>
      <c r="J626" s="4" t="n">
        <f aca="false">G626*H626</f>
        <v>2778.44</v>
      </c>
      <c r="K626" s="4" t="n">
        <f aca="false">G626*I626</f>
        <v>1859.48</v>
      </c>
      <c r="L626" s="4" t="n">
        <f aca="false">J626-K626</f>
        <v>918.96</v>
      </c>
    </row>
    <row r="627" customFormat="false" ht="15" hidden="false" customHeight="false" outlineLevel="0" collapsed="false">
      <c r="A627" s="0" t="n">
        <v>1841</v>
      </c>
      <c r="B627" s="2" t="n">
        <v>45564</v>
      </c>
      <c r="C627" s="3" t="s">
        <v>26</v>
      </c>
      <c r="D627" s="3" t="s">
        <v>20</v>
      </c>
      <c r="E627" s="3" t="s">
        <v>21</v>
      </c>
      <c r="F627" s="3" t="s">
        <v>28</v>
      </c>
      <c r="G627" s="0" t="n">
        <v>9</v>
      </c>
      <c r="H627" s="4" t="n">
        <v>160.52</v>
      </c>
      <c r="I627" s="4" t="n">
        <v>117.32</v>
      </c>
      <c r="J627" s="4" t="n">
        <f aca="false">G627*H627</f>
        <v>1444.68</v>
      </c>
      <c r="K627" s="4" t="n">
        <f aca="false">G627*I627</f>
        <v>1055.88</v>
      </c>
      <c r="L627" s="4" t="n">
        <f aca="false">J627-K627</f>
        <v>388.8</v>
      </c>
    </row>
    <row r="628" customFormat="false" ht="15" hidden="false" customHeight="false" outlineLevel="0" collapsed="false">
      <c r="A628" s="0" t="n">
        <v>1078</v>
      </c>
      <c r="B628" s="2" t="n">
        <v>45565</v>
      </c>
      <c r="C628" s="3" t="s">
        <v>16</v>
      </c>
      <c r="D628" s="3" t="s">
        <v>13</v>
      </c>
      <c r="E628" s="3" t="s">
        <v>31</v>
      </c>
      <c r="F628" s="3" t="s">
        <v>28</v>
      </c>
      <c r="G628" s="0" t="n">
        <v>32</v>
      </c>
      <c r="H628" s="4" t="n">
        <v>58.47</v>
      </c>
      <c r="I628" s="4" t="n">
        <v>31.55</v>
      </c>
      <c r="J628" s="4" t="n">
        <f aca="false">G628*H628</f>
        <v>1871.04</v>
      </c>
      <c r="K628" s="4" t="n">
        <f aca="false">G628*I628</f>
        <v>1009.6</v>
      </c>
      <c r="L628" s="4" t="n">
        <f aca="false">J628-K628</f>
        <v>861.44</v>
      </c>
    </row>
    <row r="629" customFormat="false" ht="15" hidden="false" customHeight="false" outlineLevel="0" collapsed="false">
      <c r="A629" s="0" t="n">
        <v>1478</v>
      </c>
      <c r="B629" s="2" t="n">
        <v>45565</v>
      </c>
      <c r="C629" s="3" t="s">
        <v>16</v>
      </c>
      <c r="D629" s="3" t="s">
        <v>13</v>
      </c>
      <c r="E629" s="3" t="s">
        <v>46</v>
      </c>
      <c r="F629" s="3" t="s">
        <v>39</v>
      </c>
      <c r="G629" s="0" t="n">
        <v>15</v>
      </c>
      <c r="H629" s="4" t="n">
        <v>23.48</v>
      </c>
      <c r="I629" s="4" t="n">
        <v>14.69</v>
      </c>
      <c r="J629" s="4" t="n">
        <f aca="false">G629*H629</f>
        <v>352.2</v>
      </c>
      <c r="K629" s="4" t="n">
        <f aca="false">G629*I629</f>
        <v>220.35</v>
      </c>
      <c r="L629" s="4" t="n">
        <f aca="false">J629-K629</f>
        <v>131.85</v>
      </c>
    </row>
    <row r="630" customFormat="false" ht="15" hidden="false" customHeight="false" outlineLevel="0" collapsed="false">
      <c r="A630" s="0" t="n">
        <v>2298</v>
      </c>
      <c r="B630" s="2" t="n">
        <v>45565</v>
      </c>
      <c r="C630" s="3" t="s">
        <v>26</v>
      </c>
      <c r="D630" s="3" t="s">
        <v>29</v>
      </c>
      <c r="E630" s="3" t="s">
        <v>37</v>
      </c>
      <c r="F630" s="3" t="s">
        <v>39</v>
      </c>
      <c r="G630" s="0" t="n">
        <v>29</v>
      </c>
      <c r="H630" s="4" t="n">
        <v>98.53</v>
      </c>
      <c r="I630" s="4" t="n">
        <v>70.38</v>
      </c>
      <c r="J630" s="4" t="n">
        <f aca="false">G630*H630</f>
        <v>2857.37</v>
      </c>
      <c r="K630" s="4" t="n">
        <f aca="false">G630*I630</f>
        <v>2041.02</v>
      </c>
      <c r="L630" s="4" t="n">
        <f aca="false">J630-K630</f>
        <v>816.35</v>
      </c>
    </row>
    <row r="631" customFormat="false" ht="15" hidden="false" customHeight="false" outlineLevel="0" collapsed="false">
      <c r="A631" s="0" t="n">
        <v>2674</v>
      </c>
      <c r="B631" s="2" t="n">
        <v>45566</v>
      </c>
      <c r="C631" s="3" t="s">
        <v>26</v>
      </c>
      <c r="D631" s="3" t="s">
        <v>13</v>
      </c>
      <c r="E631" s="3" t="s">
        <v>45</v>
      </c>
      <c r="F631" s="3" t="s">
        <v>25</v>
      </c>
      <c r="G631" s="0" t="n">
        <v>9</v>
      </c>
      <c r="H631" s="4" t="n">
        <v>54.36</v>
      </c>
      <c r="I631" s="4" t="n">
        <v>32.04</v>
      </c>
      <c r="J631" s="4" t="n">
        <f aca="false">G631*H631</f>
        <v>489.24</v>
      </c>
      <c r="K631" s="4" t="n">
        <f aca="false">G631*I631</f>
        <v>288.36</v>
      </c>
      <c r="L631" s="4" t="n">
        <f aca="false">J631-K631</f>
        <v>200.88</v>
      </c>
    </row>
    <row r="632" customFormat="false" ht="15" hidden="false" customHeight="false" outlineLevel="0" collapsed="false">
      <c r="A632" s="0" t="n">
        <v>1707</v>
      </c>
      <c r="B632" s="2" t="n">
        <v>45567</v>
      </c>
      <c r="C632" s="3" t="s">
        <v>16</v>
      </c>
      <c r="D632" s="3" t="s">
        <v>17</v>
      </c>
      <c r="E632" s="3" t="s">
        <v>44</v>
      </c>
      <c r="F632" s="3" t="s">
        <v>19</v>
      </c>
      <c r="G632" s="0" t="n">
        <v>20</v>
      </c>
      <c r="H632" s="4" t="n">
        <v>537.33</v>
      </c>
      <c r="I632" s="4" t="n">
        <v>373.83</v>
      </c>
      <c r="J632" s="4" t="n">
        <f aca="false">G632*H632</f>
        <v>10746.6</v>
      </c>
      <c r="K632" s="4" t="n">
        <f aca="false">G632*I632</f>
        <v>7476.6</v>
      </c>
      <c r="L632" s="4" t="n">
        <f aca="false">J632-K632</f>
        <v>3270</v>
      </c>
    </row>
    <row r="633" customFormat="false" ht="15" hidden="false" customHeight="false" outlineLevel="0" collapsed="false">
      <c r="A633" s="0" t="n">
        <v>2351</v>
      </c>
      <c r="B633" s="2" t="n">
        <v>45567</v>
      </c>
      <c r="C633" s="3" t="s">
        <v>12</v>
      </c>
      <c r="D633" s="3" t="s">
        <v>17</v>
      </c>
      <c r="E633" s="3" t="s">
        <v>18</v>
      </c>
      <c r="F633" s="3" t="s">
        <v>33</v>
      </c>
      <c r="G633" s="0" t="n">
        <v>12</v>
      </c>
      <c r="H633" s="4" t="n">
        <v>188.28</v>
      </c>
      <c r="I633" s="4" t="n">
        <v>134.4</v>
      </c>
      <c r="J633" s="4" t="n">
        <f aca="false">G633*H633</f>
        <v>2259.36</v>
      </c>
      <c r="K633" s="4" t="n">
        <f aca="false">G633*I633</f>
        <v>1612.8</v>
      </c>
      <c r="L633" s="4" t="n">
        <f aca="false">J633-K633</f>
        <v>646.56</v>
      </c>
    </row>
    <row r="634" customFormat="false" ht="15" hidden="false" customHeight="false" outlineLevel="0" collapsed="false">
      <c r="A634" s="0" t="n">
        <v>2522</v>
      </c>
      <c r="B634" s="2" t="n">
        <v>45567</v>
      </c>
      <c r="C634" s="3" t="s">
        <v>26</v>
      </c>
      <c r="D634" s="3" t="s">
        <v>17</v>
      </c>
      <c r="E634" s="3" t="s">
        <v>40</v>
      </c>
      <c r="F634" s="3" t="s">
        <v>39</v>
      </c>
      <c r="G634" s="0" t="n">
        <v>26</v>
      </c>
      <c r="H634" s="4" t="n">
        <v>318.37</v>
      </c>
      <c r="I634" s="4" t="n">
        <v>185.27</v>
      </c>
      <c r="J634" s="4" t="n">
        <f aca="false">G634*H634</f>
        <v>8277.62</v>
      </c>
      <c r="K634" s="4" t="n">
        <f aca="false">G634*I634</f>
        <v>4817.02</v>
      </c>
      <c r="L634" s="4" t="n">
        <f aca="false">J634-K634</f>
        <v>3460.6</v>
      </c>
    </row>
    <row r="635" customFormat="false" ht="15" hidden="false" customHeight="false" outlineLevel="0" collapsed="false">
      <c r="A635" s="0" t="n">
        <v>1480</v>
      </c>
      <c r="B635" s="2" t="n">
        <v>45568</v>
      </c>
      <c r="C635" s="3" t="s">
        <v>23</v>
      </c>
      <c r="D635" s="3" t="s">
        <v>13</v>
      </c>
      <c r="E635" s="3" t="s">
        <v>24</v>
      </c>
      <c r="F635" s="3" t="s">
        <v>39</v>
      </c>
      <c r="G635" s="0" t="n">
        <v>5</v>
      </c>
      <c r="H635" s="4" t="n">
        <v>57.42</v>
      </c>
      <c r="I635" s="4" t="n">
        <v>38.58</v>
      </c>
      <c r="J635" s="4" t="n">
        <f aca="false">G635*H635</f>
        <v>287.1</v>
      </c>
      <c r="K635" s="4" t="n">
        <f aca="false">G635*I635</f>
        <v>192.9</v>
      </c>
      <c r="L635" s="4" t="n">
        <f aca="false">J635-K635</f>
        <v>94.2000000000001</v>
      </c>
    </row>
    <row r="636" customFormat="false" ht="15" hidden="false" customHeight="false" outlineLevel="0" collapsed="false">
      <c r="A636" s="0" t="n">
        <v>1936</v>
      </c>
      <c r="B636" s="2" t="n">
        <v>45568</v>
      </c>
      <c r="C636" s="3" t="s">
        <v>12</v>
      </c>
      <c r="D636" s="3" t="s">
        <v>13</v>
      </c>
      <c r="E636" s="3" t="s">
        <v>46</v>
      </c>
      <c r="F636" s="3" t="s">
        <v>28</v>
      </c>
      <c r="G636" s="0" t="n">
        <v>8</v>
      </c>
      <c r="H636" s="4" t="n">
        <v>52.13</v>
      </c>
      <c r="I636" s="4" t="n">
        <v>38.65</v>
      </c>
      <c r="J636" s="4" t="n">
        <f aca="false">G636*H636</f>
        <v>417.04</v>
      </c>
      <c r="K636" s="4" t="n">
        <f aca="false">G636*I636</f>
        <v>309.2</v>
      </c>
      <c r="L636" s="4" t="n">
        <f aca="false">J636-K636</f>
        <v>107.84</v>
      </c>
    </row>
    <row r="637" customFormat="false" ht="15" hidden="false" customHeight="false" outlineLevel="0" collapsed="false">
      <c r="A637" s="0" t="n">
        <v>2296</v>
      </c>
      <c r="B637" s="2" t="n">
        <v>45568</v>
      </c>
      <c r="C637" s="3" t="s">
        <v>26</v>
      </c>
      <c r="D637" s="3" t="s">
        <v>20</v>
      </c>
      <c r="E637" s="3" t="s">
        <v>42</v>
      </c>
      <c r="F637" s="3" t="s">
        <v>19</v>
      </c>
      <c r="G637" s="0" t="n">
        <v>14</v>
      </c>
      <c r="H637" s="4" t="n">
        <v>159.28</v>
      </c>
      <c r="I637" s="4" t="n">
        <v>112.71</v>
      </c>
      <c r="J637" s="4" t="n">
        <f aca="false">G637*H637</f>
        <v>2229.92</v>
      </c>
      <c r="K637" s="4" t="n">
        <f aca="false">G637*I637</f>
        <v>1577.94</v>
      </c>
      <c r="L637" s="4" t="n">
        <f aca="false">J637-K637</f>
        <v>651.98</v>
      </c>
    </row>
    <row r="638" customFormat="false" ht="15" hidden="false" customHeight="false" outlineLevel="0" collapsed="false">
      <c r="A638" s="0" t="n">
        <v>2395</v>
      </c>
      <c r="B638" s="2" t="n">
        <v>45568</v>
      </c>
      <c r="C638" s="3" t="s">
        <v>12</v>
      </c>
      <c r="D638" s="3" t="s">
        <v>17</v>
      </c>
      <c r="E638" s="3" t="s">
        <v>18</v>
      </c>
      <c r="F638" s="3" t="s">
        <v>33</v>
      </c>
      <c r="G638" s="0" t="n">
        <v>8</v>
      </c>
      <c r="H638" s="4" t="n">
        <v>480.39</v>
      </c>
      <c r="I638" s="4" t="n">
        <v>297.99</v>
      </c>
      <c r="J638" s="4" t="n">
        <f aca="false">G638*H638</f>
        <v>3843.12</v>
      </c>
      <c r="K638" s="4" t="n">
        <f aca="false">G638*I638</f>
        <v>2383.92</v>
      </c>
      <c r="L638" s="4" t="n">
        <f aca="false">J638-K638</f>
        <v>1459.2</v>
      </c>
    </row>
    <row r="639" customFormat="false" ht="15" hidden="false" customHeight="false" outlineLevel="0" collapsed="false">
      <c r="A639" s="0" t="n">
        <v>1029</v>
      </c>
      <c r="B639" s="2" t="n">
        <v>45570</v>
      </c>
      <c r="C639" s="3" t="s">
        <v>32</v>
      </c>
      <c r="D639" s="3" t="s">
        <v>13</v>
      </c>
      <c r="E639" s="3" t="s">
        <v>31</v>
      </c>
      <c r="F639" s="3" t="s">
        <v>39</v>
      </c>
      <c r="G639" s="0" t="n">
        <v>17</v>
      </c>
      <c r="H639" s="4" t="n">
        <v>17.31</v>
      </c>
      <c r="I639" s="4" t="n">
        <v>11.4</v>
      </c>
      <c r="J639" s="4" t="n">
        <f aca="false">G639*H639</f>
        <v>294.27</v>
      </c>
      <c r="K639" s="4" t="n">
        <f aca="false">G639*I639</f>
        <v>193.8</v>
      </c>
      <c r="L639" s="4" t="n">
        <f aca="false">J639-K639</f>
        <v>100.47</v>
      </c>
    </row>
    <row r="640" customFormat="false" ht="15" hidden="false" customHeight="false" outlineLevel="0" collapsed="false">
      <c r="A640" s="0" t="n">
        <v>2352</v>
      </c>
      <c r="B640" s="2" t="n">
        <v>45570</v>
      </c>
      <c r="C640" s="3" t="s">
        <v>16</v>
      </c>
      <c r="D640" s="3" t="s">
        <v>17</v>
      </c>
      <c r="E640" s="3" t="s">
        <v>35</v>
      </c>
      <c r="F640" s="3" t="s">
        <v>22</v>
      </c>
      <c r="G640" s="0" t="n">
        <v>26</v>
      </c>
      <c r="H640" s="4" t="n">
        <v>173.36</v>
      </c>
      <c r="I640" s="4" t="n">
        <v>124.03</v>
      </c>
      <c r="J640" s="4" t="n">
        <f aca="false">G640*H640</f>
        <v>4507.36</v>
      </c>
      <c r="K640" s="4" t="n">
        <f aca="false">G640*I640</f>
        <v>3224.78</v>
      </c>
      <c r="L640" s="4" t="n">
        <f aca="false">J640-K640</f>
        <v>1282.58</v>
      </c>
    </row>
    <row r="641" customFormat="false" ht="15" hidden="false" customHeight="false" outlineLevel="0" collapsed="false">
      <c r="A641" s="0" t="n">
        <v>2100</v>
      </c>
      <c r="B641" s="2" t="n">
        <v>45571</v>
      </c>
      <c r="C641" s="3" t="s">
        <v>26</v>
      </c>
      <c r="D641" s="3" t="s">
        <v>20</v>
      </c>
      <c r="E641" s="3" t="s">
        <v>34</v>
      </c>
      <c r="F641" s="3" t="s">
        <v>22</v>
      </c>
      <c r="G641" s="0" t="n">
        <v>27</v>
      </c>
      <c r="H641" s="4" t="n">
        <v>241.27</v>
      </c>
      <c r="I641" s="4" t="n">
        <v>158.93</v>
      </c>
      <c r="J641" s="4" t="n">
        <f aca="false">G641*H641</f>
        <v>6514.29</v>
      </c>
      <c r="K641" s="4" t="n">
        <f aca="false">G641*I641</f>
        <v>4291.11</v>
      </c>
      <c r="L641" s="4" t="n">
        <f aca="false">J641-K641</f>
        <v>2223.18</v>
      </c>
    </row>
    <row r="642" customFormat="false" ht="15" hidden="false" customHeight="false" outlineLevel="0" collapsed="false">
      <c r="A642" s="0" t="n">
        <v>1718</v>
      </c>
      <c r="B642" s="2" t="n">
        <v>45572</v>
      </c>
      <c r="C642" s="3" t="s">
        <v>12</v>
      </c>
      <c r="D642" s="3" t="s">
        <v>17</v>
      </c>
      <c r="E642" s="3" t="s">
        <v>35</v>
      </c>
      <c r="F642" s="3" t="s">
        <v>15</v>
      </c>
      <c r="G642" s="0" t="n">
        <v>36</v>
      </c>
      <c r="H642" s="4" t="n">
        <v>801.81</v>
      </c>
      <c r="I642" s="4" t="n">
        <v>531.21</v>
      </c>
      <c r="J642" s="4" t="n">
        <f aca="false">G642*H642</f>
        <v>28865.16</v>
      </c>
      <c r="K642" s="4" t="n">
        <f aca="false">G642*I642</f>
        <v>19123.56</v>
      </c>
      <c r="L642" s="4" t="n">
        <f aca="false">J642-K642</f>
        <v>9741.6</v>
      </c>
    </row>
    <row r="643" customFormat="false" ht="15" hidden="false" customHeight="false" outlineLevel="0" collapsed="false">
      <c r="A643" s="0" t="n">
        <v>1922</v>
      </c>
      <c r="B643" s="2" t="n">
        <v>45572</v>
      </c>
      <c r="C643" s="3" t="s">
        <v>23</v>
      </c>
      <c r="D643" s="3" t="s">
        <v>13</v>
      </c>
      <c r="E643" s="3" t="s">
        <v>45</v>
      </c>
      <c r="F643" s="3" t="s">
        <v>33</v>
      </c>
      <c r="G643" s="0" t="n">
        <v>36</v>
      </c>
      <c r="H643" s="4" t="n">
        <v>29.62</v>
      </c>
      <c r="I643" s="4" t="n">
        <v>21.82</v>
      </c>
      <c r="J643" s="4" t="n">
        <f aca="false">G643*H643</f>
        <v>1066.32</v>
      </c>
      <c r="K643" s="4" t="n">
        <f aca="false">G643*I643</f>
        <v>785.52</v>
      </c>
      <c r="L643" s="4" t="n">
        <f aca="false">J643-K643</f>
        <v>280.8</v>
      </c>
    </row>
    <row r="644" customFormat="false" ht="15" hidden="false" customHeight="false" outlineLevel="0" collapsed="false">
      <c r="A644" s="0" t="n">
        <v>2386</v>
      </c>
      <c r="B644" s="2" t="n">
        <v>45572</v>
      </c>
      <c r="C644" s="3" t="s">
        <v>16</v>
      </c>
      <c r="D644" s="3" t="s">
        <v>20</v>
      </c>
      <c r="E644" s="3" t="s">
        <v>34</v>
      </c>
      <c r="F644" s="3" t="s">
        <v>36</v>
      </c>
      <c r="G644" s="0" t="n">
        <v>3</v>
      </c>
      <c r="H644" s="4" t="n">
        <v>170.86</v>
      </c>
      <c r="I644" s="4" t="n">
        <v>117.71</v>
      </c>
      <c r="J644" s="4" t="n">
        <f aca="false">G644*H644</f>
        <v>512.58</v>
      </c>
      <c r="K644" s="4" t="n">
        <f aca="false">G644*I644</f>
        <v>353.13</v>
      </c>
      <c r="L644" s="4" t="n">
        <f aca="false">J644-K644</f>
        <v>159.45</v>
      </c>
    </row>
    <row r="645" customFormat="false" ht="15" hidden="false" customHeight="false" outlineLevel="0" collapsed="false">
      <c r="A645" s="0" t="n">
        <v>2633</v>
      </c>
      <c r="B645" s="2" t="n">
        <v>45572</v>
      </c>
      <c r="C645" s="3" t="s">
        <v>23</v>
      </c>
      <c r="D645" s="3" t="s">
        <v>13</v>
      </c>
      <c r="E645" s="3" t="s">
        <v>31</v>
      </c>
      <c r="F645" s="3" t="s">
        <v>36</v>
      </c>
      <c r="G645" s="0" t="n">
        <v>15</v>
      </c>
      <c r="H645" s="4" t="n">
        <v>8.1</v>
      </c>
      <c r="I645" s="4" t="n">
        <v>5.56</v>
      </c>
      <c r="J645" s="4" t="n">
        <f aca="false">G645*H645</f>
        <v>121.5</v>
      </c>
      <c r="K645" s="4" t="n">
        <f aca="false">G645*I645</f>
        <v>83.4</v>
      </c>
      <c r="L645" s="4" t="n">
        <f aca="false">J645-K645</f>
        <v>38.1</v>
      </c>
    </row>
    <row r="646" customFormat="false" ht="15" hidden="false" customHeight="false" outlineLevel="0" collapsed="false">
      <c r="A646" s="0" t="n">
        <v>1415</v>
      </c>
      <c r="B646" s="2" t="n">
        <v>45573</v>
      </c>
      <c r="C646" s="3" t="s">
        <v>23</v>
      </c>
      <c r="D646" s="3" t="s">
        <v>13</v>
      </c>
      <c r="E646" s="3" t="s">
        <v>46</v>
      </c>
      <c r="F646" s="3" t="s">
        <v>15</v>
      </c>
      <c r="G646" s="0" t="n">
        <v>26</v>
      </c>
      <c r="H646" s="4" t="n">
        <v>35.87</v>
      </c>
      <c r="I646" s="4" t="n">
        <v>22.22</v>
      </c>
      <c r="J646" s="4" t="n">
        <f aca="false">G646*H646</f>
        <v>932.62</v>
      </c>
      <c r="K646" s="4" t="n">
        <f aca="false">G646*I646</f>
        <v>577.72</v>
      </c>
      <c r="L646" s="4" t="n">
        <f aca="false">J646-K646</f>
        <v>354.9</v>
      </c>
    </row>
    <row r="647" customFormat="false" ht="15" hidden="false" customHeight="false" outlineLevel="0" collapsed="false">
      <c r="A647" s="0" t="n">
        <v>1530</v>
      </c>
      <c r="B647" s="2" t="n">
        <v>45573</v>
      </c>
      <c r="C647" s="3" t="s">
        <v>32</v>
      </c>
      <c r="D647" s="3" t="s">
        <v>17</v>
      </c>
      <c r="E647" s="3" t="s">
        <v>27</v>
      </c>
      <c r="F647" s="3" t="s">
        <v>19</v>
      </c>
      <c r="G647" s="0" t="n">
        <v>38</v>
      </c>
      <c r="H647" s="4" t="n">
        <v>680.73</v>
      </c>
      <c r="I647" s="4" t="n">
        <v>473.54</v>
      </c>
      <c r="J647" s="4" t="n">
        <f aca="false">G647*H647</f>
        <v>25867.74</v>
      </c>
      <c r="K647" s="4" t="n">
        <f aca="false">G647*I647</f>
        <v>17994.52</v>
      </c>
      <c r="L647" s="4" t="n">
        <f aca="false">J647-K647</f>
        <v>7873.22</v>
      </c>
    </row>
    <row r="648" customFormat="false" ht="15" hidden="false" customHeight="false" outlineLevel="0" collapsed="false">
      <c r="A648" s="0" t="n">
        <v>1746</v>
      </c>
      <c r="B648" s="2" t="n">
        <v>45573</v>
      </c>
      <c r="C648" s="3" t="s">
        <v>12</v>
      </c>
      <c r="D648" s="3" t="s">
        <v>13</v>
      </c>
      <c r="E648" s="3" t="s">
        <v>46</v>
      </c>
      <c r="F648" s="3" t="s">
        <v>15</v>
      </c>
      <c r="G648" s="0" t="n">
        <v>1</v>
      </c>
      <c r="H648" s="4" t="n">
        <v>19.07</v>
      </c>
      <c r="I648" s="4" t="n">
        <v>14.04</v>
      </c>
      <c r="J648" s="4" t="n">
        <f aca="false">G648*H648</f>
        <v>19.07</v>
      </c>
      <c r="K648" s="4" t="n">
        <f aca="false">G648*I648</f>
        <v>14.04</v>
      </c>
      <c r="L648" s="4" t="n">
        <f aca="false">J648-K648</f>
        <v>5.03</v>
      </c>
    </row>
    <row r="649" customFormat="false" ht="15" hidden="false" customHeight="false" outlineLevel="0" collapsed="false">
      <c r="A649" s="0" t="n">
        <v>2119</v>
      </c>
      <c r="B649" s="2" t="n">
        <v>45573</v>
      </c>
      <c r="C649" s="3" t="s">
        <v>16</v>
      </c>
      <c r="D649" s="3" t="s">
        <v>17</v>
      </c>
      <c r="E649" s="3" t="s">
        <v>44</v>
      </c>
      <c r="F649" s="3" t="s">
        <v>19</v>
      </c>
      <c r="G649" s="0" t="n">
        <v>34</v>
      </c>
      <c r="H649" s="4" t="n">
        <v>302.28</v>
      </c>
      <c r="I649" s="4" t="n">
        <v>173.15</v>
      </c>
      <c r="J649" s="4" t="n">
        <f aca="false">G649*H649</f>
        <v>10277.52</v>
      </c>
      <c r="K649" s="4" t="n">
        <f aca="false">G649*I649</f>
        <v>5887.1</v>
      </c>
      <c r="L649" s="4" t="n">
        <f aca="false">J649-K649</f>
        <v>4390.42</v>
      </c>
    </row>
    <row r="650" customFormat="false" ht="15" hidden="false" customHeight="false" outlineLevel="0" collapsed="false">
      <c r="A650" s="0" t="n">
        <v>2596</v>
      </c>
      <c r="B650" s="2" t="n">
        <v>45573</v>
      </c>
      <c r="C650" s="3" t="s">
        <v>16</v>
      </c>
      <c r="D650" s="3" t="s">
        <v>13</v>
      </c>
      <c r="E650" s="3" t="s">
        <v>45</v>
      </c>
      <c r="F650" s="3" t="s">
        <v>39</v>
      </c>
      <c r="G650" s="0" t="n">
        <v>18</v>
      </c>
      <c r="H650" s="4" t="n">
        <v>33.36</v>
      </c>
      <c r="I650" s="4" t="n">
        <v>24.02</v>
      </c>
      <c r="J650" s="4" t="n">
        <f aca="false">G650*H650</f>
        <v>600.48</v>
      </c>
      <c r="K650" s="4" t="n">
        <f aca="false">G650*I650</f>
        <v>432.36</v>
      </c>
      <c r="L650" s="4" t="n">
        <f aca="false">J650-K650</f>
        <v>168.12</v>
      </c>
    </row>
    <row r="651" customFormat="false" ht="15" hidden="false" customHeight="false" outlineLevel="0" collapsed="false">
      <c r="A651" s="0" t="n">
        <v>1060</v>
      </c>
      <c r="B651" s="2" t="n">
        <v>45574</v>
      </c>
      <c r="C651" s="3" t="s">
        <v>16</v>
      </c>
      <c r="D651" s="3" t="s">
        <v>17</v>
      </c>
      <c r="E651" s="3" t="s">
        <v>35</v>
      </c>
      <c r="F651" s="3" t="s">
        <v>39</v>
      </c>
      <c r="G651" s="0" t="n">
        <v>6</v>
      </c>
      <c r="H651" s="4" t="n">
        <v>262.74</v>
      </c>
      <c r="I651" s="4" t="n">
        <v>162.64</v>
      </c>
      <c r="J651" s="4" t="n">
        <f aca="false">G651*H651</f>
        <v>1576.44</v>
      </c>
      <c r="K651" s="4" t="n">
        <f aca="false">G651*I651</f>
        <v>975.84</v>
      </c>
      <c r="L651" s="4" t="n">
        <f aca="false">J651-K651</f>
        <v>600.6</v>
      </c>
    </row>
    <row r="652" customFormat="false" ht="15" hidden="false" customHeight="false" outlineLevel="0" collapsed="false">
      <c r="A652" s="0" t="n">
        <v>2572</v>
      </c>
      <c r="B652" s="2" t="n">
        <v>45574</v>
      </c>
      <c r="C652" s="3" t="s">
        <v>23</v>
      </c>
      <c r="D652" s="3" t="s">
        <v>29</v>
      </c>
      <c r="E652" s="3" t="s">
        <v>37</v>
      </c>
      <c r="F652" s="3" t="s">
        <v>36</v>
      </c>
      <c r="G652" s="0" t="n">
        <v>12</v>
      </c>
      <c r="H652" s="4" t="n">
        <v>87.32</v>
      </c>
      <c r="I652" s="4" t="n">
        <v>51.28</v>
      </c>
      <c r="J652" s="4" t="n">
        <f aca="false">G652*H652</f>
        <v>1047.84</v>
      </c>
      <c r="K652" s="4" t="n">
        <f aca="false">G652*I652</f>
        <v>615.36</v>
      </c>
      <c r="L652" s="4" t="n">
        <f aca="false">J652-K652</f>
        <v>432.48</v>
      </c>
    </row>
    <row r="653" customFormat="false" ht="15" hidden="false" customHeight="false" outlineLevel="0" collapsed="false">
      <c r="A653" s="0" t="n">
        <v>1030</v>
      </c>
      <c r="B653" s="2" t="n">
        <v>45575</v>
      </c>
      <c r="C653" s="3" t="s">
        <v>26</v>
      </c>
      <c r="D653" s="3" t="s">
        <v>17</v>
      </c>
      <c r="E653" s="3" t="s">
        <v>40</v>
      </c>
      <c r="F653" s="3" t="s">
        <v>19</v>
      </c>
      <c r="G653" s="0" t="n">
        <v>17</v>
      </c>
      <c r="H653" s="4" t="n">
        <v>195.73</v>
      </c>
      <c r="I653" s="4" t="n">
        <v>103.34</v>
      </c>
      <c r="J653" s="4" t="n">
        <f aca="false">G653*H653</f>
        <v>3327.41</v>
      </c>
      <c r="K653" s="4" t="n">
        <f aca="false">G653*I653</f>
        <v>1756.78</v>
      </c>
      <c r="L653" s="4" t="n">
        <f aca="false">J653-K653</f>
        <v>1570.63</v>
      </c>
    </row>
    <row r="654" customFormat="false" ht="15" hidden="false" customHeight="false" outlineLevel="0" collapsed="false">
      <c r="A654" s="0" t="n">
        <v>1322</v>
      </c>
      <c r="B654" s="2" t="n">
        <v>45575</v>
      </c>
      <c r="C654" s="3" t="s">
        <v>32</v>
      </c>
      <c r="D654" s="3" t="s">
        <v>29</v>
      </c>
      <c r="E654" s="3" t="s">
        <v>43</v>
      </c>
      <c r="F654" s="3" t="s">
        <v>15</v>
      </c>
      <c r="G654" s="0" t="n">
        <v>13</v>
      </c>
      <c r="H654" s="4" t="n">
        <v>457.87</v>
      </c>
      <c r="I654" s="4" t="n">
        <v>320.78</v>
      </c>
      <c r="J654" s="4" t="n">
        <f aca="false">G654*H654</f>
        <v>5952.31</v>
      </c>
      <c r="K654" s="4" t="n">
        <f aca="false">G654*I654</f>
        <v>4170.14</v>
      </c>
      <c r="L654" s="4" t="n">
        <f aca="false">J654-K654</f>
        <v>1782.17</v>
      </c>
    </row>
    <row r="655" customFormat="false" ht="15" hidden="false" customHeight="false" outlineLevel="0" collapsed="false">
      <c r="A655" s="0" t="n">
        <v>1720</v>
      </c>
      <c r="B655" s="2" t="n">
        <v>45576</v>
      </c>
      <c r="C655" s="3" t="s">
        <v>23</v>
      </c>
      <c r="D655" s="3" t="s">
        <v>20</v>
      </c>
      <c r="E655" s="3" t="s">
        <v>38</v>
      </c>
      <c r="F655" s="3" t="s">
        <v>22</v>
      </c>
      <c r="G655" s="0" t="n">
        <v>26</v>
      </c>
      <c r="H655" s="4" t="n">
        <v>27.1</v>
      </c>
      <c r="I655" s="4" t="n">
        <v>18.55</v>
      </c>
      <c r="J655" s="4" t="n">
        <f aca="false">G655*H655</f>
        <v>704.6</v>
      </c>
      <c r="K655" s="4" t="n">
        <f aca="false">G655*I655</f>
        <v>482.3</v>
      </c>
      <c r="L655" s="4" t="n">
        <f aca="false">J655-K655</f>
        <v>222.3</v>
      </c>
    </row>
    <row r="656" customFormat="false" ht="15" hidden="false" customHeight="false" outlineLevel="0" collapsed="false">
      <c r="A656" s="0" t="n">
        <v>2124</v>
      </c>
      <c r="B656" s="2" t="n">
        <v>45576</v>
      </c>
      <c r="C656" s="3" t="s">
        <v>16</v>
      </c>
      <c r="D656" s="3" t="s">
        <v>17</v>
      </c>
      <c r="E656" s="3" t="s">
        <v>44</v>
      </c>
      <c r="F656" s="3" t="s">
        <v>33</v>
      </c>
      <c r="G656" s="0" t="n">
        <v>32</v>
      </c>
      <c r="H656" s="4" t="n">
        <v>445.83</v>
      </c>
      <c r="I656" s="4" t="n">
        <v>317.18</v>
      </c>
      <c r="J656" s="4" t="n">
        <f aca="false">G656*H656</f>
        <v>14266.56</v>
      </c>
      <c r="K656" s="4" t="n">
        <f aca="false">G656*I656</f>
        <v>10149.76</v>
      </c>
      <c r="L656" s="4" t="n">
        <f aca="false">J656-K656</f>
        <v>4116.8</v>
      </c>
    </row>
    <row r="657" customFormat="false" ht="15" hidden="false" customHeight="false" outlineLevel="0" collapsed="false">
      <c r="A657" s="0" t="n">
        <v>1763</v>
      </c>
      <c r="B657" s="2" t="n">
        <v>45577</v>
      </c>
      <c r="C657" s="3" t="s">
        <v>12</v>
      </c>
      <c r="D657" s="3" t="s">
        <v>13</v>
      </c>
      <c r="E657" s="3" t="s">
        <v>45</v>
      </c>
      <c r="F657" s="3" t="s">
        <v>25</v>
      </c>
      <c r="G657" s="0" t="n">
        <v>12</v>
      </c>
      <c r="H657" s="4" t="n">
        <v>33.48</v>
      </c>
      <c r="I657" s="4" t="n">
        <v>23.13</v>
      </c>
      <c r="J657" s="4" t="n">
        <f aca="false">G657*H657</f>
        <v>401.76</v>
      </c>
      <c r="K657" s="4" t="n">
        <f aca="false">G657*I657</f>
        <v>277.56</v>
      </c>
      <c r="L657" s="4" t="n">
        <f aca="false">J657-K657</f>
        <v>124.2</v>
      </c>
    </row>
    <row r="658" customFormat="false" ht="15" hidden="false" customHeight="false" outlineLevel="0" collapsed="false">
      <c r="A658" s="0" t="n">
        <v>1898</v>
      </c>
      <c r="B658" s="2" t="n">
        <v>45577</v>
      </c>
      <c r="C658" s="3" t="s">
        <v>23</v>
      </c>
      <c r="D658" s="3" t="s">
        <v>17</v>
      </c>
      <c r="E658" s="3" t="s">
        <v>35</v>
      </c>
      <c r="F658" s="3" t="s">
        <v>19</v>
      </c>
      <c r="G658" s="0" t="n">
        <v>31</v>
      </c>
      <c r="H658" s="4" t="n">
        <v>182.23</v>
      </c>
      <c r="I658" s="4" t="n">
        <v>126.39</v>
      </c>
      <c r="J658" s="4" t="n">
        <f aca="false">G658*H658</f>
        <v>5649.13</v>
      </c>
      <c r="K658" s="4" t="n">
        <f aca="false">G658*I658</f>
        <v>3918.09</v>
      </c>
      <c r="L658" s="4" t="n">
        <f aca="false">J658-K658</f>
        <v>1731.04</v>
      </c>
    </row>
    <row r="659" customFormat="false" ht="15" hidden="false" customHeight="false" outlineLevel="0" collapsed="false">
      <c r="A659" s="0" t="n">
        <v>1860</v>
      </c>
      <c r="B659" s="2" t="n">
        <v>45578</v>
      </c>
      <c r="C659" s="3" t="s">
        <v>12</v>
      </c>
      <c r="D659" s="3" t="s">
        <v>29</v>
      </c>
      <c r="E659" s="3" t="s">
        <v>30</v>
      </c>
      <c r="F659" s="3" t="s">
        <v>25</v>
      </c>
      <c r="G659" s="0" t="n">
        <v>25</v>
      </c>
      <c r="H659" s="4" t="n">
        <v>343.02</v>
      </c>
      <c r="I659" s="4" t="n">
        <v>189.19</v>
      </c>
      <c r="J659" s="4" t="n">
        <f aca="false">G659*H659</f>
        <v>8575.5</v>
      </c>
      <c r="K659" s="4" t="n">
        <f aca="false">G659*I659</f>
        <v>4729.75</v>
      </c>
      <c r="L659" s="4" t="n">
        <f aca="false">J659-K659</f>
        <v>3845.75</v>
      </c>
    </row>
    <row r="660" customFormat="false" ht="15" hidden="false" customHeight="false" outlineLevel="0" collapsed="false">
      <c r="A660" s="0" t="n">
        <v>2657</v>
      </c>
      <c r="B660" s="2" t="n">
        <v>45578</v>
      </c>
      <c r="C660" s="3" t="s">
        <v>26</v>
      </c>
      <c r="D660" s="3" t="s">
        <v>17</v>
      </c>
      <c r="E660" s="3" t="s">
        <v>27</v>
      </c>
      <c r="F660" s="3" t="s">
        <v>28</v>
      </c>
      <c r="G660" s="0" t="n">
        <v>34</v>
      </c>
      <c r="H660" s="4" t="n">
        <v>607.64</v>
      </c>
      <c r="I660" s="4" t="n">
        <v>343.59</v>
      </c>
      <c r="J660" s="4" t="n">
        <f aca="false">G660*H660</f>
        <v>20659.76</v>
      </c>
      <c r="K660" s="4" t="n">
        <f aca="false">G660*I660</f>
        <v>11682.06</v>
      </c>
      <c r="L660" s="4" t="n">
        <f aca="false">J660-K660</f>
        <v>8977.7</v>
      </c>
    </row>
    <row r="661" customFormat="false" ht="15" hidden="false" customHeight="false" outlineLevel="0" collapsed="false">
      <c r="A661" s="0" t="n">
        <v>1247</v>
      </c>
      <c r="B661" s="2" t="n">
        <v>45579</v>
      </c>
      <c r="C661" s="3" t="s">
        <v>16</v>
      </c>
      <c r="D661" s="3" t="s">
        <v>13</v>
      </c>
      <c r="E661" s="3" t="s">
        <v>31</v>
      </c>
      <c r="F661" s="3" t="s">
        <v>15</v>
      </c>
      <c r="G661" s="0" t="n">
        <v>19</v>
      </c>
      <c r="H661" s="4" t="n">
        <v>57.29</v>
      </c>
      <c r="I661" s="4" t="n">
        <v>40.32</v>
      </c>
      <c r="J661" s="4" t="n">
        <f aca="false">G661*H661</f>
        <v>1088.51</v>
      </c>
      <c r="K661" s="4" t="n">
        <f aca="false">G661*I661</f>
        <v>766.08</v>
      </c>
      <c r="L661" s="4" t="n">
        <f aca="false">J661-K661</f>
        <v>322.43</v>
      </c>
    </row>
    <row r="662" customFormat="false" ht="15" hidden="false" customHeight="false" outlineLevel="0" collapsed="false">
      <c r="A662" s="0" t="n">
        <v>2002</v>
      </c>
      <c r="B662" s="2" t="n">
        <v>45579</v>
      </c>
      <c r="C662" s="3" t="s">
        <v>32</v>
      </c>
      <c r="D662" s="3" t="s">
        <v>17</v>
      </c>
      <c r="E662" s="3" t="s">
        <v>44</v>
      </c>
      <c r="F662" s="3" t="s">
        <v>15</v>
      </c>
      <c r="G662" s="0" t="n">
        <v>22</v>
      </c>
      <c r="H662" s="4" t="n">
        <v>539.71</v>
      </c>
      <c r="I662" s="4" t="n">
        <v>303.66</v>
      </c>
      <c r="J662" s="4" t="n">
        <f aca="false">G662*H662</f>
        <v>11873.62</v>
      </c>
      <c r="K662" s="4" t="n">
        <f aca="false">G662*I662</f>
        <v>6680.52</v>
      </c>
      <c r="L662" s="4" t="n">
        <f aca="false">J662-K662</f>
        <v>5193.1</v>
      </c>
    </row>
    <row r="663" customFormat="false" ht="15" hidden="false" customHeight="false" outlineLevel="0" collapsed="false">
      <c r="A663" s="0" t="n">
        <v>2558</v>
      </c>
      <c r="B663" s="2" t="n">
        <v>45580</v>
      </c>
      <c r="C663" s="3" t="s">
        <v>12</v>
      </c>
      <c r="D663" s="3" t="s">
        <v>17</v>
      </c>
      <c r="E663" s="3" t="s">
        <v>27</v>
      </c>
      <c r="F663" s="3" t="s">
        <v>15</v>
      </c>
      <c r="G663" s="0" t="n">
        <v>2</v>
      </c>
      <c r="H663" s="4" t="n">
        <v>723.46</v>
      </c>
      <c r="I663" s="4" t="n">
        <v>422.71</v>
      </c>
      <c r="J663" s="4" t="n">
        <f aca="false">G663*H663</f>
        <v>1446.92</v>
      </c>
      <c r="K663" s="4" t="n">
        <f aca="false">G663*I663</f>
        <v>845.42</v>
      </c>
      <c r="L663" s="4" t="n">
        <f aca="false">J663-K663</f>
        <v>601.5</v>
      </c>
    </row>
    <row r="664" customFormat="false" ht="15" hidden="false" customHeight="false" outlineLevel="0" collapsed="false">
      <c r="A664" s="0" t="n">
        <v>2030</v>
      </c>
      <c r="B664" s="2" t="n">
        <v>45581</v>
      </c>
      <c r="C664" s="3" t="s">
        <v>12</v>
      </c>
      <c r="D664" s="3" t="s">
        <v>13</v>
      </c>
      <c r="E664" s="3" t="s">
        <v>45</v>
      </c>
      <c r="F664" s="3" t="s">
        <v>39</v>
      </c>
      <c r="G664" s="0" t="n">
        <v>1</v>
      </c>
      <c r="H664" s="4" t="n">
        <v>30.97</v>
      </c>
      <c r="I664" s="4" t="n">
        <v>15.79</v>
      </c>
      <c r="J664" s="4" t="n">
        <f aca="false">G664*H664</f>
        <v>30.97</v>
      </c>
      <c r="K664" s="4" t="n">
        <f aca="false">G664*I664</f>
        <v>15.79</v>
      </c>
      <c r="L664" s="4" t="n">
        <f aca="false">J664-K664</f>
        <v>15.18</v>
      </c>
    </row>
    <row r="665" customFormat="false" ht="15" hidden="false" customHeight="false" outlineLevel="0" collapsed="false">
      <c r="A665" s="0" t="n">
        <v>1654</v>
      </c>
      <c r="B665" s="2" t="n">
        <v>45582</v>
      </c>
      <c r="C665" s="3" t="s">
        <v>12</v>
      </c>
      <c r="D665" s="3" t="s">
        <v>13</v>
      </c>
      <c r="E665" s="3" t="s">
        <v>46</v>
      </c>
      <c r="F665" s="3" t="s">
        <v>15</v>
      </c>
      <c r="G665" s="0" t="n">
        <v>37</v>
      </c>
      <c r="H665" s="4" t="n">
        <v>36.38</v>
      </c>
      <c r="I665" s="4" t="n">
        <v>22.97</v>
      </c>
      <c r="J665" s="4" t="n">
        <f aca="false">G665*H665</f>
        <v>1346.06</v>
      </c>
      <c r="K665" s="4" t="n">
        <f aca="false">G665*I665</f>
        <v>849.89</v>
      </c>
      <c r="L665" s="4" t="n">
        <f aca="false">J665-K665</f>
        <v>496.17</v>
      </c>
    </row>
    <row r="666" customFormat="false" ht="15" hidden="false" customHeight="false" outlineLevel="0" collapsed="false">
      <c r="A666" s="0" t="n">
        <v>1616</v>
      </c>
      <c r="B666" s="2" t="n">
        <v>45583</v>
      </c>
      <c r="C666" s="3" t="s">
        <v>32</v>
      </c>
      <c r="D666" s="3" t="s">
        <v>17</v>
      </c>
      <c r="E666" s="3" t="s">
        <v>27</v>
      </c>
      <c r="F666" s="3" t="s">
        <v>22</v>
      </c>
      <c r="G666" s="0" t="n">
        <v>9</v>
      </c>
      <c r="H666" s="4" t="n">
        <v>763.02</v>
      </c>
      <c r="I666" s="4" t="n">
        <v>551.54</v>
      </c>
      <c r="J666" s="4" t="n">
        <f aca="false">G666*H666</f>
        <v>6867.18</v>
      </c>
      <c r="K666" s="4" t="n">
        <f aca="false">G666*I666</f>
        <v>4963.86</v>
      </c>
      <c r="L666" s="4" t="n">
        <f aca="false">J666-K666</f>
        <v>1903.32</v>
      </c>
    </row>
    <row r="667" customFormat="false" ht="15" hidden="false" customHeight="false" outlineLevel="0" collapsed="false">
      <c r="A667" s="0" t="n">
        <v>1840</v>
      </c>
      <c r="B667" s="2" t="n">
        <v>45583</v>
      </c>
      <c r="C667" s="3" t="s">
        <v>26</v>
      </c>
      <c r="D667" s="3" t="s">
        <v>13</v>
      </c>
      <c r="E667" s="3" t="s">
        <v>14</v>
      </c>
      <c r="F667" s="3" t="s">
        <v>36</v>
      </c>
      <c r="G667" s="0" t="n">
        <v>22</v>
      </c>
      <c r="H667" s="4" t="n">
        <v>12.14</v>
      </c>
      <c r="I667" s="4" t="n">
        <v>8.09</v>
      </c>
      <c r="J667" s="4" t="n">
        <f aca="false">G667*H667</f>
        <v>267.08</v>
      </c>
      <c r="K667" s="4" t="n">
        <f aca="false">G667*I667</f>
        <v>177.98</v>
      </c>
      <c r="L667" s="4" t="n">
        <f aca="false">J667-K667</f>
        <v>89.1000000000001</v>
      </c>
    </row>
    <row r="668" customFormat="false" ht="15" hidden="false" customHeight="false" outlineLevel="0" collapsed="false">
      <c r="A668" s="0" t="n">
        <v>2567</v>
      </c>
      <c r="B668" s="2" t="n">
        <v>45583</v>
      </c>
      <c r="C668" s="3" t="s">
        <v>23</v>
      </c>
      <c r="D668" s="3" t="s">
        <v>13</v>
      </c>
      <c r="E668" s="3" t="s">
        <v>24</v>
      </c>
      <c r="F668" s="3" t="s">
        <v>15</v>
      </c>
      <c r="G668" s="0" t="n">
        <v>31</v>
      </c>
      <c r="H668" s="4" t="n">
        <v>10.8</v>
      </c>
      <c r="I668" s="4" t="n">
        <v>5.41</v>
      </c>
      <c r="J668" s="4" t="n">
        <f aca="false">G668*H668</f>
        <v>334.8</v>
      </c>
      <c r="K668" s="4" t="n">
        <f aca="false">G668*I668</f>
        <v>167.71</v>
      </c>
      <c r="L668" s="4" t="n">
        <f aca="false">J668-K668</f>
        <v>167.09</v>
      </c>
    </row>
    <row r="669" customFormat="false" ht="15" hidden="false" customHeight="false" outlineLevel="0" collapsed="false">
      <c r="A669" s="0" t="n">
        <v>2776</v>
      </c>
      <c r="B669" s="2" t="n">
        <v>45584</v>
      </c>
      <c r="C669" s="3" t="s">
        <v>26</v>
      </c>
      <c r="D669" s="3" t="s">
        <v>20</v>
      </c>
      <c r="E669" s="3" t="s">
        <v>38</v>
      </c>
      <c r="F669" s="3" t="s">
        <v>39</v>
      </c>
      <c r="G669" s="0" t="n">
        <v>3</v>
      </c>
      <c r="H669" s="4" t="n">
        <v>83.95</v>
      </c>
      <c r="I669" s="4" t="n">
        <v>58.64</v>
      </c>
      <c r="J669" s="4" t="n">
        <f aca="false">G669*H669</f>
        <v>251.85</v>
      </c>
      <c r="K669" s="4" t="n">
        <f aca="false">G669*I669</f>
        <v>175.92</v>
      </c>
      <c r="L669" s="4" t="n">
        <f aca="false">J669-K669</f>
        <v>75.93</v>
      </c>
    </row>
    <row r="670" customFormat="false" ht="15" hidden="false" customHeight="false" outlineLevel="0" collapsed="false">
      <c r="A670" s="0" t="n">
        <v>1360</v>
      </c>
      <c r="B670" s="2" t="n">
        <v>45585</v>
      </c>
      <c r="C670" s="3" t="s">
        <v>32</v>
      </c>
      <c r="D670" s="3" t="s">
        <v>13</v>
      </c>
      <c r="E670" s="3" t="s">
        <v>45</v>
      </c>
      <c r="F670" s="3" t="s">
        <v>15</v>
      </c>
      <c r="G670" s="0" t="n">
        <v>14</v>
      </c>
      <c r="H670" s="4" t="n">
        <v>4.84</v>
      </c>
      <c r="I670" s="4" t="n">
        <v>3.47</v>
      </c>
      <c r="J670" s="4" t="n">
        <f aca="false">G670*H670</f>
        <v>67.76</v>
      </c>
      <c r="K670" s="4" t="n">
        <f aca="false">G670*I670</f>
        <v>48.58</v>
      </c>
      <c r="L670" s="4" t="n">
        <f aca="false">J670-K670</f>
        <v>19.18</v>
      </c>
    </row>
    <row r="671" customFormat="false" ht="15" hidden="false" customHeight="false" outlineLevel="0" collapsed="false">
      <c r="A671" s="0" t="n">
        <v>1424</v>
      </c>
      <c r="B671" s="2" t="n">
        <v>45585</v>
      </c>
      <c r="C671" s="3" t="s">
        <v>23</v>
      </c>
      <c r="D671" s="3" t="s">
        <v>13</v>
      </c>
      <c r="E671" s="3" t="s">
        <v>24</v>
      </c>
      <c r="F671" s="3" t="s">
        <v>33</v>
      </c>
      <c r="G671" s="0" t="n">
        <v>27</v>
      </c>
      <c r="H671" s="4" t="n">
        <v>35.58</v>
      </c>
      <c r="I671" s="4" t="n">
        <v>19.23</v>
      </c>
      <c r="J671" s="4" t="n">
        <f aca="false">G671*H671</f>
        <v>960.66</v>
      </c>
      <c r="K671" s="4" t="n">
        <f aca="false">G671*I671</f>
        <v>519.21</v>
      </c>
      <c r="L671" s="4" t="n">
        <f aca="false">J671-K671</f>
        <v>441.45</v>
      </c>
    </row>
    <row r="672" customFormat="false" ht="15" hidden="false" customHeight="false" outlineLevel="0" collapsed="false">
      <c r="A672" s="0" t="n">
        <v>1090</v>
      </c>
      <c r="B672" s="2" t="n">
        <v>45586</v>
      </c>
      <c r="C672" s="3" t="s">
        <v>16</v>
      </c>
      <c r="D672" s="3" t="s">
        <v>13</v>
      </c>
      <c r="E672" s="3" t="s">
        <v>45</v>
      </c>
      <c r="F672" s="3" t="s">
        <v>28</v>
      </c>
      <c r="G672" s="0" t="n">
        <v>23</v>
      </c>
      <c r="H672" s="4" t="n">
        <v>20.05</v>
      </c>
      <c r="I672" s="4" t="n">
        <v>12.31</v>
      </c>
      <c r="J672" s="4" t="n">
        <f aca="false">G672*H672</f>
        <v>461.15</v>
      </c>
      <c r="K672" s="4" t="n">
        <f aca="false">G672*I672</f>
        <v>283.13</v>
      </c>
      <c r="L672" s="4" t="n">
        <f aca="false">J672-K672</f>
        <v>178.02</v>
      </c>
    </row>
    <row r="673" customFormat="false" ht="15" hidden="false" customHeight="false" outlineLevel="0" collapsed="false">
      <c r="A673" s="0" t="n">
        <v>1112</v>
      </c>
      <c r="B673" s="2" t="n">
        <v>45586</v>
      </c>
      <c r="C673" s="3" t="s">
        <v>16</v>
      </c>
      <c r="D673" s="3" t="s">
        <v>29</v>
      </c>
      <c r="E673" s="3" t="s">
        <v>43</v>
      </c>
      <c r="F673" s="3" t="s">
        <v>25</v>
      </c>
      <c r="G673" s="0" t="n">
        <v>37</v>
      </c>
      <c r="H673" s="4" t="n">
        <v>282.52</v>
      </c>
      <c r="I673" s="4" t="n">
        <v>165.99</v>
      </c>
      <c r="J673" s="4" t="n">
        <f aca="false">G673*H673</f>
        <v>10453.24</v>
      </c>
      <c r="K673" s="4" t="n">
        <f aca="false">G673*I673</f>
        <v>6141.63</v>
      </c>
      <c r="L673" s="4" t="n">
        <f aca="false">J673-K673</f>
        <v>4311.61</v>
      </c>
    </row>
    <row r="674" customFormat="false" ht="15" hidden="false" customHeight="false" outlineLevel="0" collapsed="false">
      <c r="A674" s="0" t="n">
        <v>1985</v>
      </c>
      <c r="B674" s="2" t="n">
        <v>45586</v>
      </c>
      <c r="C674" s="3" t="s">
        <v>26</v>
      </c>
      <c r="D674" s="3" t="s">
        <v>13</v>
      </c>
      <c r="E674" s="3" t="s">
        <v>46</v>
      </c>
      <c r="F674" s="3" t="s">
        <v>15</v>
      </c>
      <c r="G674" s="0" t="n">
        <v>26</v>
      </c>
      <c r="H674" s="4" t="n">
        <v>34.12</v>
      </c>
      <c r="I674" s="4" t="n">
        <v>25.05</v>
      </c>
      <c r="J674" s="4" t="n">
        <f aca="false">G674*H674</f>
        <v>887.12</v>
      </c>
      <c r="K674" s="4" t="n">
        <f aca="false">G674*I674</f>
        <v>651.3</v>
      </c>
      <c r="L674" s="4" t="n">
        <f aca="false">J674-K674</f>
        <v>235.82</v>
      </c>
    </row>
    <row r="675" customFormat="false" ht="15" hidden="false" customHeight="false" outlineLevel="0" collapsed="false">
      <c r="A675" s="0" t="n">
        <v>2033</v>
      </c>
      <c r="B675" s="2" t="n">
        <v>45586</v>
      </c>
      <c r="C675" s="3" t="s">
        <v>23</v>
      </c>
      <c r="D675" s="3" t="s">
        <v>20</v>
      </c>
      <c r="E675" s="3" t="s">
        <v>38</v>
      </c>
      <c r="F675" s="3" t="s">
        <v>39</v>
      </c>
      <c r="G675" s="0" t="n">
        <v>28</v>
      </c>
      <c r="H675" s="4" t="n">
        <v>51.79</v>
      </c>
      <c r="I675" s="4" t="n">
        <v>34.92</v>
      </c>
      <c r="J675" s="4" t="n">
        <f aca="false">G675*H675</f>
        <v>1450.12</v>
      </c>
      <c r="K675" s="4" t="n">
        <f aca="false">G675*I675</f>
        <v>977.76</v>
      </c>
      <c r="L675" s="4" t="n">
        <f aca="false">J675-K675</f>
        <v>472.36</v>
      </c>
    </row>
    <row r="676" customFormat="false" ht="15" hidden="false" customHeight="false" outlineLevel="0" collapsed="false">
      <c r="A676" s="0" t="n">
        <v>1177</v>
      </c>
      <c r="B676" s="2" t="n">
        <v>45587</v>
      </c>
      <c r="C676" s="3" t="s">
        <v>12</v>
      </c>
      <c r="D676" s="3" t="s">
        <v>20</v>
      </c>
      <c r="E676" s="3" t="s">
        <v>38</v>
      </c>
      <c r="F676" s="3" t="s">
        <v>28</v>
      </c>
      <c r="G676" s="0" t="n">
        <v>23</v>
      </c>
      <c r="H676" s="4" t="n">
        <v>100.58</v>
      </c>
      <c r="I676" s="4" t="n">
        <v>64.71</v>
      </c>
      <c r="J676" s="4" t="n">
        <f aca="false">G676*H676</f>
        <v>2313.34</v>
      </c>
      <c r="K676" s="4" t="n">
        <f aca="false">G676*I676</f>
        <v>1488.33</v>
      </c>
      <c r="L676" s="4" t="n">
        <f aca="false">J676-K676</f>
        <v>825.01</v>
      </c>
    </row>
    <row r="677" customFormat="false" ht="15" hidden="false" customHeight="false" outlineLevel="0" collapsed="false">
      <c r="A677" s="0" t="n">
        <v>2024</v>
      </c>
      <c r="B677" s="2" t="n">
        <v>45587</v>
      </c>
      <c r="C677" s="3" t="s">
        <v>32</v>
      </c>
      <c r="D677" s="3" t="s">
        <v>17</v>
      </c>
      <c r="E677" s="3" t="s">
        <v>44</v>
      </c>
      <c r="F677" s="3" t="s">
        <v>15</v>
      </c>
      <c r="G677" s="0" t="n">
        <v>10</v>
      </c>
      <c r="H677" s="4" t="n">
        <v>140.62</v>
      </c>
      <c r="I677" s="4" t="n">
        <v>91.35</v>
      </c>
      <c r="J677" s="4" t="n">
        <f aca="false">G677*H677</f>
        <v>1406.2</v>
      </c>
      <c r="K677" s="4" t="n">
        <f aca="false">G677*I677</f>
        <v>913.5</v>
      </c>
      <c r="L677" s="4" t="n">
        <f aca="false">J677-K677</f>
        <v>492.7</v>
      </c>
    </row>
    <row r="678" customFormat="false" ht="15" hidden="false" customHeight="false" outlineLevel="0" collapsed="false">
      <c r="A678" s="0" t="n">
        <v>2075</v>
      </c>
      <c r="B678" s="2" t="n">
        <v>45587</v>
      </c>
      <c r="C678" s="3" t="s">
        <v>12</v>
      </c>
      <c r="D678" s="3" t="s">
        <v>29</v>
      </c>
      <c r="E678" s="3" t="s">
        <v>43</v>
      </c>
      <c r="F678" s="3" t="s">
        <v>25</v>
      </c>
      <c r="G678" s="0" t="n">
        <v>33</v>
      </c>
      <c r="H678" s="4" t="n">
        <v>276.43</v>
      </c>
      <c r="I678" s="4" t="n">
        <v>146.18</v>
      </c>
      <c r="J678" s="4" t="n">
        <f aca="false">G678*H678</f>
        <v>9122.19</v>
      </c>
      <c r="K678" s="4" t="n">
        <f aca="false">G678*I678</f>
        <v>4823.94</v>
      </c>
      <c r="L678" s="4" t="n">
        <f aca="false">J678-K678</f>
        <v>4298.25</v>
      </c>
    </row>
    <row r="679" customFormat="false" ht="15" hidden="false" customHeight="false" outlineLevel="0" collapsed="false">
      <c r="A679" s="0" t="n">
        <v>2330</v>
      </c>
      <c r="B679" s="2" t="n">
        <v>45587</v>
      </c>
      <c r="C679" s="3" t="s">
        <v>16</v>
      </c>
      <c r="D679" s="3" t="s">
        <v>13</v>
      </c>
      <c r="E679" s="3" t="s">
        <v>31</v>
      </c>
      <c r="F679" s="3" t="s">
        <v>33</v>
      </c>
      <c r="G679" s="0" t="n">
        <v>16</v>
      </c>
      <c r="H679" s="4" t="n">
        <v>22.87</v>
      </c>
      <c r="I679" s="4" t="n">
        <v>14.39</v>
      </c>
      <c r="J679" s="4" t="n">
        <f aca="false">G679*H679</f>
        <v>365.92</v>
      </c>
      <c r="K679" s="4" t="n">
        <f aca="false">G679*I679</f>
        <v>230.24</v>
      </c>
      <c r="L679" s="4" t="n">
        <f aca="false">J679-K679</f>
        <v>135.68</v>
      </c>
    </row>
    <row r="680" customFormat="false" ht="15" hidden="false" customHeight="false" outlineLevel="0" collapsed="false">
      <c r="A680" s="0" t="n">
        <v>1119</v>
      </c>
      <c r="B680" s="2" t="n">
        <v>45588</v>
      </c>
      <c r="C680" s="3" t="s">
        <v>32</v>
      </c>
      <c r="D680" s="3" t="s">
        <v>17</v>
      </c>
      <c r="E680" s="3" t="s">
        <v>27</v>
      </c>
      <c r="F680" s="3" t="s">
        <v>28</v>
      </c>
      <c r="G680" s="0" t="n">
        <v>28</v>
      </c>
      <c r="H680" s="4" t="n">
        <v>207.58</v>
      </c>
      <c r="I680" s="4" t="n">
        <v>147.04</v>
      </c>
      <c r="J680" s="4" t="n">
        <f aca="false">G680*H680</f>
        <v>5812.24</v>
      </c>
      <c r="K680" s="4" t="n">
        <f aca="false">G680*I680</f>
        <v>4117.12</v>
      </c>
      <c r="L680" s="4" t="n">
        <f aca="false">J680-K680</f>
        <v>1695.12</v>
      </c>
    </row>
    <row r="681" customFormat="false" ht="15" hidden="false" customHeight="false" outlineLevel="0" collapsed="false">
      <c r="A681" s="0" t="n">
        <v>2444</v>
      </c>
      <c r="B681" s="2" t="n">
        <v>45588</v>
      </c>
      <c r="C681" s="3" t="s">
        <v>32</v>
      </c>
      <c r="D681" s="3" t="s">
        <v>29</v>
      </c>
      <c r="E681" s="3" t="s">
        <v>37</v>
      </c>
      <c r="F681" s="3" t="s">
        <v>25</v>
      </c>
      <c r="G681" s="0" t="n">
        <v>35</v>
      </c>
      <c r="H681" s="4" t="n">
        <v>322.08</v>
      </c>
      <c r="I681" s="4" t="n">
        <v>200.59</v>
      </c>
      <c r="J681" s="4" t="n">
        <f aca="false">G681*H681</f>
        <v>11272.8</v>
      </c>
      <c r="K681" s="4" t="n">
        <f aca="false">G681*I681</f>
        <v>7020.65</v>
      </c>
      <c r="L681" s="4" t="n">
        <f aca="false">J681-K681</f>
        <v>4252.15</v>
      </c>
    </row>
    <row r="682" customFormat="false" ht="15" hidden="false" customHeight="false" outlineLevel="0" collapsed="false">
      <c r="A682" s="0" t="n">
        <v>1966</v>
      </c>
      <c r="B682" s="2" t="n">
        <v>45589</v>
      </c>
      <c r="C682" s="3" t="s">
        <v>16</v>
      </c>
      <c r="D682" s="3" t="s">
        <v>20</v>
      </c>
      <c r="E682" s="3" t="s">
        <v>38</v>
      </c>
      <c r="F682" s="3" t="s">
        <v>22</v>
      </c>
      <c r="G682" s="0" t="n">
        <v>8</v>
      </c>
      <c r="H682" s="4" t="n">
        <v>34.85</v>
      </c>
      <c r="I682" s="4" t="n">
        <v>19.21</v>
      </c>
      <c r="J682" s="4" t="n">
        <f aca="false">G682*H682</f>
        <v>278.8</v>
      </c>
      <c r="K682" s="4" t="n">
        <f aca="false">G682*I682</f>
        <v>153.68</v>
      </c>
      <c r="L682" s="4" t="n">
        <f aca="false">J682-K682</f>
        <v>125.12</v>
      </c>
    </row>
    <row r="683" customFormat="false" ht="15" hidden="false" customHeight="false" outlineLevel="0" collapsed="false">
      <c r="A683" s="0" t="n">
        <v>2039</v>
      </c>
      <c r="B683" s="2" t="n">
        <v>45589</v>
      </c>
      <c r="C683" s="3" t="s">
        <v>12</v>
      </c>
      <c r="D683" s="3" t="s">
        <v>29</v>
      </c>
      <c r="E683" s="3" t="s">
        <v>43</v>
      </c>
      <c r="F683" s="3" t="s">
        <v>36</v>
      </c>
      <c r="G683" s="0" t="n">
        <v>14</v>
      </c>
      <c r="H683" s="4" t="n">
        <v>85.73</v>
      </c>
      <c r="I683" s="4" t="n">
        <v>59.05</v>
      </c>
      <c r="J683" s="4" t="n">
        <f aca="false">G683*H683</f>
        <v>1200.22</v>
      </c>
      <c r="K683" s="4" t="n">
        <f aca="false">G683*I683</f>
        <v>826.7</v>
      </c>
      <c r="L683" s="4" t="n">
        <f aca="false">J683-K683</f>
        <v>373.52</v>
      </c>
    </row>
    <row r="684" customFormat="false" ht="15" hidden="false" customHeight="false" outlineLevel="0" collapsed="false">
      <c r="A684" s="0" t="n">
        <v>1222</v>
      </c>
      <c r="B684" s="2" t="n">
        <v>45590</v>
      </c>
      <c r="C684" s="3" t="s">
        <v>23</v>
      </c>
      <c r="D684" s="3" t="s">
        <v>20</v>
      </c>
      <c r="E684" s="3" t="s">
        <v>42</v>
      </c>
      <c r="F684" s="3" t="s">
        <v>39</v>
      </c>
      <c r="G684" s="0" t="n">
        <v>37</v>
      </c>
      <c r="H684" s="4" t="n">
        <v>95.3</v>
      </c>
      <c r="I684" s="4" t="n">
        <v>54.04</v>
      </c>
      <c r="J684" s="4" t="n">
        <f aca="false">G684*H684</f>
        <v>3526.1</v>
      </c>
      <c r="K684" s="4" t="n">
        <f aca="false">G684*I684</f>
        <v>1999.48</v>
      </c>
      <c r="L684" s="4" t="n">
        <f aca="false">J684-K684</f>
        <v>1526.62</v>
      </c>
    </row>
    <row r="685" customFormat="false" ht="15" hidden="false" customHeight="false" outlineLevel="0" collapsed="false">
      <c r="A685" s="0" t="n">
        <v>1352</v>
      </c>
      <c r="B685" s="2" t="n">
        <v>45590</v>
      </c>
      <c r="C685" s="3" t="s">
        <v>16</v>
      </c>
      <c r="D685" s="3" t="s">
        <v>29</v>
      </c>
      <c r="E685" s="3" t="s">
        <v>30</v>
      </c>
      <c r="F685" s="3" t="s">
        <v>22</v>
      </c>
      <c r="G685" s="0" t="n">
        <v>11</v>
      </c>
      <c r="H685" s="4" t="n">
        <v>391.85</v>
      </c>
      <c r="I685" s="4" t="n">
        <v>220.84</v>
      </c>
      <c r="J685" s="4" t="n">
        <f aca="false">G685*H685</f>
        <v>4310.35</v>
      </c>
      <c r="K685" s="4" t="n">
        <f aca="false">G685*I685</f>
        <v>2429.24</v>
      </c>
      <c r="L685" s="4" t="n">
        <f aca="false">J685-K685</f>
        <v>1881.11</v>
      </c>
    </row>
    <row r="686" customFormat="false" ht="15" hidden="false" customHeight="false" outlineLevel="0" collapsed="false">
      <c r="A686" s="0" t="n">
        <v>1529</v>
      </c>
      <c r="B686" s="2" t="n">
        <v>45590</v>
      </c>
      <c r="C686" s="3" t="s">
        <v>16</v>
      </c>
      <c r="D686" s="3" t="s">
        <v>17</v>
      </c>
      <c r="E686" s="3" t="s">
        <v>40</v>
      </c>
      <c r="F686" s="3" t="s">
        <v>28</v>
      </c>
      <c r="G686" s="0" t="n">
        <v>6</v>
      </c>
      <c r="H686" s="4" t="n">
        <v>166.53</v>
      </c>
      <c r="I686" s="4" t="n">
        <v>108.9</v>
      </c>
      <c r="J686" s="4" t="n">
        <f aca="false">G686*H686</f>
        <v>999.18</v>
      </c>
      <c r="K686" s="4" t="n">
        <f aca="false">G686*I686</f>
        <v>653.4</v>
      </c>
      <c r="L686" s="4" t="n">
        <f aca="false">J686-K686</f>
        <v>345.78</v>
      </c>
    </row>
    <row r="687" customFormat="false" ht="15" hidden="false" customHeight="false" outlineLevel="0" collapsed="false">
      <c r="A687" s="0" t="n">
        <v>1729</v>
      </c>
      <c r="B687" s="2" t="n">
        <v>45590</v>
      </c>
      <c r="C687" s="3" t="s">
        <v>32</v>
      </c>
      <c r="D687" s="3" t="s">
        <v>17</v>
      </c>
      <c r="E687" s="3" t="s">
        <v>35</v>
      </c>
      <c r="F687" s="3" t="s">
        <v>19</v>
      </c>
      <c r="G687" s="0" t="n">
        <v>4</v>
      </c>
      <c r="H687" s="4" t="n">
        <v>259.41</v>
      </c>
      <c r="I687" s="4" t="n">
        <v>152</v>
      </c>
      <c r="J687" s="4" t="n">
        <f aca="false">G687*H687</f>
        <v>1037.64</v>
      </c>
      <c r="K687" s="4" t="n">
        <f aca="false">G687*I687</f>
        <v>608</v>
      </c>
      <c r="L687" s="4" t="n">
        <f aca="false">J687-K687</f>
        <v>429.64</v>
      </c>
    </row>
    <row r="688" customFormat="false" ht="15" hidden="false" customHeight="false" outlineLevel="0" collapsed="false">
      <c r="A688" s="0" t="n">
        <v>2116</v>
      </c>
      <c r="B688" s="2" t="n">
        <v>45591</v>
      </c>
      <c r="C688" s="3" t="s">
        <v>23</v>
      </c>
      <c r="D688" s="3" t="s">
        <v>17</v>
      </c>
      <c r="E688" s="3" t="s">
        <v>40</v>
      </c>
      <c r="F688" s="3" t="s">
        <v>36</v>
      </c>
      <c r="G688" s="0" t="n">
        <v>33</v>
      </c>
      <c r="H688" s="4" t="n">
        <v>588.59</v>
      </c>
      <c r="I688" s="4" t="n">
        <v>418.94</v>
      </c>
      <c r="J688" s="4" t="n">
        <f aca="false">G688*H688</f>
        <v>19423.47</v>
      </c>
      <c r="K688" s="4" t="n">
        <f aca="false">G688*I688</f>
        <v>13825.02</v>
      </c>
      <c r="L688" s="4" t="n">
        <f aca="false">J688-K688</f>
        <v>5598.45</v>
      </c>
    </row>
    <row r="689" customFormat="false" ht="15" hidden="false" customHeight="false" outlineLevel="0" collapsed="false">
      <c r="A689" s="0" t="n">
        <v>2580</v>
      </c>
      <c r="B689" s="2" t="n">
        <v>45591</v>
      </c>
      <c r="C689" s="3" t="s">
        <v>26</v>
      </c>
      <c r="D689" s="3" t="s">
        <v>20</v>
      </c>
      <c r="E689" s="3" t="s">
        <v>21</v>
      </c>
      <c r="F689" s="3" t="s">
        <v>25</v>
      </c>
      <c r="G689" s="0" t="n">
        <v>10</v>
      </c>
      <c r="H689" s="4" t="n">
        <v>154.37</v>
      </c>
      <c r="I689" s="4" t="n">
        <v>87.46</v>
      </c>
      <c r="J689" s="4" t="n">
        <f aca="false">G689*H689</f>
        <v>1543.7</v>
      </c>
      <c r="K689" s="4" t="n">
        <f aca="false">G689*I689</f>
        <v>874.6</v>
      </c>
      <c r="L689" s="4" t="n">
        <f aca="false">J689-K689</f>
        <v>669.1</v>
      </c>
    </row>
    <row r="690" customFormat="false" ht="15" hidden="false" customHeight="false" outlineLevel="0" collapsed="false">
      <c r="A690" s="0" t="n">
        <v>2763</v>
      </c>
      <c r="B690" s="2" t="n">
        <v>45591</v>
      </c>
      <c r="C690" s="3" t="s">
        <v>12</v>
      </c>
      <c r="D690" s="3" t="s">
        <v>29</v>
      </c>
      <c r="E690" s="3" t="s">
        <v>43</v>
      </c>
      <c r="F690" s="3" t="s">
        <v>25</v>
      </c>
      <c r="G690" s="0" t="n">
        <v>20</v>
      </c>
      <c r="H690" s="4" t="n">
        <v>469.76</v>
      </c>
      <c r="I690" s="4" t="n">
        <v>323.31</v>
      </c>
      <c r="J690" s="4" t="n">
        <f aca="false">G690*H690</f>
        <v>9395.2</v>
      </c>
      <c r="K690" s="4" t="n">
        <f aca="false">G690*I690</f>
        <v>6466.2</v>
      </c>
      <c r="L690" s="4" t="n">
        <f aca="false">J690-K690</f>
        <v>2929</v>
      </c>
    </row>
    <row r="691" customFormat="false" ht="15" hidden="false" customHeight="false" outlineLevel="0" collapsed="false">
      <c r="A691" s="0" t="n">
        <v>1819</v>
      </c>
      <c r="B691" s="2" t="n">
        <v>45592</v>
      </c>
      <c r="C691" s="3" t="s">
        <v>16</v>
      </c>
      <c r="D691" s="3" t="s">
        <v>20</v>
      </c>
      <c r="E691" s="3" t="s">
        <v>34</v>
      </c>
      <c r="F691" s="3" t="s">
        <v>28</v>
      </c>
      <c r="G691" s="0" t="n">
        <v>21</v>
      </c>
      <c r="H691" s="4" t="n">
        <v>170.7</v>
      </c>
      <c r="I691" s="4" t="n">
        <v>94.3</v>
      </c>
      <c r="J691" s="4" t="n">
        <f aca="false">G691*H691</f>
        <v>3584.7</v>
      </c>
      <c r="K691" s="4" t="n">
        <f aca="false">G691*I691</f>
        <v>1980.3</v>
      </c>
      <c r="L691" s="4" t="n">
        <f aca="false">J691-K691</f>
        <v>1604.4</v>
      </c>
    </row>
    <row r="692" customFormat="false" ht="15" hidden="false" customHeight="false" outlineLevel="0" collapsed="false">
      <c r="A692" s="0" t="n">
        <v>2013</v>
      </c>
      <c r="B692" s="2" t="n">
        <v>45592</v>
      </c>
      <c r="C692" s="3" t="s">
        <v>12</v>
      </c>
      <c r="D692" s="3" t="s">
        <v>29</v>
      </c>
      <c r="E692" s="3" t="s">
        <v>37</v>
      </c>
      <c r="F692" s="3" t="s">
        <v>33</v>
      </c>
      <c r="G692" s="0" t="n">
        <v>15</v>
      </c>
      <c r="H692" s="4" t="n">
        <v>128.48</v>
      </c>
      <c r="I692" s="4" t="n">
        <v>87.78</v>
      </c>
      <c r="J692" s="4" t="n">
        <f aca="false">G692*H692</f>
        <v>1927.2</v>
      </c>
      <c r="K692" s="4" t="n">
        <f aca="false">G692*I692</f>
        <v>1316.7</v>
      </c>
      <c r="L692" s="4" t="n">
        <f aca="false">J692-K692</f>
        <v>610.5</v>
      </c>
    </row>
    <row r="693" customFormat="false" ht="15" hidden="false" customHeight="false" outlineLevel="0" collapsed="false">
      <c r="A693" s="0" t="n">
        <v>2194</v>
      </c>
      <c r="B693" s="2" t="n">
        <v>45592</v>
      </c>
      <c r="C693" s="3" t="s">
        <v>16</v>
      </c>
      <c r="D693" s="3" t="s">
        <v>17</v>
      </c>
      <c r="E693" s="3" t="s">
        <v>40</v>
      </c>
      <c r="F693" s="3" t="s">
        <v>39</v>
      </c>
      <c r="G693" s="0" t="n">
        <v>29</v>
      </c>
      <c r="H693" s="4" t="n">
        <v>753.95</v>
      </c>
      <c r="I693" s="4" t="n">
        <v>381.94</v>
      </c>
      <c r="J693" s="4" t="n">
        <f aca="false">G693*H693</f>
        <v>21864.55</v>
      </c>
      <c r="K693" s="4" t="n">
        <f aca="false">G693*I693</f>
        <v>11076.26</v>
      </c>
      <c r="L693" s="4" t="n">
        <f aca="false">J693-K693</f>
        <v>10788.29</v>
      </c>
    </row>
    <row r="694" customFormat="false" ht="15" hidden="false" customHeight="false" outlineLevel="0" collapsed="false">
      <c r="A694" s="0" t="n">
        <v>1327</v>
      </c>
      <c r="B694" s="2" t="n">
        <v>45593</v>
      </c>
      <c r="C694" s="3" t="s">
        <v>23</v>
      </c>
      <c r="D694" s="3" t="s">
        <v>17</v>
      </c>
      <c r="E694" s="3" t="s">
        <v>18</v>
      </c>
      <c r="F694" s="3" t="s">
        <v>22</v>
      </c>
      <c r="G694" s="0" t="n">
        <v>38</v>
      </c>
      <c r="H694" s="4" t="n">
        <v>547.46</v>
      </c>
      <c r="I694" s="4" t="n">
        <v>290.13</v>
      </c>
      <c r="J694" s="4" t="n">
        <f aca="false">G694*H694</f>
        <v>20803.48</v>
      </c>
      <c r="K694" s="4" t="n">
        <f aca="false">G694*I694</f>
        <v>11024.94</v>
      </c>
      <c r="L694" s="4" t="n">
        <f aca="false">J694-K694</f>
        <v>9778.54</v>
      </c>
    </row>
    <row r="695" customFormat="false" ht="15" hidden="false" customHeight="false" outlineLevel="0" collapsed="false">
      <c r="A695" s="0" t="n">
        <v>1484</v>
      </c>
      <c r="B695" s="2" t="n">
        <v>45593</v>
      </c>
      <c r="C695" s="3" t="s">
        <v>16</v>
      </c>
      <c r="D695" s="3" t="s">
        <v>17</v>
      </c>
      <c r="E695" s="3" t="s">
        <v>35</v>
      </c>
      <c r="F695" s="3" t="s">
        <v>19</v>
      </c>
      <c r="G695" s="0" t="n">
        <v>30</v>
      </c>
      <c r="H695" s="4" t="n">
        <v>757.11</v>
      </c>
      <c r="I695" s="4" t="n">
        <v>525.95</v>
      </c>
      <c r="J695" s="4" t="n">
        <f aca="false">G695*H695</f>
        <v>22713.3</v>
      </c>
      <c r="K695" s="4" t="n">
        <f aca="false">G695*I695</f>
        <v>15778.5</v>
      </c>
      <c r="L695" s="4" t="n">
        <f aca="false">J695-K695</f>
        <v>6934.8</v>
      </c>
    </row>
    <row r="696" customFormat="false" ht="15" hidden="false" customHeight="false" outlineLevel="0" collapsed="false">
      <c r="A696" s="0" t="n">
        <v>1528</v>
      </c>
      <c r="B696" s="2" t="n">
        <v>45593</v>
      </c>
      <c r="C696" s="3" t="s">
        <v>32</v>
      </c>
      <c r="D696" s="3" t="s">
        <v>13</v>
      </c>
      <c r="E696" s="3" t="s">
        <v>45</v>
      </c>
      <c r="F696" s="3" t="s">
        <v>15</v>
      </c>
      <c r="G696" s="0" t="n">
        <v>37</v>
      </c>
      <c r="H696" s="4" t="n">
        <v>38.87</v>
      </c>
      <c r="I696" s="4" t="n">
        <v>25.81</v>
      </c>
      <c r="J696" s="4" t="n">
        <f aca="false">G696*H696</f>
        <v>1438.19</v>
      </c>
      <c r="K696" s="4" t="n">
        <f aca="false">G696*I696</f>
        <v>954.97</v>
      </c>
      <c r="L696" s="4" t="n">
        <f aca="false">J696-K696</f>
        <v>483.22</v>
      </c>
    </row>
    <row r="697" customFormat="false" ht="15" hidden="false" customHeight="false" outlineLevel="0" collapsed="false">
      <c r="A697" s="0" t="n">
        <v>1725</v>
      </c>
      <c r="B697" s="2" t="n">
        <v>45593</v>
      </c>
      <c r="C697" s="3" t="s">
        <v>23</v>
      </c>
      <c r="D697" s="3" t="s">
        <v>20</v>
      </c>
      <c r="E697" s="3" t="s">
        <v>42</v>
      </c>
      <c r="F697" s="3" t="s">
        <v>36</v>
      </c>
      <c r="G697" s="0" t="n">
        <v>15</v>
      </c>
      <c r="H697" s="4" t="n">
        <v>146.96</v>
      </c>
      <c r="I697" s="4" t="n">
        <v>90.54</v>
      </c>
      <c r="J697" s="4" t="n">
        <f aca="false">G697*H697</f>
        <v>2204.4</v>
      </c>
      <c r="K697" s="4" t="n">
        <f aca="false">G697*I697</f>
        <v>1358.1</v>
      </c>
      <c r="L697" s="4" t="n">
        <f aca="false">J697-K697</f>
        <v>846.3</v>
      </c>
    </row>
    <row r="698" customFormat="false" ht="15" hidden="false" customHeight="false" outlineLevel="0" collapsed="false">
      <c r="A698" s="0" t="n">
        <v>1285</v>
      </c>
      <c r="B698" s="2" t="n">
        <v>45594</v>
      </c>
      <c r="C698" s="3" t="s">
        <v>23</v>
      </c>
      <c r="D698" s="3" t="s">
        <v>20</v>
      </c>
      <c r="E698" s="3" t="s">
        <v>21</v>
      </c>
      <c r="F698" s="3" t="s">
        <v>22</v>
      </c>
      <c r="G698" s="0" t="n">
        <v>6</v>
      </c>
      <c r="H698" s="4" t="n">
        <v>267.7</v>
      </c>
      <c r="I698" s="4" t="n">
        <v>169.04</v>
      </c>
      <c r="J698" s="4" t="n">
        <f aca="false">G698*H698</f>
        <v>1606.2</v>
      </c>
      <c r="K698" s="4" t="n">
        <f aca="false">G698*I698</f>
        <v>1014.24</v>
      </c>
      <c r="L698" s="4" t="n">
        <f aca="false">J698-K698</f>
        <v>591.96</v>
      </c>
    </row>
    <row r="699" customFormat="false" ht="15" hidden="false" customHeight="false" outlineLevel="0" collapsed="false">
      <c r="A699" s="0" t="n">
        <v>2673</v>
      </c>
      <c r="B699" s="2" t="n">
        <v>45594</v>
      </c>
      <c r="C699" s="3" t="s">
        <v>23</v>
      </c>
      <c r="D699" s="3" t="s">
        <v>20</v>
      </c>
      <c r="E699" s="3" t="s">
        <v>42</v>
      </c>
      <c r="F699" s="3" t="s">
        <v>19</v>
      </c>
      <c r="G699" s="0" t="n">
        <v>11</v>
      </c>
      <c r="H699" s="4" t="n">
        <v>277.43</v>
      </c>
      <c r="I699" s="4" t="n">
        <v>160.57</v>
      </c>
      <c r="J699" s="4" t="n">
        <f aca="false">G699*H699</f>
        <v>3051.73</v>
      </c>
      <c r="K699" s="4" t="n">
        <f aca="false">G699*I699</f>
        <v>1766.27</v>
      </c>
      <c r="L699" s="4" t="n">
        <f aca="false">J699-K699</f>
        <v>1285.46</v>
      </c>
    </row>
    <row r="700" customFormat="false" ht="15" hidden="false" customHeight="false" outlineLevel="0" collapsed="false">
      <c r="A700" s="0" t="n">
        <v>2783</v>
      </c>
      <c r="B700" s="2" t="n">
        <v>45595</v>
      </c>
      <c r="C700" s="3" t="s">
        <v>23</v>
      </c>
      <c r="D700" s="3" t="s">
        <v>17</v>
      </c>
      <c r="E700" s="3" t="s">
        <v>35</v>
      </c>
      <c r="F700" s="3" t="s">
        <v>22</v>
      </c>
      <c r="G700" s="0" t="n">
        <v>6</v>
      </c>
      <c r="H700" s="4" t="n">
        <v>441.54</v>
      </c>
      <c r="I700" s="4" t="n">
        <v>253.08</v>
      </c>
      <c r="J700" s="4" t="n">
        <f aca="false">G700*H700</f>
        <v>2649.24</v>
      </c>
      <c r="K700" s="4" t="n">
        <f aca="false">G700*I700</f>
        <v>1518.48</v>
      </c>
      <c r="L700" s="4" t="n">
        <f aca="false">J700-K700</f>
        <v>1130.76</v>
      </c>
    </row>
    <row r="701" customFormat="false" ht="15" hidden="false" customHeight="false" outlineLevel="0" collapsed="false">
      <c r="A701" s="0" t="n">
        <v>1068</v>
      </c>
      <c r="B701" s="2" t="n">
        <v>45596</v>
      </c>
      <c r="C701" s="3" t="s">
        <v>16</v>
      </c>
      <c r="D701" s="3" t="s">
        <v>20</v>
      </c>
      <c r="E701" s="3" t="s">
        <v>38</v>
      </c>
      <c r="F701" s="3" t="s">
        <v>22</v>
      </c>
      <c r="G701" s="0" t="n">
        <v>40</v>
      </c>
      <c r="H701" s="4" t="n">
        <v>195.14</v>
      </c>
      <c r="I701" s="4" t="n">
        <v>110.48</v>
      </c>
      <c r="J701" s="4" t="n">
        <f aca="false">G701*H701</f>
        <v>7805.6</v>
      </c>
      <c r="K701" s="4" t="n">
        <f aca="false">G701*I701</f>
        <v>4419.2</v>
      </c>
      <c r="L701" s="4" t="n">
        <f aca="false">J701-K701</f>
        <v>3386.4</v>
      </c>
    </row>
    <row r="702" customFormat="false" ht="15" hidden="false" customHeight="false" outlineLevel="0" collapsed="false">
      <c r="A702" s="0" t="n">
        <v>1163</v>
      </c>
      <c r="B702" s="2" t="n">
        <v>45596</v>
      </c>
      <c r="C702" s="3" t="s">
        <v>23</v>
      </c>
      <c r="D702" s="3" t="s">
        <v>17</v>
      </c>
      <c r="E702" s="3" t="s">
        <v>27</v>
      </c>
      <c r="F702" s="3" t="s">
        <v>19</v>
      </c>
      <c r="G702" s="0" t="n">
        <v>29</v>
      </c>
      <c r="H702" s="4" t="n">
        <v>409.12</v>
      </c>
      <c r="I702" s="4" t="n">
        <v>292.67</v>
      </c>
      <c r="J702" s="4" t="n">
        <f aca="false">G702*H702</f>
        <v>11864.48</v>
      </c>
      <c r="K702" s="4" t="n">
        <f aca="false">G702*I702</f>
        <v>8487.43</v>
      </c>
      <c r="L702" s="4" t="n">
        <f aca="false">J702-K702</f>
        <v>3377.05</v>
      </c>
    </row>
    <row r="703" customFormat="false" ht="15" hidden="false" customHeight="false" outlineLevel="0" collapsed="false">
      <c r="A703" s="0" t="n">
        <v>2294</v>
      </c>
      <c r="B703" s="2" t="n">
        <v>45596</v>
      </c>
      <c r="C703" s="3" t="s">
        <v>26</v>
      </c>
      <c r="D703" s="3" t="s">
        <v>17</v>
      </c>
      <c r="E703" s="3" t="s">
        <v>40</v>
      </c>
      <c r="F703" s="3" t="s">
        <v>19</v>
      </c>
      <c r="G703" s="0" t="n">
        <v>17</v>
      </c>
      <c r="H703" s="4" t="n">
        <v>443.82</v>
      </c>
      <c r="I703" s="4" t="n">
        <v>235.26</v>
      </c>
      <c r="J703" s="4" t="n">
        <f aca="false">G703*H703</f>
        <v>7544.94</v>
      </c>
      <c r="K703" s="4" t="n">
        <f aca="false">G703*I703</f>
        <v>3999.42</v>
      </c>
      <c r="L703" s="4" t="n">
        <f aca="false">J703-K703</f>
        <v>3545.52</v>
      </c>
    </row>
    <row r="704" customFormat="false" ht="15" hidden="false" customHeight="false" outlineLevel="0" collapsed="false">
      <c r="A704" s="0" t="n">
        <v>2669</v>
      </c>
      <c r="B704" s="2" t="n">
        <v>45597</v>
      </c>
      <c r="C704" s="3" t="s">
        <v>23</v>
      </c>
      <c r="D704" s="3" t="s">
        <v>13</v>
      </c>
      <c r="E704" s="3" t="s">
        <v>46</v>
      </c>
      <c r="F704" s="3" t="s">
        <v>22</v>
      </c>
      <c r="G704" s="0" t="n">
        <v>22</v>
      </c>
      <c r="H704" s="4" t="n">
        <v>28.39</v>
      </c>
      <c r="I704" s="4" t="n">
        <v>14.55</v>
      </c>
      <c r="J704" s="4" t="n">
        <f aca="false">G704*H704</f>
        <v>624.58</v>
      </c>
      <c r="K704" s="4" t="n">
        <f aca="false">G704*I704</f>
        <v>320.1</v>
      </c>
      <c r="L704" s="4" t="n">
        <f aca="false">J704-K704</f>
        <v>304.48</v>
      </c>
    </row>
    <row r="705" customFormat="false" ht="15" hidden="false" customHeight="false" outlineLevel="0" collapsed="false">
      <c r="A705" s="0" t="n">
        <v>1257</v>
      </c>
      <c r="B705" s="2" t="n">
        <v>45598</v>
      </c>
      <c r="C705" s="3" t="s">
        <v>12</v>
      </c>
      <c r="D705" s="3" t="s">
        <v>20</v>
      </c>
      <c r="E705" s="3" t="s">
        <v>34</v>
      </c>
      <c r="F705" s="3" t="s">
        <v>19</v>
      </c>
      <c r="G705" s="0" t="n">
        <v>5</v>
      </c>
      <c r="H705" s="4" t="n">
        <v>143.23</v>
      </c>
      <c r="I705" s="4" t="n">
        <v>97.48</v>
      </c>
      <c r="J705" s="4" t="n">
        <f aca="false">G705*H705</f>
        <v>716.15</v>
      </c>
      <c r="K705" s="4" t="n">
        <f aca="false">G705*I705</f>
        <v>487.4</v>
      </c>
      <c r="L705" s="4" t="n">
        <f aca="false">J705-K705</f>
        <v>228.75</v>
      </c>
    </row>
    <row r="706" customFormat="false" ht="15" hidden="false" customHeight="false" outlineLevel="0" collapsed="false">
      <c r="A706" s="0" t="n">
        <v>2589</v>
      </c>
      <c r="B706" s="2" t="n">
        <v>45598</v>
      </c>
      <c r="C706" s="3" t="s">
        <v>16</v>
      </c>
      <c r="D706" s="3" t="s">
        <v>20</v>
      </c>
      <c r="E706" s="3" t="s">
        <v>42</v>
      </c>
      <c r="F706" s="3" t="s">
        <v>25</v>
      </c>
      <c r="G706" s="0" t="n">
        <v>11</v>
      </c>
      <c r="H706" s="4" t="n">
        <v>95.72</v>
      </c>
      <c r="I706" s="4" t="n">
        <v>51.82</v>
      </c>
      <c r="J706" s="4" t="n">
        <f aca="false">G706*H706</f>
        <v>1052.92</v>
      </c>
      <c r="K706" s="4" t="n">
        <f aca="false">G706*I706</f>
        <v>570.02</v>
      </c>
      <c r="L706" s="4" t="n">
        <f aca="false">J706-K706</f>
        <v>482.9</v>
      </c>
    </row>
    <row r="707" customFormat="false" ht="15" hidden="false" customHeight="false" outlineLevel="0" collapsed="false">
      <c r="A707" s="0" t="n">
        <v>1421</v>
      </c>
      <c r="B707" s="2" t="n">
        <v>45599</v>
      </c>
      <c r="C707" s="3" t="s">
        <v>32</v>
      </c>
      <c r="D707" s="3" t="s">
        <v>17</v>
      </c>
      <c r="E707" s="3" t="s">
        <v>18</v>
      </c>
      <c r="F707" s="3" t="s">
        <v>25</v>
      </c>
      <c r="G707" s="0" t="n">
        <v>11</v>
      </c>
      <c r="H707" s="4" t="n">
        <v>110.43</v>
      </c>
      <c r="I707" s="4" t="n">
        <v>67.63</v>
      </c>
      <c r="J707" s="4" t="n">
        <f aca="false">G707*H707</f>
        <v>1214.73</v>
      </c>
      <c r="K707" s="4" t="n">
        <f aca="false">G707*I707</f>
        <v>743.93</v>
      </c>
      <c r="L707" s="4" t="n">
        <f aca="false">J707-K707</f>
        <v>470.8</v>
      </c>
    </row>
    <row r="708" customFormat="false" ht="15" hidden="false" customHeight="false" outlineLevel="0" collapsed="false">
      <c r="A708" s="0" t="n">
        <v>2130</v>
      </c>
      <c r="B708" s="2" t="n">
        <v>45599</v>
      </c>
      <c r="C708" s="3" t="s">
        <v>16</v>
      </c>
      <c r="D708" s="3" t="s">
        <v>17</v>
      </c>
      <c r="E708" s="3" t="s">
        <v>35</v>
      </c>
      <c r="F708" s="3" t="s">
        <v>36</v>
      </c>
      <c r="G708" s="0" t="n">
        <v>8</v>
      </c>
      <c r="H708" s="4" t="n">
        <v>664.78</v>
      </c>
      <c r="I708" s="4" t="n">
        <v>437.91</v>
      </c>
      <c r="J708" s="4" t="n">
        <f aca="false">G708*H708</f>
        <v>5318.24</v>
      </c>
      <c r="K708" s="4" t="n">
        <f aca="false">G708*I708</f>
        <v>3503.28</v>
      </c>
      <c r="L708" s="4" t="n">
        <f aca="false">J708-K708</f>
        <v>1814.96</v>
      </c>
    </row>
    <row r="709" customFormat="false" ht="15" hidden="false" customHeight="false" outlineLevel="0" collapsed="false">
      <c r="A709" s="0" t="n">
        <v>2135</v>
      </c>
      <c r="B709" s="2" t="n">
        <v>45599</v>
      </c>
      <c r="C709" s="3" t="s">
        <v>16</v>
      </c>
      <c r="D709" s="3" t="s">
        <v>13</v>
      </c>
      <c r="E709" s="3" t="s">
        <v>46</v>
      </c>
      <c r="F709" s="3" t="s">
        <v>19</v>
      </c>
      <c r="G709" s="0" t="n">
        <v>21</v>
      </c>
      <c r="H709" s="4" t="n">
        <v>46.68</v>
      </c>
      <c r="I709" s="4" t="n">
        <v>30.46</v>
      </c>
      <c r="J709" s="4" t="n">
        <f aca="false">G709*H709</f>
        <v>980.28</v>
      </c>
      <c r="K709" s="4" t="n">
        <f aca="false">G709*I709</f>
        <v>639.66</v>
      </c>
      <c r="L709" s="4" t="n">
        <f aca="false">J709-K709</f>
        <v>340.62</v>
      </c>
    </row>
    <row r="710" customFormat="false" ht="15" hidden="false" customHeight="false" outlineLevel="0" collapsed="false">
      <c r="A710" s="0" t="n">
        <v>2403</v>
      </c>
      <c r="B710" s="2" t="n">
        <v>45599</v>
      </c>
      <c r="C710" s="3" t="s">
        <v>12</v>
      </c>
      <c r="D710" s="3" t="s">
        <v>29</v>
      </c>
      <c r="E710" s="3" t="s">
        <v>41</v>
      </c>
      <c r="F710" s="3" t="s">
        <v>19</v>
      </c>
      <c r="G710" s="0" t="n">
        <v>18</v>
      </c>
      <c r="H710" s="4" t="n">
        <v>111.25</v>
      </c>
      <c r="I710" s="4" t="n">
        <v>57.71</v>
      </c>
      <c r="J710" s="4" t="n">
        <f aca="false">G710*H710</f>
        <v>2002.5</v>
      </c>
      <c r="K710" s="4" t="n">
        <f aca="false">G710*I710</f>
        <v>1038.78</v>
      </c>
      <c r="L710" s="4" t="n">
        <f aca="false">J710-K710</f>
        <v>963.72</v>
      </c>
    </row>
    <row r="711" customFormat="false" ht="15" hidden="false" customHeight="false" outlineLevel="0" collapsed="false">
      <c r="A711" s="0" t="n">
        <v>2598</v>
      </c>
      <c r="B711" s="2" t="n">
        <v>45599</v>
      </c>
      <c r="C711" s="3" t="s">
        <v>26</v>
      </c>
      <c r="D711" s="3" t="s">
        <v>13</v>
      </c>
      <c r="E711" s="3" t="s">
        <v>45</v>
      </c>
      <c r="F711" s="3" t="s">
        <v>39</v>
      </c>
      <c r="G711" s="0" t="n">
        <v>23</v>
      </c>
      <c r="H711" s="4" t="n">
        <v>59.27</v>
      </c>
      <c r="I711" s="4" t="n">
        <v>41.8</v>
      </c>
      <c r="J711" s="4" t="n">
        <f aca="false">G711*H711</f>
        <v>1363.21</v>
      </c>
      <c r="K711" s="4" t="n">
        <f aca="false">G711*I711</f>
        <v>961.4</v>
      </c>
      <c r="L711" s="4" t="n">
        <f aca="false">J711-K711</f>
        <v>401.81</v>
      </c>
    </row>
    <row r="712" customFormat="false" ht="15" hidden="false" customHeight="false" outlineLevel="0" collapsed="false">
      <c r="A712" s="0" t="n">
        <v>2732</v>
      </c>
      <c r="B712" s="2" t="n">
        <v>45600</v>
      </c>
      <c r="C712" s="3" t="s">
        <v>12</v>
      </c>
      <c r="D712" s="3" t="s">
        <v>17</v>
      </c>
      <c r="E712" s="3" t="s">
        <v>44</v>
      </c>
      <c r="F712" s="3" t="s">
        <v>36</v>
      </c>
      <c r="G712" s="0" t="n">
        <v>34</v>
      </c>
      <c r="H712" s="4" t="n">
        <v>737.14</v>
      </c>
      <c r="I712" s="4" t="n">
        <v>375.04</v>
      </c>
      <c r="J712" s="4" t="n">
        <f aca="false">G712*H712</f>
        <v>25062.76</v>
      </c>
      <c r="K712" s="4" t="n">
        <f aca="false">G712*I712</f>
        <v>12751.36</v>
      </c>
      <c r="L712" s="4" t="n">
        <f aca="false">J712-K712</f>
        <v>12311.4</v>
      </c>
    </row>
    <row r="713" customFormat="false" ht="15" hidden="false" customHeight="false" outlineLevel="0" collapsed="false">
      <c r="A713" s="0" t="n">
        <v>2774</v>
      </c>
      <c r="B713" s="2" t="n">
        <v>45600</v>
      </c>
      <c r="C713" s="3" t="s">
        <v>12</v>
      </c>
      <c r="D713" s="3" t="s">
        <v>20</v>
      </c>
      <c r="E713" s="3" t="s">
        <v>21</v>
      </c>
      <c r="F713" s="3" t="s">
        <v>36</v>
      </c>
      <c r="G713" s="0" t="n">
        <v>35</v>
      </c>
      <c r="H713" s="4" t="n">
        <v>296.8</v>
      </c>
      <c r="I713" s="4" t="n">
        <v>196.71</v>
      </c>
      <c r="J713" s="4" t="n">
        <f aca="false">G713*H713</f>
        <v>10388</v>
      </c>
      <c r="K713" s="4" t="n">
        <f aca="false">G713*I713</f>
        <v>6884.85</v>
      </c>
      <c r="L713" s="4" t="n">
        <f aca="false">J713-K713</f>
        <v>3503.15</v>
      </c>
    </row>
    <row r="714" customFormat="false" ht="15" hidden="false" customHeight="false" outlineLevel="0" collapsed="false">
      <c r="A714" s="0" t="n">
        <v>1091</v>
      </c>
      <c r="B714" s="2" t="n">
        <v>45601</v>
      </c>
      <c r="C714" s="3" t="s">
        <v>12</v>
      </c>
      <c r="D714" s="3" t="s">
        <v>20</v>
      </c>
      <c r="E714" s="3" t="s">
        <v>21</v>
      </c>
      <c r="F714" s="3" t="s">
        <v>25</v>
      </c>
      <c r="G714" s="0" t="n">
        <v>16</v>
      </c>
      <c r="H714" s="4" t="n">
        <v>215.8</v>
      </c>
      <c r="I714" s="4" t="n">
        <v>109.08</v>
      </c>
      <c r="J714" s="4" t="n">
        <f aca="false">G714*H714</f>
        <v>3452.8</v>
      </c>
      <c r="K714" s="4" t="n">
        <f aca="false">G714*I714</f>
        <v>1745.28</v>
      </c>
      <c r="L714" s="4" t="n">
        <f aca="false">J714-K714</f>
        <v>1707.52</v>
      </c>
    </row>
    <row r="715" customFormat="false" ht="15" hidden="false" customHeight="false" outlineLevel="0" collapsed="false">
      <c r="A715" s="0" t="n">
        <v>1254</v>
      </c>
      <c r="B715" s="2" t="n">
        <v>45601</v>
      </c>
      <c r="C715" s="3" t="s">
        <v>12</v>
      </c>
      <c r="D715" s="3" t="s">
        <v>29</v>
      </c>
      <c r="E715" s="3" t="s">
        <v>30</v>
      </c>
      <c r="F715" s="3" t="s">
        <v>33</v>
      </c>
      <c r="G715" s="0" t="n">
        <v>17</v>
      </c>
      <c r="H715" s="4" t="n">
        <v>352.54</v>
      </c>
      <c r="I715" s="4" t="n">
        <v>231.41</v>
      </c>
      <c r="J715" s="4" t="n">
        <f aca="false">G715*H715</f>
        <v>5993.18</v>
      </c>
      <c r="K715" s="4" t="n">
        <f aca="false">G715*I715</f>
        <v>3933.97</v>
      </c>
      <c r="L715" s="4" t="n">
        <f aca="false">J715-K715</f>
        <v>2059.21</v>
      </c>
    </row>
    <row r="716" customFormat="false" ht="15" hidden="false" customHeight="false" outlineLevel="0" collapsed="false">
      <c r="A716" s="0" t="n">
        <v>1623</v>
      </c>
      <c r="B716" s="2" t="n">
        <v>45601</v>
      </c>
      <c r="C716" s="3" t="s">
        <v>16</v>
      </c>
      <c r="D716" s="3" t="s">
        <v>29</v>
      </c>
      <c r="E716" s="3" t="s">
        <v>41</v>
      </c>
      <c r="F716" s="3" t="s">
        <v>33</v>
      </c>
      <c r="G716" s="0" t="n">
        <v>13</v>
      </c>
      <c r="H716" s="4" t="n">
        <v>296.46</v>
      </c>
      <c r="I716" s="4" t="n">
        <v>188.81</v>
      </c>
      <c r="J716" s="4" t="n">
        <f aca="false">G716*H716</f>
        <v>3853.98</v>
      </c>
      <c r="K716" s="4" t="n">
        <f aca="false">G716*I716</f>
        <v>2454.53</v>
      </c>
      <c r="L716" s="4" t="n">
        <f aca="false">J716-K716</f>
        <v>1399.45</v>
      </c>
    </row>
    <row r="717" customFormat="false" ht="15" hidden="false" customHeight="false" outlineLevel="0" collapsed="false">
      <c r="A717" s="0" t="n">
        <v>2043</v>
      </c>
      <c r="B717" s="2" t="n">
        <v>45601</v>
      </c>
      <c r="C717" s="3" t="s">
        <v>32</v>
      </c>
      <c r="D717" s="3" t="s">
        <v>20</v>
      </c>
      <c r="E717" s="3" t="s">
        <v>34</v>
      </c>
      <c r="F717" s="3" t="s">
        <v>25</v>
      </c>
      <c r="G717" s="0" t="n">
        <v>17</v>
      </c>
      <c r="H717" s="4" t="n">
        <v>140.27</v>
      </c>
      <c r="I717" s="4" t="n">
        <v>77.93</v>
      </c>
      <c r="J717" s="4" t="n">
        <f aca="false">G717*H717</f>
        <v>2384.59</v>
      </c>
      <c r="K717" s="4" t="n">
        <f aca="false">G717*I717</f>
        <v>1324.81</v>
      </c>
      <c r="L717" s="4" t="n">
        <f aca="false">J717-K717</f>
        <v>1059.78</v>
      </c>
    </row>
    <row r="718" customFormat="false" ht="15" hidden="false" customHeight="false" outlineLevel="0" collapsed="false">
      <c r="A718" s="0" t="n">
        <v>2316</v>
      </c>
      <c r="B718" s="2" t="n">
        <v>45601</v>
      </c>
      <c r="C718" s="3" t="s">
        <v>12</v>
      </c>
      <c r="D718" s="3" t="s">
        <v>13</v>
      </c>
      <c r="E718" s="3" t="s">
        <v>31</v>
      </c>
      <c r="F718" s="3" t="s">
        <v>28</v>
      </c>
      <c r="G718" s="0" t="n">
        <v>15</v>
      </c>
      <c r="H718" s="4" t="n">
        <v>49.08</v>
      </c>
      <c r="I718" s="4" t="n">
        <v>26.56</v>
      </c>
      <c r="J718" s="4" t="n">
        <f aca="false">G718*H718</f>
        <v>736.2</v>
      </c>
      <c r="K718" s="4" t="n">
        <f aca="false">G718*I718</f>
        <v>398.4</v>
      </c>
      <c r="L718" s="4" t="n">
        <f aca="false">J718-K718</f>
        <v>337.8</v>
      </c>
    </row>
    <row r="719" customFormat="false" ht="15" hidden="false" customHeight="false" outlineLevel="0" collapsed="false">
      <c r="A719" s="0" t="n">
        <v>1614</v>
      </c>
      <c r="B719" s="2" t="n">
        <v>45602</v>
      </c>
      <c r="C719" s="3" t="s">
        <v>12</v>
      </c>
      <c r="D719" s="3" t="s">
        <v>20</v>
      </c>
      <c r="E719" s="3" t="s">
        <v>21</v>
      </c>
      <c r="F719" s="3" t="s">
        <v>19</v>
      </c>
      <c r="G719" s="0" t="n">
        <v>20</v>
      </c>
      <c r="H719" s="4" t="n">
        <v>209.01</v>
      </c>
      <c r="I719" s="4" t="n">
        <v>139</v>
      </c>
      <c r="J719" s="4" t="n">
        <f aca="false">G719*H719</f>
        <v>4180.2</v>
      </c>
      <c r="K719" s="4" t="n">
        <f aca="false">G719*I719</f>
        <v>2780</v>
      </c>
      <c r="L719" s="4" t="n">
        <f aca="false">J719-K719</f>
        <v>1400.2</v>
      </c>
    </row>
    <row r="720" customFormat="false" ht="15" hidden="false" customHeight="false" outlineLevel="0" collapsed="false">
      <c r="A720" s="0" t="n">
        <v>1452</v>
      </c>
      <c r="B720" s="2" t="n">
        <v>45603</v>
      </c>
      <c r="C720" s="3" t="s">
        <v>26</v>
      </c>
      <c r="D720" s="3" t="s">
        <v>13</v>
      </c>
      <c r="E720" s="3" t="s">
        <v>46</v>
      </c>
      <c r="F720" s="3" t="s">
        <v>25</v>
      </c>
      <c r="G720" s="0" t="n">
        <v>7</v>
      </c>
      <c r="H720" s="4" t="n">
        <v>33.3</v>
      </c>
      <c r="I720" s="4" t="n">
        <v>18.72</v>
      </c>
      <c r="J720" s="4" t="n">
        <f aca="false">G720*H720</f>
        <v>233.1</v>
      </c>
      <c r="K720" s="4" t="n">
        <f aca="false">G720*I720</f>
        <v>131.04</v>
      </c>
      <c r="L720" s="4" t="n">
        <f aca="false">J720-K720</f>
        <v>102.06</v>
      </c>
    </row>
    <row r="721" customFormat="false" ht="15" hidden="false" customHeight="false" outlineLevel="0" collapsed="false">
      <c r="A721" s="0" t="n">
        <v>1830</v>
      </c>
      <c r="B721" s="2" t="n">
        <v>45604</v>
      </c>
      <c r="C721" s="3" t="s">
        <v>23</v>
      </c>
      <c r="D721" s="3" t="s">
        <v>29</v>
      </c>
      <c r="E721" s="3" t="s">
        <v>30</v>
      </c>
      <c r="F721" s="3" t="s">
        <v>25</v>
      </c>
      <c r="G721" s="0" t="n">
        <v>5</v>
      </c>
      <c r="H721" s="4" t="n">
        <v>149.35</v>
      </c>
      <c r="I721" s="4" t="n">
        <v>102.43</v>
      </c>
      <c r="J721" s="4" t="n">
        <f aca="false">G721*H721</f>
        <v>746.75</v>
      </c>
      <c r="K721" s="4" t="n">
        <f aca="false">G721*I721</f>
        <v>512.15</v>
      </c>
      <c r="L721" s="4" t="n">
        <f aca="false">J721-K721</f>
        <v>234.6</v>
      </c>
    </row>
    <row r="722" customFormat="false" ht="15" hidden="false" customHeight="false" outlineLevel="0" collapsed="false">
      <c r="A722" s="0" t="n">
        <v>1578</v>
      </c>
      <c r="B722" s="2" t="n">
        <v>45605</v>
      </c>
      <c r="C722" s="3" t="s">
        <v>12</v>
      </c>
      <c r="D722" s="3" t="s">
        <v>29</v>
      </c>
      <c r="E722" s="3" t="s">
        <v>37</v>
      </c>
      <c r="F722" s="3" t="s">
        <v>28</v>
      </c>
      <c r="G722" s="0" t="n">
        <v>24</v>
      </c>
      <c r="H722" s="4" t="n">
        <v>99.87</v>
      </c>
      <c r="I722" s="4" t="n">
        <v>61.32</v>
      </c>
      <c r="J722" s="4" t="n">
        <f aca="false">G722*H722</f>
        <v>2396.88</v>
      </c>
      <c r="K722" s="4" t="n">
        <f aca="false">G722*I722</f>
        <v>1471.68</v>
      </c>
      <c r="L722" s="4" t="n">
        <f aca="false">J722-K722</f>
        <v>925.2</v>
      </c>
    </row>
    <row r="723" customFormat="false" ht="15" hidden="false" customHeight="false" outlineLevel="0" collapsed="false">
      <c r="A723" s="0" t="n">
        <v>1826</v>
      </c>
      <c r="B723" s="2" t="n">
        <v>45605</v>
      </c>
      <c r="C723" s="3" t="s">
        <v>16</v>
      </c>
      <c r="D723" s="3" t="s">
        <v>20</v>
      </c>
      <c r="E723" s="3" t="s">
        <v>42</v>
      </c>
      <c r="F723" s="3" t="s">
        <v>33</v>
      </c>
      <c r="G723" s="0" t="n">
        <v>37</v>
      </c>
      <c r="H723" s="4" t="n">
        <v>271.04</v>
      </c>
      <c r="I723" s="4" t="n">
        <v>147.09</v>
      </c>
      <c r="J723" s="4" t="n">
        <f aca="false">G723*H723</f>
        <v>10028.48</v>
      </c>
      <c r="K723" s="4" t="n">
        <f aca="false">G723*I723</f>
        <v>5442.33</v>
      </c>
      <c r="L723" s="4" t="n">
        <f aca="false">J723-K723</f>
        <v>4586.15</v>
      </c>
    </row>
    <row r="724" customFormat="false" ht="15" hidden="false" customHeight="false" outlineLevel="0" collapsed="false">
      <c r="A724" s="0" t="n">
        <v>2208</v>
      </c>
      <c r="B724" s="2" t="n">
        <v>45605</v>
      </c>
      <c r="C724" s="3" t="s">
        <v>26</v>
      </c>
      <c r="D724" s="3" t="s">
        <v>29</v>
      </c>
      <c r="E724" s="3" t="s">
        <v>30</v>
      </c>
      <c r="F724" s="3" t="s">
        <v>19</v>
      </c>
      <c r="G724" s="0" t="n">
        <v>13</v>
      </c>
      <c r="H724" s="4" t="n">
        <v>304.79</v>
      </c>
      <c r="I724" s="4" t="n">
        <v>159.78</v>
      </c>
      <c r="J724" s="4" t="n">
        <f aca="false">G724*H724</f>
        <v>3962.27</v>
      </c>
      <c r="K724" s="4" t="n">
        <f aca="false">G724*I724</f>
        <v>2077.14</v>
      </c>
      <c r="L724" s="4" t="n">
        <f aca="false">J724-K724</f>
        <v>1885.13</v>
      </c>
    </row>
    <row r="725" customFormat="false" ht="15" hidden="false" customHeight="false" outlineLevel="0" collapsed="false">
      <c r="A725" s="0" t="n">
        <v>1599</v>
      </c>
      <c r="B725" s="2" t="n">
        <v>45606</v>
      </c>
      <c r="C725" s="3" t="s">
        <v>12</v>
      </c>
      <c r="D725" s="3" t="s">
        <v>13</v>
      </c>
      <c r="E725" s="3" t="s">
        <v>24</v>
      </c>
      <c r="F725" s="3" t="s">
        <v>25</v>
      </c>
      <c r="G725" s="0" t="n">
        <v>28</v>
      </c>
      <c r="H725" s="4" t="n">
        <v>47.69</v>
      </c>
      <c r="I725" s="4" t="n">
        <v>32.87</v>
      </c>
      <c r="J725" s="4" t="n">
        <f aca="false">G725*H725</f>
        <v>1335.32</v>
      </c>
      <c r="K725" s="4" t="n">
        <f aca="false">G725*I725</f>
        <v>920.36</v>
      </c>
      <c r="L725" s="4" t="n">
        <f aca="false">J725-K725</f>
        <v>414.96</v>
      </c>
    </row>
    <row r="726" customFormat="false" ht="15" hidden="false" customHeight="false" outlineLevel="0" collapsed="false">
      <c r="A726" s="0" t="n">
        <v>2562</v>
      </c>
      <c r="B726" s="2" t="n">
        <v>45606</v>
      </c>
      <c r="C726" s="3" t="s">
        <v>12</v>
      </c>
      <c r="D726" s="3" t="s">
        <v>13</v>
      </c>
      <c r="E726" s="3" t="s">
        <v>45</v>
      </c>
      <c r="F726" s="3" t="s">
        <v>15</v>
      </c>
      <c r="G726" s="0" t="n">
        <v>5</v>
      </c>
      <c r="H726" s="4" t="n">
        <v>47.38</v>
      </c>
      <c r="I726" s="4" t="n">
        <v>34.71</v>
      </c>
      <c r="J726" s="4" t="n">
        <f aca="false">G726*H726</f>
        <v>236.9</v>
      </c>
      <c r="K726" s="4" t="n">
        <f aca="false">G726*I726</f>
        <v>173.55</v>
      </c>
      <c r="L726" s="4" t="n">
        <f aca="false">J726-K726</f>
        <v>63.35</v>
      </c>
    </row>
    <row r="727" customFormat="false" ht="15" hidden="false" customHeight="false" outlineLevel="0" collapsed="false">
      <c r="A727" s="0" t="n">
        <v>1192</v>
      </c>
      <c r="B727" s="2" t="n">
        <v>45607</v>
      </c>
      <c r="C727" s="3" t="s">
        <v>26</v>
      </c>
      <c r="D727" s="3" t="s">
        <v>20</v>
      </c>
      <c r="E727" s="3" t="s">
        <v>38</v>
      </c>
      <c r="F727" s="3" t="s">
        <v>22</v>
      </c>
      <c r="G727" s="0" t="n">
        <v>14</v>
      </c>
      <c r="H727" s="4" t="n">
        <v>37.85</v>
      </c>
      <c r="I727" s="4" t="n">
        <v>28.33</v>
      </c>
      <c r="J727" s="4" t="n">
        <f aca="false">G727*H727</f>
        <v>529.9</v>
      </c>
      <c r="K727" s="4" t="n">
        <f aca="false">G727*I727</f>
        <v>396.62</v>
      </c>
      <c r="L727" s="4" t="n">
        <f aca="false">J727-K727</f>
        <v>133.28</v>
      </c>
    </row>
    <row r="728" customFormat="false" ht="15" hidden="false" customHeight="false" outlineLevel="0" collapsed="false">
      <c r="A728" s="0" t="n">
        <v>1304</v>
      </c>
      <c r="B728" s="2" t="n">
        <v>45607</v>
      </c>
      <c r="C728" s="3" t="s">
        <v>23</v>
      </c>
      <c r="D728" s="3" t="s">
        <v>20</v>
      </c>
      <c r="E728" s="3" t="s">
        <v>21</v>
      </c>
      <c r="F728" s="3" t="s">
        <v>15</v>
      </c>
      <c r="G728" s="0" t="n">
        <v>6</v>
      </c>
      <c r="H728" s="4" t="n">
        <v>126.8</v>
      </c>
      <c r="I728" s="4" t="n">
        <v>69.31</v>
      </c>
      <c r="J728" s="4" t="n">
        <f aca="false">G728*H728</f>
        <v>760.8</v>
      </c>
      <c r="K728" s="4" t="n">
        <f aca="false">G728*I728</f>
        <v>415.86</v>
      </c>
      <c r="L728" s="4" t="n">
        <f aca="false">J728-K728</f>
        <v>344.94</v>
      </c>
    </row>
    <row r="729" customFormat="false" ht="15" hidden="false" customHeight="false" outlineLevel="0" collapsed="false">
      <c r="A729" s="0" t="n">
        <v>2404</v>
      </c>
      <c r="B729" s="2" t="n">
        <v>45607</v>
      </c>
      <c r="C729" s="3" t="s">
        <v>32</v>
      </c>
      <c r="D729" s="3" t="s">
        <v>20</v>
      </c>
      <c r="E729" s="3" t="s">
        <v>42</v>
      </c>
      <c r="F729" s="3" t="s">
        <v>22</v>
      </c>
      <c r="G729" s="0" t="n">
        <v>19</v>
      </c>
      <c r="H729" s="4" t="n">
        <v>280.79</v>
      </c>
      <c r="I729" s="4" t="n">
        <v>182.72</v>
      </c>
      <c r="J729" s="4" t="n">
        <f aca="false">G729*H729</f>
        <v>5335.01</v>
      </c>
      <c r="K729" s="4" t="n">
        <f aca="false">G729*I729</f>
        <v>3471.68</v>
      </c>
      <c r="L729" s="4" t="n">
        <f aca="false">J729-K729</f>
        <v>1863.33</v>
      </c>
    </row>
    <row r="730" customFormat="false" ht="15" hidden="false" customHeight="false" outlineLevel="0" collapsed="false">
      <c r="A730" s="0" t="n">
        <v>1891</v>
      </c>
      <c r="B730" s="2" t="n">
        <v>45608</v>
      </c>
      <c r="C730" s="3" t="s">
        <v>16</v>
      </c>
      <c r="D730" s="3" t="s">
        <v>17</v>
      </c>
      <c r="E730" s="3" t="s">
        <v>18</v>
      </c>
      <c r="F730" s="3" t="s">
        <v>25</v>
      </c>
      <c r="G730" s="0" t="n">
        <v>30</v>
      </c>
      <c r="H730" s="4" t="n">
        <v>323.52</v>
      </c>
      <c r="I730" s="4" t="n">
        <v>191.15</v>
      </c>
      <c r="J730" s="4" t="n">
        <f aca="false">G730*H730</f>
        <v>9705.6</v>
      </c>
      <c r="K730" s="4" t="n">
        <f aca="false">G730*I730</f>
        <v>5734.5</v>
      </c>
      <c r="L730" s="4" t="n">
        <f aca="false">J730-K730</f>
        <v>3971.1</v>
      </c>
    </row>
    <row r="731" customFormat="false" ht="15" hidden="false" customHeight="false" outlineLevel="0" collapsed="false">
      <c r="A731" s="0" t="n">
        <v>2379</v>
      </c>
      <c r="B731" s="2" t="n">
        <v>45608</v>
      </c>
      <c r="C731" s="3" t="s">
        <v>32</v>
      </c>
      <c r="D731" s="3" t="s">
        <v>13</v>
      </c>
      <c r="E731" s="3" t="s">
        <v>24</v>
      </c>
      <c r="F731" s="3" t="s">
        <v>28</v>
      </c>
      <c r="G731" s="0" t="n">
        <v>10</v>
      </c>
      <c r="H731" s="4" t="n">
        <v>5.1</v>
      </c>
      <c r="I731" s="4" t="n">
        <v>2.74</v>
      </c>
      <c r="J731" s="4" t="n">
        <f aca="false">G731*H731</f>
        <v>51</v>
      </c>
      <c r="K731" s="4" t="n">
        <f aca="false">G731*I731</f>
        <v>27.4</v>
      </c>
      <c r="L731" s="4" t="n">
        <f aca="false">J731-K731</f>
        <v>23.6</v>
      </c>
    </row>
    <row r="732" customFormat="false" ht="15" hidden="false" customHeight="false" outlineLevel="0" collapsed="false">
      <c r="A732" s="0" t="n">
        <v>2394</v>
      </c>
      <c r="B732" s="2" t="n">
        <v>45608</v>
      </c>
      <c r="C732" s="3" t="s">
        <v>16</v>
      </c>
      <c r="D732" s="3" t="s">
        <v>17</v>
      </c>
      <c r="E732" s="3" t="s">
        <v>27</v>
      </c>
      <c r="F732" s="3" t="s">
        <v>19</v>
      </c>
      <c r="G732" s="0" t="n">
        <v>8</v>
      </c>
      <c r="H732" s="4" t="n">
        <v>776.55</v>
      </c>
      <c r="I732" s="4" t="n">
        <v>542.5</v>
      </c>
      <c r="J732" s="4" t="n">
        <f aca="false">G732*H732</f>
        <v>6212.4</v>
      </c>
      <c r="K732" s="4" t="n">
        <f aca="false">G732*I732</f>
        <v>4340</v>
      </c>
      <c r="L732" s="4" t="n">
        <f aca="false">J732-K732</f>
        <v>1872.4</v>
      </c>
    </row>
    <row r="733" customFormat="false" ht="15" hidden="false" customHeight="false" outlineLevel="0" collapsed="false">
      <c r="A733" s="0" t="n">
        <v>2612</v>
      </c>
      <c r="B733" s="2" t="n">
        <v>45610</v>
      </c>
      <c r="C733" s="3" t="s">
        <v>32</v>
      </c>
      <c r="D733" s="3" t="s">
        <v>20</v>
      </c>
      <c r="E733" s="3" t="s">
        <v>38</v>
      </c>
      <c r="F733" s="3" t="s">
        <v>28</v>
      </c>
      <c r="G733" s="0" t="n">
        <v>29</v>
      </c>
      <c r="H733" s="4" t="n">
        <v>239.1</v>
      </c>
      <c r="I733" s="4" t="n">
        <v>137.99</v>
      </c>
      <c r="J733" s="4" t="n">
        <f aca="false">G733*H733</f>
        <v>6933.9</v>
      </c>
      <c r="K733" s="4" t="n">
        <f aca="false">G733*I733</f>
        <v>4001.71</v>
      </c>
      <c r="L733" s="4" t="n">
        <f aca="false">J733-K733</f>
        <v>2932.19</v>
      </c>
    </row>
    <row r="734" customFormat="false" ht="15" hidden="false" customHeight="false" outlineLevel="0" collapsed="false">
      <c r="A734" s="0" t="n">
        <v>2270</v>
      </c>
      <c r="B734" s="2" t="n">
        <v>45612</v>
      </c>
      <c r="C734" s="3" t="s">
        <v>23</v>
      </c>
      <c r="D734" s="3" t="s">
        <v>29</v>
      </c>
      <c r="E734" s="3" t="s">
        <v>43</v>
      </c>
      <c r="F734" s="3" t="s">
        <v>33</v>
      </c>
      <c r="G734" s="0" t="n">
        <v>13</v>
      </c>
      <c r="H734" s="4" t="n">
        <v>408.27</v>
      </c>
      <c r="I734" s="4" t="n">
        <v>297.16</v>
      </c>
      <c r="J734" s="4" t="n">
        <f aca="false">G734*H734</f>
        <v>5307.51</v>
      </c>
      <c r="K734" s="4" t="n">
        <f aca="false">G734*I734</f>
        <v>3863.08</v>
      </c>
      <c r="L734" s="4" t="n">
        <f aca="false">J734-K734</f>
        <v>1444.43</v>
      </c>
    </row>
    <row r="735" customFormat="false" ht="15" hidden="false" customHeight="false" outlineLevel="0" collapsed="false">
      <c r="A735" s="0" t="n">
        <v>1037</v>
      </c>
      <c r="B735" s="2" t="n">
        <v>45613</v>
      </c>
      <c r="C735" s="3" t="s">
        <v>23</v>
      </c>
      <c r="D735" s="3" t="s">
        <v>17</v>
      </c>
      <c r="E735" s="3" t="s">
        <v>18</v>
      </c>
      <c r="F735" s="3" t="s">
        <v>39</v>
      </c>
      <c r="G735" s="0" t="n">
        <v>17</v>
      </c>
      <c r="H735" s="4" t="n">
        <v>97.28</v>
      </c>
      <c r="I735" s="4" t="n">
        <v>65.34</v>
      </c>
      <c r="J735" s="4" t="n">
        <f aca="false">G735*H735</f>
        <v>1653.76</v>
      </c>
      <c r="K735" s="4" t="n">
        <f aca="false">G735*I735</f>
        <v>1110.78</v>
      </c>
      <c r="L735" s="4" t="n">
        <f aca="false">J735-K735</f>
        <v>542.98</v>
      </c>
    </row>
    <row r="736" customFormat="false" ht="15" hidden="false" customHeight="false" outlineLevel="0" collapsed="false">
      <c r="A736" s="0" t="n">
        <v>1639</v>
      </c>
      <c r="B736" s="2" t="n">
        <v>45613</v>
      </c>
      <c r="C736" s="3" t="s">
        <v>16</v>
      </c>
      <c r="D736" s="3" t="s">
        <v>17</v>
      </c>
      <c r="E736" s="3" t="s">
        <v>27</v>
      </c>
      <c r="F736" s="3" t="s">
        <v>19</v>
      </c>
      <c r="G736" s="0" t="n">
        <v>16</v>
      </c>
      <c r="H736" s="4" t="n">
        <v>493.75</v>
      </c>
      <c r="I736" s="4" t="n">
        <v>351.42</v>
      </c>
      <c r="J736" s="4" t="n">
        <f aca="false">G736*H736</f>
        <v>7900</v>
      </c>
      <c r="K736" s="4" t="n">
        <f aca="false">G736*I736</f>
        <v>5622.72</v>
      </c>
      <c r="L736" s="4" t="n">
        <f aca="false">J736-K736</f>
        <v>2277.28</v>
      </c>
    </row>
    <row r="737" customFormat="false" ht="15" hidden="false" customHeight="false" outlineLevel="0" collapsed="false">
      <c r="A737" s="0" t="n">
        <v>1919</v>
      </c>
      <c r="B737" s="2" t="n">
        <v>45613</v>
      </c>
      <c r="C737" s="3" t="s">
        <v>23</v>
      </c>
      <c r="D737" s="3" t="s">
        <v>13</v>
      </c>
      <c r="E737" s="3" t="s">
        <v>24</v>
      </c>
      <c r="F737" s="3" t="s">
        <v>15</v>
      </c>
      <c r="G737" s="0" t="n">
        <v>1</v>
      </c>
      <c r="H737" s="4" t="n">
        <v>40.6</v>
      </c>
      <c r="I737" s="4" t="n">
        <v>21.49</v>
      </c>
      <c r="J737" s="4" t="n">
        <f aca="false">G737*H737</f>
        <v>40.6</v>
      </c>
      <c r="K737" s="4" t="n">
        <f aca="false">G737*I737</f>
        <v>21.49</v>
      </c>
      <c r="L737" s="4" t="n">
        <f aca="false">J737-K737</f>
        <v>19.11</v>
      </c>
    </row>
    <row r="738" customFormat="false" ht="15" hidden="false" customHeight="false" outlineLevel="0" collapsed="false">
      <c r="A738" s="0" t="n">
        <v>2005</v>
      </c>
      <c r="B738" s="2" t="n">
        <v>45613</v>
      </c>
      <c r="C738" s="3" t="s">
        <v>26</v>
      </c>
      <c r="D738" s="3" t="s">
        <v>20</v>
      </c>
      <c r="E738" s="3" t="s">
        <v>34</v>
      </c>
      <c r="F738" s="3" t="s">
        <v>15</v>
      </c>
      <c r="G738" s="0" t="n">
        <v>18</v>
      </c>
      <c r="H738" s="4" t="n">
        <v>68.86</v>
      </c>
      <c r="I738" s="4" t="n">
        <v>49.43</v>
      </c>
      <c r="J738" s="4" t="n">
        <f aca="false">G738*H738</f>
        <v>1239.48</v>
      </c>
      <c r="K738" s="4" t="n">
        <f aca="false">G738*I738</f>
        <v>889.74</v>
      </c>
      <c r="L738" s="4" t="n">
        <f aca="false">J738-K738</f>
        <v>349.74</v>
      </c>
    </row>
    <row r="739" customFormat="false" ht="15" hidden="false" customHeight="false" outlineLevel="0" collapsed="false">
      <c r="A739" s="0" t="n">
        <v>2606</v>
      </c>
      <c r="B739" s="2" t="n">
        <v>45613</v>
      </c>
      <c r="C739" s="3" t="s">
        <v>26</v>
      </c>
      <c r="D739" s="3" t="s">
        <v>17</v>
      </c>
      <c r="E739" s="3" t="s">
        <v>27</v>
      </c>
      <c r="F739" s="3" t="s">
        <v>19</v>
      </c>
      <c r="G739" s="0" t="n">
        <v>39</v>
      </c>
      <c r="H739" s="4" t="n">
        <v>630.8</v>
      </c>
      <c r="I739" s="4" t="n">
        <v>372.38</v>
      </c>
      <c r="J739" s="4" t="n">
        <f aca="false">G739*H739</f>
        <v>24601.2</v>
      </c>
      <c r="K739" s="4" t="n">
        <f aca="false">G739*I739</f>
        <v>14522.82</v>
      </c>
      <c r="L739" s="4" t="n">
        <f aca="false">J739-K739</f>
        <v>10078.38</v>
      </c>
    </row>
    <row r="740" customFormat="false" ht="15" hidden="false" customHeight="false" outlineLevel="0" collapsed="false">
      <c r="A740" s="0" t="n">
        <v>1457</v>
      </c>
      <c r="B740" s="2" t="n">
        <v>45614</v>
      </c>
      <c r="C740" s="3" t="s">
        <v>26</v>
      </c>
      <c r="D740" s="3" t="s">
        <v>29</v>
      </c>
      <c r="E740" s="3" t="s">
        <v>37</v>
      </c>
      <c r="F740" s="3" t="s">
        <v>25</v>
      </c>
      <c r="G740" s="0" t="n">
        <v>3</v>
      </c>
      <c r="H740" s="4" t="n">
        <v>191.3</v>
      </c>
      <c r="I740" s="4" t="n">
        <v>107.6</v>
      </c>
      <c r="J740" s="4" t="n">
        <f aca="false">G740*H740</f>
        <v>573.9</v>
      </c>
      <c r="K740" s="4" t="n">
        <f aca="false">G740*I740</f>
        <v>322.8</v>
      </c>
      <c r="L740" s="4" t="n">
        <f aca="false">J740-K740</f>
        <v>251.1</v>
      </c>
    </row>
    <row r="741" customFormat="false" ht="15" hidden="false" customHeight="false" outlineLevel="0" collapsed="false">
      <c r="A741" s="0" t="n">
        <v>2401</v>
      </c>
      <c r="B741" s="2" t="n">
        <v>45614</v>
      </c>
      <c r="C741" s="3" t="s">
        <v>23</v>
      </c>
      <c r="D741" s="3" t="s">
        <v>17</v>
      </c>
      <c r="E741" s="3" t="s">
        <v>44</v>
      </c>
      <c r="F741" s="3" t="s">
        <v>25</v>
      </c>
      <c r="G741" s="0" t="n">
        <v>39</v>
      </c>
      <c r="H741" s="4" t="n">
        <v>497.23</v>
      </c>
      <c r="I741" s="4" t="n">
        <v>317.43</v>
      </c>
      <c r="J741" s="4" t="n">
        <f aca="false">G741*H741</f>
        <v>19391.97</v>
      </c>
      <c r="K741" s="4" t="n">
        <f aca="false">G741*I741</f>
        <v>12379.77</v>
      </c>
      <c r="L741" s="4" t="n">
        <f aca="false">J741-K741</f>
        <v>7012.2</v>
      </c>
    </row>
    <row r="742" customFormat="false" ht="15" hidden="false" customHeight="false" outlineLevel="0" collapsed="false">
      <c r="A742" s="0" t="n">
        <v>2781</v>
      </c>
      <c r="B742" s="2" t="n">
        <v>45614</v>
      </c>
      <c r="C742" s="3" t="s">
        <v>12</v>
      </c>
      <c r="D742" s="3" t="s">
        <v>17</v>
      </c>
      <c r="E742" s="3" t="s">
        <v>44</v>
      </c>
      <c r="F742" s="3" t="s">
        <v>15</v>
      </c>
      <c r="G742" s="0" t="n">
        <v>24</v>
      </c>
      <c r="H742" s="4" t="n">
        <v>236.91</v>
      </c>
      <c r="I742" s="4" t="n">
        <v>161.97</v>
      </c>
      <c r="J742" s="4" t="n">
        <f aca="false">G742*H742</f>
        <v>5685.84</v>
      </c>
      <c r="K742" s="4" t="n">
        <f aca="false">G742*I742</f>
        <v>3887.28</v>
      </c>
      <c r="L742" s="4" t="n">
        <f aca="false">J742-K742</f>
        <v>1798.56</v>
      </c>
    </row>
    <row r="743" customFormat="false" ht="15" hidden="false" customHeight="false" outlineLevel="0" collapsed="false">
      <c r="A743" s="0" t="n">
        <v>1633</v>
      </c>
      <c r="B743" s="2" t="n">
        <v>45616</v>
      </c>
      <c r="C743" s="3" t="s">
        <v>16</v>
      </c>
      <c r="D743" s="3" t="s">
        <v>20</v>
      </c>
      <c r="E743" s="3" t="s">
        <v>21</v>
      </c>
      <c r="F743" s="3" t="s">
        <v>39</v>
      </c>
      <c r="G743" s="0" t="n">
        <v>18</v>
      </c>
      <c r="H743" s="4" t="n">
        <v>220.39</v>
      </c>
      <c r="I743" s="4" t="n">
        <v>155.45</v>
      </c>
      <c r="J743" s="4" t="n">
        <f aca="false">G743*H743</f>
        <v>3967.02</v>
      </c>
      <c r="K743" s="4" t="n">
        <f aca="false">G743*I743</f>
        <v>2798.1</v>
      </c>
      <c r="L743" s="4" t="n">
        <f aca="false">J743-K743</f>
        <v>1168.92</v>
      </c>
    </row>
    <row r="744" customFormat="false" ht="15" hidden="false" customHeight="false" outlineLevel="0" collapsed="false">
      <c r="A744" s="0" t="n">
        <v>1703</v>
      </c>
      <c r="B744" s="2" t="n">
        <v>45616</v>
      </c>
      <c r="C744" s="3" t="s">
        <v>23</v>
      </c>
      <c r="D744" s="3" t="s">
        <v>29</v>
      </c>
      <c r="E744" s="3" t="s">
        <v>30</v>
      </c>
      <c r="F744" s="3" t="s">
        <v>25</v>
      </c>
      <c r="G744" s="0" t="n">
        <v>7</v>
      </c>
      <c r="H744" s="4" t="n">
        <v>156.72</v>
      </c>
      <c r="I744" s="4" t="n">
        <v>84.4</v>
      </c>
      <c r="J744" s="4" t="n">
        <f aca="false">G744*H744</f>
        <v>1097.04</v>
      </c>
      <c r="K744" s="4" t="n">
        <f aca="false">G744*I744</f>
        <v>590.8</v>
      </c>
      <c r="L744" s="4" t="n">
        <f aca="false">J744-K744</f>
        <v>506.24</v>
      </c>
    </row>
    <row r="745" customFormat="false" ht="15" hidden="false" customHeight="false" outlineLevel="0" collapsed="false">
      <c r="A745" s="0" t="n">
        <v>2060</v>
      </c>
      <c r="B745" s="2" t="n">
        <v>45616</v>
      </c>
      <c r="C745" s="3" t="s">
        <v>16</v>
      </c>
      <c r="D745" s="3" t="s">
        <v>17</v>
      </c>
      <c r="E745" s="3" t="s">
        <v>35</v>
      </c>
      <c r="F745" s="3" t="s">
        <v>39</v>
      </c>
      <c r="G745" s="0" t="n">
        <v>11</v>
      </c>
      <c r="H745" s="4" t="n">
        <v>854.21</v>
      </c>
      <c r="I745" s="4" t="n">
        <v>546.8</v>
      </c>
      <c r="J745" s="4" t="n">
        <f aca="false">G745*H745</f>
        <v>9396.31</v>
      </c>
      <c r="K745" s="4" t="n">
        <f aca="false">G745*I745</f>
        <v>6014.8</v>
      </c>
      <c r="L745" s="4" t="n">
        <f aca="false">J745-K745</f>
        <v>3381.51</v>
      </c>
    </row>
    <row r="746" customFormat="false" ht="15" hidden="false" customHeight="false" outlineLevel="0" collapsed="false">
      <c r="A746" s="0" t="n">
        <v>2524</v>
      </c>
      <c r="B746" s="2" t="n">
        <v>45616</v>
      </c>
      <c r="C746" s="3" t="s">
        <v>26</v>
      </c>
      <c r="D746" s="3" t="s">
        <v>17</v>
      </c>
      <c r="E746" s="3" t="s">
        <v>35</v>
      </c>
      <c r="F746" s="3" t="s">
        <v>15</v>
      </c>
      <c r="G746" s="0" t="n">
        <v>10</v>
      </c>
      <c r="H746" s="4" t="n">
        <v>645.59</v>
      </c>
      <c r="I746" s="4" t="n">
        <v>450.7</v>
      </c>
      <c r="J746" s="4" t="n">
        <f aca="false">G746*H746</f>
        <v>6455.9</v>
      </c>
      <c r="K746" s="4" t="n">
        <f aca="false">G746*I746</f>
        <v>4507</v>
      </c>
      <c r="L746" s="4" t="n">
        <f aca="false">J746-K746</f>
        <v>1948.9</v>
      </c>
    </row>
    <row r="747" customFormat="false" ht="15" hidden="false" customHeight="false" outlineLevel="0" collapsed="false">
      <c r="A747" s="0" t="n">
        <v>1521</v>
      </c>
      <c r="B747" s="2" t="n">
        <v>45617</v>
      </c>
      <c r="C747" s="3" t="s">
        <v>23</v>
      </c>
      <c r="D747" s="3" t="s">
        <v>20</v>
      </c>
      <c r="E747" s="3" t="s">
        <v>21</v>
      </c>
      <c r="F747" s="3" t="s">
        <v>36</v>
      </c>
      <c r="G747" s="0" t="n">
        <v>35</v>
      </c>
      <c r="H747" s="4" t="n">
        <v>175.52</v>
      </c>
      <c r="I747" s="4" t="n">
        <v>124.77</v>
      </c>
      <c r="J747" s="4" t="n">
        <f aca="false">G747*H747</f>
        <v>6143.2</v>
      </c>
      <c r="K747" s="4" t="n">
        <f aca="false">G747*I747</f>
        <v>4366.95</v>
      </c>
      <c r="L747" s="4" t="n">
        <f aca="false">J747-K747</f>
        <v>1776.25</v>
      </c>
    </row>
    <row r="748" customFormat="false" ht="15" hidden="false" customHeight="false" outlineLevel="0" collapsed="false">
      <c r="A748" s="0" t="n">
        <v>2726</v>
      </c>
      <c r="B748" s="2" t="n">
        <v>45617</v>
      </c>
      <c r="C748" s="3" t="s">
        <v>12</v>
      </c>
      <c r="D748" s="3" t="s">
        <v>13</v>
      </c>
      <c r="E748" s="3" t="s">
        <v>31</v>
      </c>
      <c r="F748" s="3" t="s">
        <v>15</v>
      </c>
      <c r="G748" s="0" t="n">
        <v>12</v>
      </c>
      <c r="H748" s="4" t="n">
        <v>54.63</v>
      </c>
      <c r="I748" s="4" t="n">
        <v>38.84</v>
      </c>
      <c r="J748" s="4" t="n">
        <f aca="false">G748*H748</f>
        <v>655.56</v>
      </c>
      <c r="K748" s="4" t="n">
        <f aca="false">G748*I748</f>
        <v>466.08</v>
      </c>
      <c r="L748" s="4" t="n">
        <f aca="false">J748-K748</f>
        <v>189.48</v>
      </c>
    </row>
    <row r="749" customFormat="false" ht="15" hidden="false" customHeight="false" outlineLevel="0" collapsed="false">
      <c r="A749" s="0" t="n">
        <v>1164</v>
      </c>
      <c r="B749" s="2" t="n">
        <v>45618</v>
      </c>
      <c r="C749" s="3" t="s">
        <v>32</v>
      </c>
      <c r="D749" s="3" t="s">
        <v>20</v>
      </c>
      <c r="E749" s="3" t="s">
        <v>34</v>
      </c>
      <c r="F749" s="3" t="s">
        <v>33</v>
      </c>
      <c r="G749" s="0" t="n">
        <v>33</v>
      </c>
      <c r="H749" s="4" t="n">
        <v>94.89</v>
      </c>
      <c r="I749" s="4" t="n">
        <v>53.33</v>
      </c>
      <c r="J749" s="4" t="n">
        <f aca="false">G749*H749</f>
        <v>3131.37</v>
      </c>
      <c r="K749" s="4" t="n">
        <f aca="false">G749*I749</f>
        <v>1759.89</v>
      </c>
      <c r="L749" s="4" t="n">
        <f aca="false">J749-K749</f>
        <v>1371.48</v>
      </c>
    </row>
    <row r="750" customFormat="false" ht="15" hidden="false" customHeight="false" outlineLevel="0" collapsed="false">
      <c r="A750" s="0" t="n">
        <v>1226</v>
      </c>
      <c r="B750" s="2" t="n">
        <v>45618</v>
      </c>
      <c r="C750" s="3" t="s">
        <v>32</v>
      </c>
      <c r="D750" s="3" t="s">
        <v>20</v>
      </c>
      <c r="E750" s="3" t="s">
        <v>34</v>
      </c>
      <c r="F750" s="3" t="s">
        <v>33</v>
      </c>
      <c r="G750" s="0" t="n">
        <v>25</v>
      </c>
      <c r="H750" s="4" t="n">
        <v>280.98</v>
      </c>
      <c r="I750" s="4" t="n">
        <v>154.52</v>
      </c>
      <c r="J750" s="4" t="n">
        <f aca="false">G750*H750</f>
        <v>7024.5</v>
      </c>
      <c r="K750" s="4" t="n">
        <f aca="false">G750*I750</f>
        <v>3863</v>
      </c>
      <c r="L750" s="4" t="n">
        <f aca="false">J750-K750</f>
        <v>3161.5</v>
      </c>
    </row>
    <row r="751" customFormat="false" ht="15" hidden="false" customHeight="false" outlineLevel="0" collapsed="false">
      <c r="A751" s="0" t="n">
        <v>1461</v>
      </c>
      <c r="B751" s="2" t="n">
        <v>45618</v>
      </c>
      <c r="C751" s="3" t="s">
        <v>16</v>
      </c>
      <c r="D751" s="3" t="s">
        <v>13</v>
      </c>
      <c r="E751" s="3" t="s">
        <v>31</v>
      </c>
      <c r="F751" s="3" t="s">
        <v>39</v>
      </c>
      <c r="G751" s="0" t="n">
        <v>10</v>
      </c>
      <c r="H751" s="4" t="n">
        <v>44.7</v>
      </c>
      <c r="I751" s="4" t="n">
        <v>29</v>
      </c>
      <c r="J751" s="4" t="n">
        <f aca="false">G751*H751</f>
        <v>447</v>
      </c>
      <c r="K751" s="4" t="n">
        <f aca="false">G751*I751</f>
        <v>290</v>
      </c>
      <c r="L751" s="4" t="n">
        <f aca="false">J751-K751</f>
        <v>157</v>
      </c>
    </row>
    <row r="752" customFormat="false" ht="15" hidden="false" customHeight="false" outlineLevel="0" collapsed="false">
      <c r="A752" s="0" t="n">
        <v>2613</v>
      </c>
      <c r="B752" s="2" t="n">
        <v>45618</v>
      </c>
      <c r="C752" s="3" t="s">
        <v>12</v>
      </c>
      <c r="D752" s="3" t="s">
        <v>13</v>
      </c>
      <c r="E752" s="3" t="s">
        <v>46</v>
      </c>
      <c r="F752" s="3" t="s">
        <v>22</v>
      </c>
      <c r="G752" s="0" t="n">
        <v>28</v>
      </c>
      <c r="H752" s="4" t="n">
        <v>51.85</v>
      </c>
      <c r="I752" s="4" t="n">
        <v>37.28</v>
      </c>
      <c r="J752" s="4" t="n">
        <f aca="false">G752*H752</f>
        <v>1451.8</v>
      </c>
      <c r="K752" s="4" t="n">
        <f aca="false">G752*I752</f>
        <v>1043.84</v>
      </c>
      <c r="L752" s="4" t="n">
        <f aca="false">J752-K752</f>
        <v>407.96</v>
      </c>
    </row>
    <row r="753" customFormat="false" ht="15" hidden="false" customHeight="false" outlineLevel="0" collapsed="false">
      <c r="A753" s="0" t="n">
        <v>1155</v>
      </c>
      <c r="B753" s="2" t="n">
        <v>45619</v>
      </c>
      <c r="C753" s="3" t="s">
        <v>32</v>
      </c>
      <c r="D753" s="3" t="s">
        <v>17</v>
      </c>
      <c r="E753" s="3" t="s">
        <v>35</v>
      </c>
      <c r="F753" s="3" t="s">
        <v>15</v>
      </c>
      <c r="G753" s="0" t="n">
        <v>20</v>
      </c>
      <c r="H753" s="4" t="n">
        <v>775.14</v>
      </c>
      <c r="I753" s="4" t="n">
        <v>541.38</v>
      </c>
      <c r="J753" s="4" t="n">
        <f aca="false">G753*H753</f>
        <v>15502.8</v>
      </c>
      <c r="K753" s="4" t="n">
        <f aca="false">G753*I753</f>
        <v>10827.6</v>
      </c>
      <c r="L753" s="4" t="n">
        <f aca="false">J753-K753</f>
        <v>4675.2</v>
      </c>
    </row>
    <row r="754" customFormat="false" ht="15" hidden="false" customHeight="false" outlineLevel="0" collapsed="false">
      <c r="A754" s="0" t="n">
        <v>2284</v>
      </c>
      <c r="B754" s="2" t="n">
        <v>45619</v>
      </c>
      <c r="C754" s="3" t="s">
        <v>32</v>
      </c>
      <c r="D754" s="3" t="s">
        <v>20</v>
      </c>
      <c r="E754" s="3" t="s">
        <v>21</v>
      </c>
      <c r="F754" s="3" t="s">
        <v>22</v>
      </c>
      <c r="G754" s="0" t="n">
        <v>33</v>
      </c>
      <c r="H754" s="4" t="n">
        <v>215.19</v>
      </c>
      <c r="I754" s="4" t="n">
        <v>137.19</v>
      </c>
      <c r="J754" s="4" t="n">
        <f aca="false">G754*H754</f>
        <v>7101.27</v>
      </c>
      <c r="K754" s="4" t="n">
        <f aca="false">G754*I754</f>
        <v>4527.27</v>
      </c>
      <c r="L754" s="4" t="n">
        <f aca="false">J754-K754</f>
        <v>2574</v>
      </c>
    </row>
    <row r="755" customFormat="false" ht="15" hidden="false" customHeight="false" outlineLevel="0" collapsed="false">
      <c r="A755" s="0" t="n">
        <v>2565</v>
      </c>
      <c r="B755" s="2" t="n">
        <v>45619</v>
      </c>
      <c r="C755" s="3" t="s">
        <v>32</v>
      </c>
      <c r="D755" s="3" t="s">
        <v>13</v>
      </c>
      <c r="E755" s="3" t="s">
        <v>45</v>
      </c>
      <c r="F755" s="3" t="s">
        <v>39</v>
      </c>
      <c r="G755" s="0" t="n">
        <v>19</v>
      </c>
      <c r="H755" s="4" t="n">
        <v>6.34</v>
      </c>
      <c r="I755" s="4" t="n">
        <v>4.6</v>
      </c>
      <c r="J755" s="4" t="n">
        <f aca="false">G755*H755</f>
        <v>120.46</v>
      </c>
      <c r="K755" s="4" t="n">
        <f aca="false">G755*I755</f>
        <v>87.4</v>
      </c>
      <c r="L755" s="4" t="n">
        <f aca="false">J755-K755</f>
        <v>33.06</v>
      </c>
    </row>
    <row r="756" customFormat="false" ht="15" hidden="false" customHeight="false" outlineLevel="0" collapsed="false">
      <c r="A756" s="0" t="n">
        <v>1314</v>
      </c>
      <c r="B756" s="2" t="n">
        <v>45620</v>
      </c>
      <c r="C756" s="3" t="s">
        <v>32</v>
      </c>
      <c r="D756" s="3" t="s">
        <v>20</v>
      </c>
      <c r="E756" s="3" t="s">
        <v>42</v>
      </c>
      <c r="F756" s="3" t="s">
        <v>39</v>
      </c>
      <c r="G756" s="0" t="n">
        <v>29</v>
      </c>
      <c r="H756" s="4" t="n">
        <v>232.66</v>
      </c>
      <c r="I756" s="4" t="n">
        <v>166.77</v>
      </c>
      <c r="J756" s="4" t="n">
        <f aca="false">G756*H756</f>
        <v>6747.14</v>
      </c>
      <c r="K756" s="4" t="n">
        <f aca="false">G756*I756</f>
        <v>4836.33</v>
      </c>
      <c r="L756" s="4" t="n">
        <f aca="false">J756-K756</f>
        <v>1910.81</v>
      </c>
    </row>
    <row r="757" customFormat="false" ht="15" hidden="false" customHeight="false" outlineLevel="0" collapsed="false">
      <c r="A757" s="0" t="n">
        <v>2161</v>
      </c>
      <c r="B757" s="2" t="n">
        <v>45620</v>
      </c>
      <c r="C757" s="3" t="s">
        <v>26</v>
      </c>
      <c r="D757" s="3" t="s">
        <v>17</v>
      </c>
      <c r="E757" s="3" t="s">
        <v>40</v>
      </c>
      <c r="F757" s="3" t="s">
        <v>22</v>
      </c>
      <c r="G757" s="0" t="n">
        <v>31</v>
      </c>
      <c r="H757" s="4" t="n">
        <v>88.75</v>
      </c>
      <c r="I757" s="4" t="n">
        <v>52.74</v>
      </c>
      <c r="J757" s="4" t="n">
        <f aca="false">G757*H757</f>
        <v>2751.25</v>
      </c>
      <c r="K757" s="4" t="n">
        <f aca="false">G757*I757</f>
        <v>1634.94</v>
      </c>
      <c r="L757" s="4" t="n">
        <f aca="false">J757-K757</f>
        <v>1116.31</v>
      </c>
    </row>
    <row r="758" customFormat="false" ht="15" hidden="false" customHeight="false" outlineLevel="0" collapsed="false">
      <c r="A758" s="0" t="n">
        <v>1073</v>
      </c>
      <c r="B758" s="2" t="n">
        <v>45622</v>
      </c>
      <c r="C758" s="3" t="s">
        <v>16</v>
      </c>
      <c r="D758" s="3" t="s">
        <v>29</v>
      </c>
      <c r="E758" s="3" t="s">
        <v>30</v>
      </c>
      <c r="F758" s="3" t="s">
        <v>25</v>
      </c>
      <c r="G758" s="0" t="n">
        <v>15</v>
      </c>
      <c r="H758" s="4" t="n">
        <v>321.58</v>
      </c>
      <c r="I758" s="4" t="n">
        <v>241.15</v>
      </c>
      <c r="J758" s="4" t="n">
        <f aca="false">G758*H758</f>
        <v>4823.7</v>
      </c>
      <c r="K758" s="4" t="n">
        <f aca="false">G758*I758</f>
        <v>3617.25</v>
      </c>
      <c r="L758" s="4" t="n">
        <f aca="false">J758-K758</f>
        <v>1206.45</v>
      </c>
    </row>
    <row r="759" customFormat="false" ht="15" hidden="false" customHeight="false" outlineLevel="0" collapsed="false">
      <c r="A759" s="0" t="n">
        <v>1719</v>
      </c>
      <c r="B759" s="2" t="n">
        <v>45622</v>
      </c>
      <c r="C759" s="3" t="s">
        <v>23</v>
      </c>
      <c r="D759" s="3" t="s">
        <v>20</v>
      </c>
      <c r="E759" s="3" t="s">
        <v>38</v>
      </c>
      <c r="F759" s="3" t="s">
        <v>25</v>
      </c>
      <c r="G759" s="0" t="n">
        <v>34</v>
      </c>
      <c r="H759" s="4" t="n">
        <v>267.46</v>
      </c>
      <c r="I759" s="4" t="n">
        <v>148.74</v>
      </c>
      <c r="J759" s="4" t="n">
        <f aca="false">G759*H759</f>
        <v>9093.64</v>
      </c>
      <c r="K759" s="4" t="n">
        <f aca="false">G759*I759</f>
        <v>5057.16</v>
      </c>
      <c r="L759" s="4" t="n">
        <f aca="false">J759-K759</f>
        <v>4036.48</v>
      </c>
    </row>
    <row r="760" customFormat="false" ht="15" hidden="false" customHeight="false" outlineLevel="0" collapsed="false">
      <c r="A760" s="0" t="n">
        <v>2150</v>
      </c>
      <c r="B760" s="2" t="n">
        <v>45622</v>
      </c>
      <c r="C760" s="3" t="s">
        <v>23</v>
      </c>
      <c r="D760" s="3" t="s">
        <v>13</v>
      </c>
      <c r="E760" s="3" t="s">
        <v>31</v>
      </c>
      <c r="F760" s="3" t="s">
        <v>39</v>
      </c>
      <c r="G760" s="0" t="n">
        <v>38</v>
      </c>
      <c r="H760" s="4" t="n">
        <v>21.62</v>
      </c>
      <c r="I760" s="4" t="n">
        <v>14.97</v>
      </c>
      <c r="J760" s="4" t="n">
        <f aca="false">G760*H760</f>
        <v>821.56</v>
      </c>
      <c r="K760" s="4" t="n">
        <f aca="false">G760*I760</f>
        <v>568.86</v>
      </c>
      <c r="L760" s="4" t="n">
        <f aca="false">J760-K760</f>
        <v>252.7</v>
      </c>
    </row>
    <row r="761" customFormat="false" ht="15" hidden="false" customHeight="false" outlineLevel="0" collapsed="false">
      <c r="A761" s="0" t="n">
        <v>1292</v>
      </c>
      <c r="B761" s="2" t="n">
        <v>45623</v>
      </c>
      <c r="C761" s="3" t="s">
        <v>26</v>
      </c>
      <c r="D761" s="3" t="s">
        <v>17</v>
      </c>
      <c r="E761" s="3" t="s">
        <v>44</v>
      </c>
      <c r="F761" s="3" t="s">
        <v>19</v>
      </c>
      <c r="G761" s="0" t="n">
        <v>8</v>
      </c>
      <c r="H761" s="4" t="n">
        <v>771.04</v>
      </c>
      <c r="I761" s="4" t="n">
        <v>567.09</v>
      </c>
      <c r="J761" s="4" t="n">
        <f aca="false">G761*H761</f>
        <v>6168.32</v>
      </c>
      <c r="K761" s="4" t="n">
        <f aca="false">G761*I761</f>
        <v>4536.72</v>
      </c>
      <c r="L761" s="4" t="n">
        <f aca="false">J761-K761</f>
        <v>1631.6</v>
      </c>
    </row>
    <row r="762" customFormat="false" ht="15" hidden="false" customHeight="false" outlineLevel="0" collapsed="false">
      <c r="A762" s="0" t="n">
        <v>1540</v>
      </c>
      <c r="B762" s="2" t="n">
        <v>45623</v>
      </c>
      <c r="C762" s="3" t="s">
        <v>32</v>
      </c>
      <c r="D762" s="3" t="s">
        <v>13</v>
      </c>
      <c r="E762" s="3" t="s">
        <v>45</v>
      </c>
      <c r="F762" s="3" t="s">
        <v>15</v>
      </c>
      <c r="G762" s="0" t="n">
        <v>4</v>
      </c>
      <c r="H762" s="4" t="n">
        <v>21.96</v>
      </c>
      <c r="I762" s="4" t="n">
        <v>12.43</v>
      </c>
      <c r="J762" s="4" t="n">
        <f aca="false">G762*H762</f>
        <v>87.84</v>
      </c>
      <c r="K762" s="4" t="n">
        <f aca="false">G762*I762</f>
        <v>49.72</v>
      </c>
      <c r="L762" s="4" t="n">
        <f aca="false">J762-K762</f>
        <v>38.12</v>
      </c>
    </row>
    <row r="763" customFormat="false" ht="15" hidden="false" customHeight="false" outlineLevel="0" collapsed="false">
      <c r="A763" s="0" t="n">
        <v>1705</v>
      </c>
      <c r="B763" s="2" t="n">
        <v>45623</v>
      </c>
      <c r="C763" s="3" t="s">
        <v>32</v>
      </c>
      <c r="D763" s="3" t="s">
        <v>20</v>
      </c>
      <c r="E763" s="3" t="s">
        <v>42</v>
      </c>
      <c r="F763" s="3" t="s">
        <v>22</v>
      </c>
      <c r="G763" s="0" t="n">
        <v>13</v>
      </c>
      <c r="H763" s="4" t="n">
        <v>162.41</v>
      </c>
      <c r="I763" s="4" t="n">
        <v>101.69</v>
      </c>
      <c r="J763" s="4" t="n">
        <f aca="false">G763*H763</f>
        <v>2111.33</v>
      </c>
      <c r="K763" s="4" t="n">
        <f aca="false">G763*I763</f>
        <v>1321.97</v>
      </c>
      <c r="L763" s="4" t="n">
        <f aca="false">J763-K763</f>
        <v>789.36</v>
      </c>
    </row>
    <row r="764" customFormat="false" ht="15" hidden="false" customHeight="false" outlineLevel="0" collapsed="false">
      <c r="A764" s="0" t="n">
        <v>2690</v>
      </c>
      <c r="B764" s="2" t="n">
        <v>45623</v>
      </c>
      <c r="C764" s="3" t="s">
        <v>16</v>
      </c>
      <c r="D764" s="3" t="s">
        <v>13</v>
      </c>
      <c r="E764" s="3" t="s">
        <v>45</v>
      </c>
      <c r="F764" s="3" t="s">
        <v>19</v>
      </c>
      <c r="G764" s="0" t="n">
        <v>38</v>
      </c>
      <c r="H764" s="4" t="n">
        <v>46.95</v>
      </c>
      <c r="I764" s="4" t="n">
        <v>26.19</v>
      </c>
      <c r="J764" s="4" t="n">
        <f aca="false">G764*H764</f>
        <v>1784.1</v>
      </c>
      <c r="K764" s="4" t="n">
        <f aca="false">G764*I764</f>
        <v>995.22</v>
      </c>
      <c r="L764" s="4" t="n">
        <f aca="false">J764-K764</f>
        <v>788.88</v>
      </c>
    </row>
    <row r="765" customFormat="false" ht="15" hidden="false" customHeight="false" outlineLevel="0" collapsed="false">
      <c r="A765" s="0" t="n">
        <v>1116</v>
      </c>
      <c r="B765" s="2" t="n">
        <v>45624</v>
      </c>
      <c r="C765" s="3" t="s">
        <v>16</v>
      </c>
      <c r="D765" s="3" t="s">
        <v>17</v>
      </c>
      <c r="E765" s="3" t="s">
        <v>27</v>
      </c>
      <c r="F765" s="3" t="s">
        <v>19</v>
      </c>
      <c r="G765" s="0" t="n">
        <v>11</v>
      </c>
      <c r="H765" s="4" t="n">
        <v>693.73</v>
      </c>
      <c r="I765" s="4" t="n">
        <v>420.4</v>
      </c>
      <c r="J765" s="4" t="n">
        <f aca="false">G765*H765</f>
        <v>7631.03</v>
      </c>
      <c r="K765" s="4" t="n">
        <f aca="false">G765*I765</f>
        <v>4624.4</v>
      </c>
      <c r="L765" s="4" t="n">
        <f aca="false">J765-K765</f>
        <v>3006.63</v>
      </c>
    </row>
    <row r="766" customFormat="false" ht="15" hidden="false" customHeight="false" outlineLevel="0" collapsed="false">
      <c r="A766" s="0" t="n">
        <v>1552</v>
      </c>
      <c r="B766" s="2" t="n">
        <v>45624</v>
      </c>
      <c r="C766" s="3" t="s">
        <v>26</v>
      </c>
      <c r="D766" s="3" t="s">
        <v>13</v>
      </c>
      <c r="E766" s="3" t="s">
        <v>31</v>
      </c>
      <c r="F766" s="3" t="s">
        <v>39</v>
      </c>
      <c r="G766" s="0" t="n">
        <v>3</v>
      </c>
      <c r="H766" s="4" t="n">
        <v>22.12</v>
      </c>
      <c r="I766" s="4" t="n">
        <v>13.36</v>
      </c>
      <c r="J766" s="4" t="n">
        <f aca="false">G766*H766</f>
        <v>66.36</v>
      </c>
      <c r="K766" s="4" t="n">
        <f aca="false">G766*I766</f>
        <v>40.08</v>
      </c>
      <c r="L766" s="4" t="n">
        <f aca="false">J766-K766</f>
        <v>26.28</v>
      </c>
    </row>
    <row r="767" customFormat="false" ht="15" hidden="false" customHeight="false" outlineLevel="0" collapsed="false">
      <c r="A767" s="0" t="n">
        <v>1218</v>
      </c>
      <c r="B767" s="2" t="n">
        <v>45626</v>
      </c>
      <c r="C767" s="3" t="s">
        <v>26</v>
      </c>
      <c r="D767" s="3" t="s">
        <v>29</v>
      </c>
      <c r="E767" s="3" t="s">
        <v>41</v>
      </c>
      <c r="F767" s="3" t="s">
        <v>28</v>
      </c>
      <c r="G767" s="0" t="n">
        <v>15</v>
      </c>
      <c r="H767" s="4" t="n">
        <v>261.38</v>
      </c>
      <c r="I767" s="4" t="n">
        <v>173.86</v>
      </c>
      <c r="J767" s="4" t="n">
        <f aca="false">G767*H767</f>
        <v>3920.7</v>
      </c>
      <c r="K767" s="4" t="n">
        <f aca="false">G767*I767</f>
        <v>2607.9</v>
      </c>
      <c r="L767" s="4" t="n">
        <f aca="false">J767-K767</f>
        <v>1312.8</v>
      </c>
    </row>
    <row r="768" customFormat="false" ht="15" hidden="false" customHeight="false" outlineLevel="0" collapsed="false">
      <c r="A768" s="0" t="n">
        <v>2328</v>
      </c>
      <c r="B768" s="2" t="n">
        <v>45626</v>
      </c>
      <c r="C768" s="3" t="s">
        <v>32</v>
      </c>
      <c r="D768" s="3" t="s">
        <v>20</v>
      </c>
      <c r="E768" s="3" t="s">
        <v>21</v>
      </c>
      <c r="F768" s="3" t="s">
        <v>36</v>
      </c>
      <c r="G768" s="0" t="n">
        <v>38</v>
      </c>
      <c r="H768" s="4" t="n">
        <v>205.08</v>
      </c>
      <c r="I768" s="4" t="n">
        <v>131.97</v>
      </c>
      <c r="J768" s="4" t="n">
        <f aca="false">G768*H768</f>
        <v>7793.04</v>
      </c>
      <c r="K768" s="4" t="n">
        <f aca="false">G768*I768</f>
        <v>5014.86</v>
      </c>
      <c r="L768" s="4" t="n">
        <f aca="false">J768-K768</f>
        <v>2778.18</v>
      </c>
    </row>
    <row r="769" customFormat="false" ht="15" hidden="false" customHeight="false" outlineLevel="0" collapsed="false">
      <c r="A769" s="0" t="n">
        <v>2604</v>
      </c>
      <c r="B769" s="2" t="n">
        <v>45626</v>
      </c>
      <c r="C769" s="3" t="s">
        <v>16</v>
      </c>
      <c r="D769" s="3" t="s">
        <v>13</v>
      </c>
      <c r="E769" s="3" t="s">
        <v>14</v>
      </c>
      <c r="F769" s="3" t="s">
        <v>36</v>
      </c>
      <c r="G769" s="0" t="n">
        <v>17</v>
      </c>
      <c r="H769" s="4" t="n">
        <v>38.14</v>
      </c>
      <c r="I769" s="4" t="n">
        <v>21.44</v>
      </c>
      <c r="J769" s="4" t="n">
        <f aca="false">G769*H769</f>
        <v>648.38</v>
      </c>
      <c r="K769" s="4" t="n">
        <f aca="false">G769*I769</f>
        <v>364.48</v>
      </c>
      <c r="L769" s="4" t="n">
        <f aca="false">J769-K769</f>
        <v>283.9</v>
      </c>
    </row>
    <row r="770" customFormat="false" ht="15" hidden="false" customHeight="false" outlineLevel="0" collapsed="false">
      <c r="A770" s="0" t="n">
        <v>2291</v>
      </c>
      <c r="B770" s="2" t="n">
        <v>45627</v>
      </c>
      <c r="C770" s="3" t="s">
        <v>23</v>
      </c>
      <c r="D770" s="3" t="s">
        <v>20</v>
      </c>
      <c r="E770" s="3" t="s">
        <v>34</v>
      </c>
      <c r="F770" s="3" t="s">
        <v>28</v>
      </c>
      <c r="G770" s="0" t="n">
        <v>31</v>
      </c>
      <c r="H770" s="4" t="n">
        <v>260.06</v>
      </c>
      <c r="I770" s="4" t="n">
        <v>146.19</v>
      </c>
      <c r="J770" s="4" t="n">
        <f aca="false">G770*H770</f>
        <v>8061.86</v>
      </c>
      <c r="K770" s="4" t="n">
        <f aca="false">G770*I770</f>
        <v>4531.89</v>
      </c>
      <c r="L770" s="4" t="n">
        <f aca="false">J770-K770</f>
        <v>3529.97</v>
      </c>
    </row>
    <row r="771" customFormat="false" ht="15" hidden="false" customHeight="false" outlineLevel="0" collapsed="false">
      <c r="A771" s="0" t="n">
        <v>1086</v>
      </c>
      <c r="B771" s="2" t="n">
        <v>45628</v>
      </c>
      <c r="C771" s="3" t="s">
        <v>16</v>
      </c>
      <c r="D771" s="3" t="s">
        <v>20</v>
      </c>
      <c r="E771" s="3" t="s">
        <v>38</v>
      </c>
      <c r="F771" s="3" t="s">
        <v>28</v>
      </c>
      <c r="G771" s="0" t="n">
        <v>35</v>
      </c>
      <c r="H771" s="4" t="n">
        <v>277.86</v>
      </c>
      <c r="I771" s="4" t="n">
        <v>208.22</v>
      </c>
      <c r="J771" s="4" t="n">
        <f aca="false">G771*H771</f>
        <v>9725.1</v>
      </c>
      <c r="K771" s="4" t="n">
        <f aca="false">G771*I771</f>
        <v>7287.7</v>
      </c>
      <c r="L771" s="4" t="n">
        <f aca="false">J771-K771</f>
        <v>2437.4</v>
      </c>
    </row>
    <row r="772" customFormat="false" ht="15" hidden="false" customHeight="false" outlineLevel="0" collapsed="false">
      <c r="A772" s="0" t="n">
        <v>1132</v>
      </c>
      <c r="B772" s="2" t="n">
        <v>45628</v>
      </c>
      <c r="C772" s="3" t="s">
        <v>12</v>
      </c>
      <c r="D772" s="3" t="s">
        <v>17</v>
      </c>
      <c r="E772" s="3" t="s">
        <v>18</v>
      </c>
      <c r="F772" s="3" t="s">
        <v>33</v>
      </c>
      <c r="G772" s="0" t="n">
        <v>2</v>
      </c>
      <c r="H772" s="4" t="n">
        <v>364.58</v>
      </c>
      <c r="I772" s="4" t="n">
        <v>226.61</v>
      </c>
      <c r="J772" s="4" t="n">
        <f aca="false">G772*H772</f>
        <v>729.16</v>
      </c>
      <c r="K772" s="4" t="n">
        <f aca="false">G772*I772</f>
        <v>453.22</v>
      </c>
      <c r="L772" s="4" t="n">
        <f aca="false">J772-K772</f>
        <v>275.94</v>
      </c>
    </row>
    <row r="773" customFormat="false" ht="15" hidden="false" customHeight="false" outlineLevel="0" collapsed="false">
      <c r="A773" s="0" t="n">
        <v>1712</v>
      </c>
      <c r="B773" s="2" t="n">
        <v>45628</v>
      </c>
      <c r="C773" s="3" t="s">
        <v>26</v>
      </c>
      <c r="D773" s="3" t="s">
        <v>13</v>
      </c>
      <c r="E773" s="3" t="s">
        <v>45</v>
      </c>
      <c r="F773" s="3" t="s">
        <v>28</v>
      </c>
      <c r="G773" s="0" t="n">
        <v>1</v>
      </c>
      <c r="H773" s="4" t="n">
        <v>41.34</v>
      </c>
      <c r="I773" s="4" t="n">
        <v>27.94</v>
      </c>
      <c r="J773" s="4" t="n">
        <f aca="false">G773*H773</f>
        <v>41.34</v>
      </c>
      <c r="K773" s="4" t="n">
        <f aca="false">G773*I773</f>
        <v>27.94</v>
      </c>
      <c r="L773" s="4" t="n">
        <f aca="false">J773-K773</f>
        <v>13.4</v>
      </c>
    </row>
    <row r="774" customFormat="false" ht="15" hidden="false" customHeight="false" outlineLevel="0" collapsed="false">
      <c r="A774" s="0" t="n">
        <v>1187</v>
      </c>
      <c r="B774" s="2" t="n">
        <v>45629</v>
      </c>
      <c r="C774" s="3" t="s">
        <v>32</v>
      </c>
      <c r="D774" s="3" t="s">
        <v>17</v>
      </c>
      <c r="E774" s="3" t="s">
        <v>40</v>
      </c>
      <c r="F774" s="3" t="s">
        <v>33</v>
      </c>
      <c r="G774" s="0" t="n">
        <v>16</v>
      </c>
      <c r="H774" s="4" t="n">
        <v>112.18</v>
      </c>
      <c r="I774" s="4" t="n">
        <v>70.18</v>
      </c>
      <c r="J774" s="4" t="n">
        <f aca="false">G774*H774</f>
        <v>1794.88</v>
      </c>
      <c r="K774" s="4" t="n">
        <f aca="false">G774*I774</f>
        <v>1122.88</v>
      </c>
      <c r="L774" s="4" t="n">
        <f aca="false">J774-K774</f>
        <v>672</v>
      </c>
    </row>
    <row r="775" customFormat="false" ht="15" hidden="false" customHeight="false" outlineLevel="0" collapsed="false">
      <c r="A775" s="0" t="n">
        <v>1225</v>
      </c>
      <c r="B775" s="2" t="n">
        <v>45629</v>
      </c>
      <c r="C775" s="3" t="s">
        <v>23</v>
      </c>
      <c r="D775" s="3" t="s">
        <v>29</v>
      </c>
      <c r="E775" s="3" t="s">
        <v>41</v>
      </c>
      <c r="F775" s="3" t="s">
        <v>19</v>
      </c>
      <c r="G775" s="0" t="n">
        <v>20</v>
      </c>
      <c r="H775" s="4" t="n">
        <v>164.36</v>
      </c>
      <c r="I775" s="4" t="n">
        <v>121.81</v>
      </c>
      <c r="J775" s="4" t="n">
        <f aca="false">G775*H775</f>
        <v>3287.2</v>
      </c>
      <c r="K775" s="4" t="n">
        <f aca="false">G775*I775</f>
        <v>2436.2</v>
      </c>
      <c r="L775" s="4" t="n">
        <f aca="false">J775-K775</f>
        <v>851.000000000001</v>
      </c>
    </row>
    <row r="776" customFormat="false" ht="15" hidden="false" customHeight="false" outlineLevel="0" collapsed="false">
      <c r="A776" s="0" t="n">
        <v>1987</v>
      </c>
      <c r="B776" s="2" t="n">
        <v>45629</v>
      </c>
      <c r="C776" s="3" t="s">
        <v>26</v>
      </c>
      <c r="D776" s="3" t="s">
        <v>13</v>
      </c>
      <c r="E776" s="3" t="s">
        <v>14</v>
      </c>
      <c r="F776" s="3" t="s">
        <v>25</v>
      </c>
      <c r="G776" s="0" t="n">
        <v>37</v>
      </c>
      <c r="H776" s="4" t="n">
        <v>43.08</v>
      </c>
      <c r="I776" s="4" t="n">
        <v>32.11</v>
      </c>
      <c r="J776" s="4" t="n">
        <f aca="false">G776*H776</f>
        <v>1593.96</v>
      </c>
      <c r="K776" s="4" t="n">
        <f aca="false">G776*I776</f>
        <v>1188.07</v>
      </c>
      <c r="L776" s="4" t="n">
        <f aca="false">J776-K776</f>
        <v>405.89</v>
      </c>
    </row>
    <row r="777" customFormat="false" ht="15" hidden="false" customHeight="false" outlineLevel="0" collapsed="false">
      <c r="A777" s="0" t="n">
        <v>2748</v>
      </c>
      <c r="B777" s="2" t="n">
        <v>45629</v>
      </c>
      <c r="C777" s="3" t="s">
        <v>23</v>
      </c>
      <c r="D777" s="3" t="s">
        <v>29</v>
      </c>
      <c r="E777" s="3" t="s">
        <v>30</v>
      </c>
      <c r="F777" s="3" t="s">
        <v>25</v>
      </c>
      <c r="G777" s="0" t="n">
        <v>37</v>
      </c>
      <c r="H777" s="4" t="n">
        <v>168.84</v>
      </c>
      <c r="I777" s="4" t="n">
        <v>107.51</v>
      </c>
      <c r="J777" s="4" t="n">
        <f aca="false">G777*H777</f>
        <v>6247.08</v>
      </c>
      <c r="K777" s="4" t="n">
        <f aca="false">G777*I777</f>
        <v>3977.87</v>
      </c>
      <c r="L777" s="4" t="n">
        <f aca="false">J777-K777</f>
        <v>2269.21</v>
      </c>
    </row>
    <row r="778" customFormat="false" ht="15" hidden="false" customHeight="false" outlineLevel="0" collapsed="false">
      <c r="A778" s="0" t="n">
        <v>1390</v>
      </c>
      <c r="B778" s="2" t="n">
        <v>45630</v>
      </c>
      <c r="C778" s="3" t="s">
        <v>26</v>
      </c>
      <c r="D778" s="3" t="s">
        <v>20</v>
      </c>
      <c r="E778" s="3" t="s">
        <v>21</v>
      </c>
      <c r="F778" s="3" t="s">
        <v>28</v>
      </c>
      <c r="G778" s="0" t="n">
        <v>14</v>
      </c>
      <c r="H778" s="4" t="n">
        <v>88.23</v>
      </c>
      <c r="I778" s="4" t="n">
        <v>46.94</v>
      </c>
      <c r="J778" s="4" t="n">
        <f aca="false">G778*H778</f>
        <v>1235.22</v>
      </c>
      <c r="K778" s="4" t="n">
        <f aca="false">G778*I778</f>
        <v>657.16</v>
      </c>
      <c r="L778" s="4" t="n">
        <f aca="false">J778-K778</f>
        <v>578.06</v>
      </c>
    </row>
    <row r="779" customFormat="false" ht="15" hidden="false" customHeight="false" outlineLevel="0" collapsed="false">
      <c r="A779" s="0" t="n">
        <v>1751</v>
      </c>
      <c r="B779" s="2" t="n">
        <v>45630</v>
      </c>
      <c r="C779" s="3" t="s">
        <v>16</v>
      </c>
      <c r="D779" s="3" t="s">
        <v>20</v>
      </c>
      <c r="E779" s="3" t="s">
        <v>21</v>
      </c>
      <c r="F779" s="3" t="s">
        <v>39</v>
      </c>
      <c r="G779" s="0" t="n">
        <v>26</v>
      </c>
      <c r="H779" s="4" t="n">
        <v>112.08</v>
      </c>
      <c r="I779" s="4" t="n">
        <v>82.99</v>
      </c>
      <c r="J779" s="4" t="n">
        <f aca="false">G779*H779</f>
        <v>2914.08</v>
      </c>
      <c r="K779" s="4" t="n">
        <f aca="false">G779*I779</f>
        <v>2157.74</v>
      </c>
      <c r="L779" s="4" t="n">
        <f aca="false">J779-K779</f>
        <v>756.34</v>
      </c>
    </row>
    <row r="780" customFormat="false" ht="15" hidden="false" customHeight="false" outlineLevel="0" collapsed="false">
      <c r="A780" s="0" t="n">
        <v>2576</v>
      </c>
      <c r="B780" s="2" t="n">
        <v>45630</v>
      </c>
      <c r="C780" s="3" t="s">
        <v>16</v>
      </c>
      <c r="D780" s="3" t="s">
        <v>17</v>
      </c>
      <c r="E780" s="3" t="s">
        <v>27</v>
      </c>
      <c r="F780" s="3" t="s">
        <v>25</v>
      </c>
      <c r="G780" s="0" t="n">
        <v>4</v>
      </c>
      <c r="H780" s="4" t="n">
        <v>435.42</v>
      </c>
      <c r="I780" s="4" t="n">
        <v>221.78</v>
      </c>
      <c r="J780" s="4" t="n">
        <f aca="false">G780*H780</f>
        <v>1741.68</v>
      </c>
      <c r="K780" s="4" t="n">
        <f aca="false">G780*I780</f>
        <v>887.12</v>
      </c>
      <c r="L780" s="4" t="n">
        <f aca="false">J780-K780</f>
        <v>854.56</v>
      </c>
    </row>
    <row r="781" customFormat="false" ht="15" hidden="false" customHeight="false" outlineLevel="0" collapsed="false">
      <c r="A781" s="0" t="n">
        <v>2687</v>
      </c>
      <c r="B781" s="2" t="n">
        <v>45630</v>
      </c>
      <c r="C781" s="3" t="s">
        <v>26</v>
      </c>
      <c r="D781" s="3" t="s">
        <v>17</v>
      </c>
      <c r="E781" s="3" t="s">
        <v>27</v>
      </c>
      <c r="F781" s="3" t="s">
        <v>22</v>
      </c>
      <c r="G781" s="0" t="n">
        <v>37</v>
      </c>
      <c r="H781" s="4" t="n">
        <v>93.46</v>
      </c>
      <c r="I781" s="4" t="n">
        <v>55.05</v>
      </c>
      <c r="J781" s="4" t="n">
        <f aca="false">G781*H781</f>
        <v>3458.02</v>
      </c>
      <c r="K781" s="4" t="n">
        <f aca="false">G781*I781</f>
        <v>2036.85</v>
      </c>
      <c r="L781" s="4" t="n">
        <f aca="false">J781-K781</f>
        <v>1421.17</v>
      </c>
    </row>
    <row r="782" customFormat="false" ht="15" hidden="false" customHeight="false" outlineLevel="0" collapsed="false">
      <c r="A782" s="0" t="n">
        <v>1283</v>
      </c>
      <c r="B782" s="2" t="n">
        <v>45631</v>
      </c>
      <c r="C782" s="3" t="s">
        <v>26</v>
      </c>
      <c r="D782" s="3" t="s">
        <v>17</v>
      </c>
      <c r="E782" s="3" t="s">
        <v>18</v>
      </c>
      <c r="F782" s="3" t="s">
        <v>22</v>
      </c>
      <c r="G782" s="0" t="n">
        <v>11</v>
      </c>
      <c r="H782" s="4" t="n">
        <v>836.27</v>
      </c>
      <c r="I782" s="4" t="n">
        <v>498.15</v>
      </c>
      <c r="J782" s="4" t="n">
        <f aca="false">G782*H782</f>
        <v>9198.97</v>
      </c>
      <c r="K782" s="4" t="n">
        <f aca="false">G782*I782</f>
        <v>5479.65</v>
      </c>
      <c r="L782" s="4" t="n">
        <f aca="false">J782-K782</f>
        <v>3719.32</v>
      </c>
    </row>
    <row r="783" customFormat="false" ht="15" hidden="false" customHeight="false" outlineLevel="0" collapsed="false">
      <c r="A783" s="0" t="n">
        <v>1367</v>
      </c>
      <c r="B783" s="2" t="n">
        <v>45631</v>
      </c>
      <c r="C783" s="3" t="s">
        <v>32</v>
      </c>
      <c r="D783" s="3" t="s">
        <v>29</v>
      </c>
      <c r="E783" s="3" t="s">
        <v>37</v>
      </c>
      <c r="F783" s="3" t="s">
        <v>28</v>
      </c>
      <c r="G783" s="0" t="n">
        <v>36</v>
      </c>
      <c r="H783" s="4" t="n">
        <v>83.7</v>
      </c>
      <c r="I783" s="4" t="n">
        <v>51.18</v>
      </c>
      <c r="J783" s="4" t="n">
        <f aca="false">G783*H783</f>
        <v>3013.2</v>
      </c>
      <c r="K783" s="4" t="n">
        <f aca="false">G783*I783</f>
        <v>1842.48</v>
      </c>
      <c r="L783" s="4" t="n">
        <f aca="false">J783-K783</f>
        <v>1170.72</v>
      </c>
    </row>
    <row r="784" customFormat="false" ht="15" hidden="false" customHeight="false" outlineLevel="0" collapsed="false">
      <c r="A784" s="0" t="n">
        <v>1775</v>
      </c>
      <c r="B784" s="2" t="n">
        <v>45631</v>
      </c>
      <c r="C784" s="3" t="s">
        <v>32</v>
      </c>
      <c r="D784" s="3" t="s">
        <v>13</v>
      </c>
      <c r="E784" s="3" t="s">
        <v>24</v>
      </c>
      <c r="F784" s="3" t="s">
        <v>22</v>
      </c>
      <c r="G784" s="0" t="n">
        <v>16</v>
      </c>
      <c r="H784" s="4" t="n">
        <v>42.69</v>
      </c>
      <c r="I784" s="4" t="n">
        <v>26.91</v>
      </c>
      <c r="J784" s="4" t="n">
        <f aca="false">G784*H784</f>
        <v>683.04</v>
      </c>
      <c r="K784" s="4" t="n">
        <f aca="false">G784*I784</f>
        <v>430.56</v>
      </c>
      <c r="L784" s="4" t="n">
        <f aca="false">J784-K784</f>
        <v>252.48</v>
      </c>
    </row>
    <row r="785" customFormat="false" ht="15" hidden="false" customHeight="false" outlineLevel="0" collapsed="false">
      <c r="A785" s="0" t="n">
        <v>1204</v>
      </c>
      <c r="B785" s="2" t="n">
        <v>45632</v>
      </c>
      <c r="C785" s="3" t="s">
        <v>32</v>
      </c>
      <c r="D785" s="3" t="s">
        <v>17</v>
      </c>
      <c r="E785" s="3" t="s">
        <v>44</v>
      </c>
      <c r="F785" s="3" t="s">
        <v>39</v>
      </c>
      <c r="G785" s="0" t="n">
        <v>8</v>
      </c>
      <c r="H785" s="4" t="n">
        <v>687.38</v>
      </c>
      <c r="I785" s="4" t="n">
        <v>464.63</v>
      </c>
      <c r="J785" s="4" t="n">
        <f aca="false">G785*H785</f>
        <v>5499.04</v>
      </c>
      <c r="K785" s="4" t="n">
        <f aca="false">G785*I785</f>
        <v>3717.04</v>
      </c>
      <c r="L785" s="4" t="n">
        <f aca="false">J785-K785</f>
        <v>1782</v>
      </c>
    </row>
    <row r="786" customFormat="false" ht="15" hidden="false" customHeight="false" outlineLevel="0" collapsed="false">
      <c r="A786" s="0" t="n">
        <v>2695</v>
      </c>
      <c r="B786" s="2" t="n">
        <v>45632</v>
      </c>
      <c r="C786" s="3" t="s">
        <v>16</v>
      </c>
      <c r="D786" s="3" t="s">
        <v>17</v>
      </c>
      <c r="E786" s="3" t="s">
        <v>35</v>
      </c>
      <c r="F786" s="3" t="s">
        <v>33</v>
      </c>
      <c r="G786" s="0" t="n">
        <v>37</v>
      </c>
      <c r="H786" s="4" t="n">
        <v>689.68</v>
      </c>
      <c r="I786" s="4" t="n">
        <v>361.08</v>
      </c>
      <c r="J786" s="4" t="n">
        <f aca="false">G786*H786</f>
        <v>25518.16</v>
      </c>
      <c r="K786" s="4" t="n">
        <f aca="false">G786*I786</f>
        <v>13359.96</v>
      </c>
      <c r="L786" s="4" t="n">
        <f aca="false">J786-K786</f>
        <v>12158.2</v>
      </c>
    </row>
    <row r="787" customFormat="false" ht="15" hidden="false" customHeight="false" outlineLevel="0" collapsed="false">
      <c r="A787" s="0" t="n">
        <v>1123</v>
      </c>
      <c r="B787" s="2" t="n">
        <v>45633</v>
      </c>
      <c r="C787" s="3" t="s">
        <v>12</v>
      </c>
      <c r="D787" s="3" t="s">
        <v>17</v>
      </c>
      <c r="E787" s="3" t="s">
        <v>35</v>
      </c>
      <c r="F787" s="3" t="s">
        <v>25</v>
      </c>
      <c r="G787" s="0" t="n">
        <v>34</v>
      </c>
      <c r="H787" s="4" t="n">
        <v>488.36</v>
      </c>
      <c r="I787" s="4" t="n">
        <v>344.17</v>
      </c>
      <c r="J787" s="4" t="n">
        <f aca="false">G787*H787</f>
        <v>16604.24</v>
      </c>
      <c r="K787" s="4" t="n">
        <f aca="false">G787*I787</f>
        <v>11701.78</v>
      </c>
      <c r="L787" s="4" t="n">
        <f aca="false">J787-K787</f>
        <v>4902.46</v>
      </c>
    </row>
    <row r="788" customFormat="false" ht="15" hidden="false" customHeight="false" outlineLevel="0" collapsed="false">
      <c r="A788" s="0" t="n">
        <v>1781</v>
      </c>
      <c r="B788" s="2" t="n">
        <v>45633</v>
      </c>
      <c r="C788" s="3" t="s">
        <v>12</v>
      </c>
      <c r="D788" s="3" t="s">
        <v>20</v>
      </c>
      <c r="E788" s="3" t="s">
        <v>34</v>
      </c>
      <c r="F788" s="3" t="s">
        <v>19</v>
      </c>
      <c r="G788" s="0" t="n">
        <v>13</v>
      </c>
      <c r="H788" s="4" t="n">
        <v>124.79</v>
      </c>
      <c r="I788" s="4" t="n">
        <v>75.02</v>
      </c>
      <c r="J788" s="4" t="n">
        <f aca="false">G788*H788</f>
        <v>1622.27</v>
      </c>
      <c r="K788" s="4" t="n">
        <f aca="false">G788*I788</f>
        <v>975.26</v>
      </c>
      <c r="L788" s="4" t="n">
        <f aca="false">J788-K788</f>
        <v>647.01</v>
      </c>
    </row>
    <row r="789" customFormat="false" ht="15" hidden="false" customHeight="false" outlineLevel="0" collapsed="false">
      <c r="A789" s="0" t="n">
        <v>2137</v>
      </c>
      <c r="B789" s="2" t="n">
        <v>45633</v>
      </c>
      <c r="C789" s="3" t="s">
        <v>32</v>
      </c>
      <c r="D789" s="3" t="s">
        <v>29</v>
      </c>
      <c r="E789" s="3" t="s">
        <v>41</v>
      </c>
      <c r="F789" s="3" t="s">
        <v>15</v>
      </c>
      <c r="G789" s="0" t="n">
        <v>28</v>
      </c>
      <c r="H789" s="4" t="n">
        <v>82.38</v>
      </c>
      <c r="I789" s="4" t="n">
        <v>42.33</v>
      </c>
      <c r="J789" s="4" t="n">
        <f aca="false">G789*H789</f>
        <v>2306.64</v>
      </c>
      <c r="K789" s="4" t="n">
        <f aca="false">G789*I789</f>
        <v>1185.24</v>
      </c>
      <c r="L789" s="4" t="n">
        <f aca="false">J789-K789</f>
        <v>1121.4</v>
      </c>
    </row>
    <row r="790" customFormat="false" ht="15" hidden="false" customHeight="false" outlineLevel="0" collapsed="false">
      <c r="A790" s="0" t="n">
        <v>2147</v>
      </c>
      <c r="B790" s="2" t="n">
        <v>45633</v>
      </c>
      <c r="C790" s="3" t="s">
        <v>26</v>
      </c>
      <c r="D790" s="3" t="s">
        <v>17</v>
      </c>
      <c r="E790" s="3" t="s">
        <v>35</v>
      </c>
      <c r="F790" s="3" t="s">
        <v>25</v>
      </c>
      <c r="G790" s="0" t="n">
        <v>36</v>
      </c>
      <c r="H790" s="4" t="n">
        <v>715.69</v>
      </c>
      <c r="I790" s="4" t="n">
        <v>373.54</v>
      </c>
      <c r="J790" s="4" t="n">
        <f aca="false">G790*H790</f>
        <v>25764.84</v>
      </c>
      <c r="K790" s="4" t="n">
        <f aca="false">G790*I790</f>
        <v>13447.44</v>
      </c>
      <c r="L790" s="4" t="n">
        <f aca="false">J790-K790</f>
        <v>12317.4</v>
      </c>
    </row>
    <row r="791" customFormat="false" ht="15" hidden="false" customHeight="false" outlineLevel="0" collapsed="false">
      <c r="A791" s="0" t="n">
        <v>1422</v>
      </c>
      <c r="B791" s="2" t="n">
        <v>45634</v>
      </c>
      <c r="C791" s="3" t="s">
        <v>32</v>
      </c>
      <c r="D791" s="3" t="s">
        <v>29</v>
      </c>
      <c r="E791" s="3" t="s">
        <v>43</v>
      </c>
      <c r="F791" s="3" t="s">
        <v>15</v>
      </c>
      <c r="G791" s="0" t="n">
        <v>23</v>
      </c>
      <c r="H791" s="4" t="n">
        <v>444.29</v>
      </c>
      <c r="I791" s="4" t="n">
        <v>244.24</v>
      </c>
      <c r="J791" s="4" t="n">
        <f aca="false">G791*H791</f>
        <v>10218.67</v>
      </c>
      <c r="K791" s="4" t="n">
        <f aca="false">G791*I791</f>
        <v>5617.52</v>
      </c>
      <c r="L791" s="4" t="n">
        <f aca="false">J791-K791</f>
        <v>4601.15</v>
      </c>
    </row>
    <row r="792" customFormat="false" ht="15" hidden="false" customHeight="false" outlineLevel="0" collapsed="false">
      <c r="A792" s="0" t="n">
        <v>1949</v>
      </c>
      <c r="B792" s="2" t="n">
        <v>45634</v>
      </c>
      <c r="C792" s="3" t="s">
        <v>26</v>
      </c>
      <c r="D792" s="3" t="s">
        <v>13</v>
      </c>
      <c r="E792" s="3" t="s">
        <v>31</v>
      </c>
      <c r="F792" s="3" t="s">
        <v>25</v>
      </c>
      <c r="G792" s="0" t="n">
        <v>11</v>
      </c>
      <c r="H792" s="4" t="n">
        <v>51.63</v>
      </c>
      <c r="I792" s="4" t="n">
        <v>33.34</v>
      </c>
      <c r="J792" s="4" t="n">
        <f aca="false">G792*H792</f>
        <v>567.93</v>
      </c>
      <c r="K792" s="4" t="n">
        <f aca="false">G792*I792</f>
        <v>366.74</v>
      </c>
      <c r="L792" s="4" t="n">
        <f aca="false">J792-K792</f>
        <v>201.19</v>
      </c>
    </row>
    <row r="793" customFormat="false" ht="15" hidden="false" customHeight="false" outlineLevel="0" collapsed="false">
      <c r="A793" s="0" t="n">
        <v>1267</v>
      </c>
      <c r="B793" s="2" t="n">
        <v>45635</v>
      </c>
      <c r="C793" s="3" t="s">
        <v>23</v>
      </c>
      <c r="D793" s="3" t="s">
        <v>29</v>
      </c>
      <c r="E793" s="3" t="s">
        <v>30</v>
      </c>
      <c r="F793" s="3" t="s">
        <v>15</v>
      </c>
      <c r="G793" s="0" t="n">
        <v>37</v>
      </c>
      <c r="H793" s="4" t="n">
        <v>294.53</v>
      </c>
      <c r="I793" s="4" t="n">
        <v>210.54</v>
      </c>
      <c r="J793" s="4" t="n">
        <f aca="false">G793*H793</f>
        <v>10897.61</v>
      </c>
      <c r="K793" s="4" t="n">
        <f aca="false">G793*I793</f>
        <v>7789.98</v>
      </c>
      <c r="L793" s="4" t="n">
        <f aca="false">J793-K793</f>
        <v>3107.63</v>
      </c>
    </row>
    <row r="794" customFormat="false" ht="15" hidden="false" customHeight="false" outlineLevel="0" collapsed="false">
      <c r="A794" s="0" t="n">
        <v>1274</v>
      </c>
      <c r="B794" s="2" t="n">
        <v>45635</v>
      </c>
      <c r="C794" s="3" t="s">
        <v>26</v>
      </c>
      <c r="D794" s="3" t="s">
        <v>20</v>
      </c>
      <c r="E794" s="3" t="s">
        <v>38</v>
      </c>
      <c r="F794" s="3" t="s">
        <v>25</v>
      </c>
      <c r="G794" s="0" t="n">
        <v>14</v>
      </c>
      <c r="H794" s="4" t="n">
        <v>36.77</v>
      </c>
      <c r="I794" s="4" t="n">
        <v>27.55</v>
      </c>
      <c r="J794" s="4" t="n">
        <f aca="false">G794*H794</f>
        <v>514.78</v>
      </c>
      <c r="K794" s="4" t="n">
        <f aca="false">G794*I794</f>
        <v>385.7</v>
      </c>
      <c r="L794" s="4" t="n">
        <f aca="false">J794-K794</f>
        <v>129.08</v>
      </c>
    </row>
    <row r="795" customFormat="false" ht="15" hidden="false" customHeight="false" outlineLevel="0" collapsed="false">
      <c r="A795" s="0" t="n">
        <v>1577</v>
      </c>
      <c r="B795" s="2" t="n">
        <v>45635</v>
      </c>
      <c r="C795" s="3" t="s">
        <v>23</v>
      </c>
      <c r="D795" s="3" t="s">
        <v>29</v>
      </c>
      <c r="E795" s="3" t="s">
        <v>43</v>
      </c>
      <c r="F795" s="3" t="s">
        <v>28</v>
      </c>
      <c r="G795" s="0" t="n">
        <v>38</v>
      </c>
      <c r="H795" s="4" t="n">
        <v>310.36</v>
      </c>
      <c r="I795" s="4" t="n">
        <v>199.19</v>
      </c>
      <c r="J795" s="4" t="n">
        <f aca="false">G795*H795</f>
        <v>11793.68</v>
      </c>
      <c r="K795" s="4" t="n">
        <f aca="false">G795*I795</f>
        <v>7569.22</v>
      </c>
      <c r="L795" s="4" t="n">
        <f aca="false">J795-K795</f>
        <v>4224.46</v>
      </c>
    </row>
    <row r="796" customFormat="false" ht="15" hidden="false" customHeight="false" outlineLevel="0" collapsed="false">
      <c r="A796" s="0" t="n">
        <v>1731</v>
      </c>
      <c r="B796" s="2" t="n">
        <v>45635</v>
      </c>
      <c r="C796" s="3" t="s">
        <v>16</v>
      </c>
      <c r="D796" s="3" t="s">
        <v>29</v>
      </c>
      <c r="E796" s="3" t="s">
        <v>41</v>
      </c>
      <c r="F796" s="3" t="s">
        <v>33</v>
      </c>
      <c r="G796" s="0" t="n">
        <v>11</v>
      </c>
      <c r="H796" s="4" t="n">
        <v>462.43</v>
      </c>
      <c r="I796" s="4" t="n">
        <v>337.57</v>
      </c>
      <c r="J796" s="4" t="n">
        <f aca="false">G796*H796</f>
        <v>5086.73</v>
      </c>
      <c r="K796" s="4" t="n">
        <f aca="false">G796*I796</f>
        <v>3713.27</v>
      </c>
      <c r="L796" s="4" t="n">
        <f aca="false">J796-K796</f>
        <v>1373.46</v>
      </c>
    </row>
    <row r="797" customFormat="false" ht="15" hidden="false" customHeight="false" outlineLevel="0" collapsed="false">
      <c r="A797" s="0" t="n">
        <v>2703</v>
      </c>
      <c r="B797" s="2" t="n">
        <v>45635</v>
      </c>
      <c r="C797" s="3" t="s">
        <v>26</v>
      </c>
      <c r="D797" s="3" t="s">
        <v>20</v>
      </c>
      <c r="E797" s="3" t="s">
        <v>38</v>
      </c>
      <c r="F797" s="3" t="s">
        <v>36</v>
      </c>
      <c r="G797" s="0" t="n">
        <v>13</v>
      </c>
      <c r="H797" s="4" t="n">
        <v>220.27</v>
      </c>
      <c r="I797" s="4" t="n">
        <v>142.89</v>
      </c>
      <c r="J797" s="4" t="n">
        <f aca="false">G797*H797</f>
        <v>2863.51</v>
      </c>
      <c r="K797" s="4" t="n">
        <f aca="false">G797*I797</f>
        <v>1857.57</v>
      </c>
      <c r="L797" s="4" t="n">
        <f aca="false">J797-K797</f>
        <v>1005.94</v>
      </c>
    </row>
    <row r="798" customFormat="false" ht="15" hidden="false" customHeight="false" outlineLevel="0" collapsed="false">
      <c r="A798" s="0" t="n">
        <v>1059</v>
      </c>
      <c r="B798" s="2" t="n">
        <v>45636</v>
      </c>
      <c r="C798" s="3" t="s">
        <v>26</v>
      </c>
      <c r="D798" s="3" t="s">
        <v>20</v>
      </c>
      <c r="E798" s="3" t="s">
        <v>38</v>
      </c>
      <c r="F798" s="3" t="s">
        <v>19</v>
      </c>
      <c r="G798" s="0" t="n">
        <v>32</v>
      </c>
      <c r="H798" s="4" t="n">
        <v>266.49</v>
      </c>
      <c r="I798" s="4" t="n">
        <v>179.96</v>
      </c>
      <c r="J798" s="4" t="n">
        <f aca="false">G798*H798</f>
        <v>8527.68</v>
      </c>
      <c r="K798" s="4" t="n">
        <f aca="false">G798*I798</f>
        <v>5758.72</v>
      </c>
      <c r="L798" s="4" t="n">
        <f aca="false">J798-K798</f>
        <v>2768.96</v>
      </c>
    </row>
    <row r="799" customFormat="false" ht="15" hidden="false" customHeight="false" outlineLevel="0" collapsed="false">
      <c r="A799" s="0" t="n">
        <v>1743</v>
      </c>
      <c r="B799" s="2" t="n">
        <v>45636</v>
      </c>
      <c r="C799" s="3" t="s">
        <v>23</v>
      </c>
      <c r="D799" s="3" t="s">
        <v>20</v>
      </c>
      <c r="E799" s="3" t="s">
        <v>21</v>
      </c>
      <c r="F799" s="3" t="s">
        <v>36</v>
      </c>
      <c r="G799" s="0" t="n">
        <v>27</v>
      </c>
      <c r="H799" s="4" t="n">
        <v>26.92</v>
      </c>
      <c r="I799" s="4" t="n">
        <v>16.43</v>
      </c>
      <c r="J799" s="4" t="n">
        <f aca="false">G799*H799</f>
        <v>726.84</v>
      </c>
      <c r="K799" s="4" t="n">
        <f aca="false">G799*I799</f>
        <v>443.61</v>
      </c>
      <c r="L799" s="4" t="n">
        <f aca="false">J799-K799</f>
        <v>283.23</v>
      </c>
    </row>
    <row r="800" customFormat="false" ht="15" hidden="false" customHeight="false" outlineLevel="0" collapsed="false">
      <c r="A800" s="0" t="n">
        <v>1313</v>
      </c>
      <c r="B800" s="2" t="n">
        <v>45637</v>
      </c>
      <c r="C800" s="3" t="s">
        <v>32</v>
      </c>
      <c r="D800" s="3" t="s">
        <v>29</v>
      </c>
      <c r="E800" s="3" t="s">
        <v>43</v>
      </c>
      <c r="F800" s="3" t="s">
        <v>28</v>
      </c>
      <c r="G800" s="0" t="n">
        <v>7</v>
      </c>
      <c r="H800" s="4" t="n">
        <v>206.2</v>
      </c>
      <c r="I800" s="4" t="n">
        <v>143</v>
      </c>
      <c r="J800" s="4" t="n">
        <f aca="false">G800*H800</f>
        <v>1443.4</v>
      </c>
      <c r="K800" s="4" t="n">
        <f aca="false">G800*I800</f>
        <v>1001</v>
      </c>
      <c r="L800" s="4" t="n">
        <f aca="false">J800-K800</f>
        <v>442.4</v>
      </c>
    </row>
    <row r="801" customFormat="false" ht="15" hidden="false" customHeight="false" outlineLevel="0" collapsed="false">
      <c r="A801" s="0" t="n">
        <v>1880</v>
      </c>
      <c r="B801" s="2" t="n">
        <v>45637</v>
      </c>
      <c r="C801" s="3" t="s">
        <v>23</v>
      </c>
      <c r="D801" s="3" t="s">
        <v>17</v>
      </c>
      <c r="E801" s="3" t="s">
        <v>40</v>
      </c>
      <c r="F801" s="3" t="s">
        <v>25</v>
      </c>
      <c r="G801" s="0" t="n">
        <v>10</v>
      </c>
      <c r="H801" s="4" t="n">
        <v>110.4</v>
      </c>
      <c r="I801" s="4" t="n">
        <v>59.63</v>
      </c>
      <c r="J801" s="4" t="n">
        <f aca="false">G801*H801</f>
        <v>1104</v>
      </c>
      <c r="K801" s="4" t="n">
        <f aca="false">G801*I801</f>
        <v>596.3</v>
      </c>
      <c r="L801" s="4" t="n">
        <f aca="false">J801-K801</f>
        <v>507.7</v>
      </c>
    </row>
    <row r="802" customFormat="false" ht="15" hidden="false" customHeight="false" outlineLevel="0" collapsed="false">
      <c r="A802" s="0" t="n">
        <v>2468</v>
      </c>
      <c r="B802" s="2" t="n">
        <v>45637</v>
      </c>
      <c r="C802" s="3" t="s">
        <v>12</v>
      </c>
      <c r="D802" s="3" t="s">
        <v>20</v>
      </c>
      <c r="E802" s="3" t="s">
        <v>21</v>
      </c>
      <c r="F802" s="3" t="s">
        <v>36</v>
      </c>
      <c r="G802" s="0" t="n">
        <v>28</v>
      </c>
      <c r="H802" s="4" t="n">
        <v>46.88</v>
      </c>
      <c r="I802" s="4" t="n">
        <v>32.19</v>
      </c>
      <c r="J802" s="4" t="n">
        <f aca="false">G802*H802</f>
        <v>1312.64</v>
      </c>
      <c r="K802" s="4" t="n">
        <f aca="false">G802*I802</f>
        <v>901.32</v>
      </c>
      <c r="L802" s="4" t="n">
        <f aca="false">J802-K802</f>
        <v>411.32</v>
      </c>
    </row>
    <row r="803" customFormat="false" ht="15" hidden="false" customHeight="false" outlineLevel="0" collapsed="false">
      <c r="A803" s="0" t="n">
        <v>1678</v>
      </c>
      <c r="B803" s="2" t="n">
        <v>45640</v>
      </c>
      <c r="C803" s="3" t="s">
        <v>32</v>
      </c>
      <c r="D803" s="3" t="s">
        <v>17</v>
      </c>
      <c r="E803" s="3" t="s">
        <v>35</v>
      </c>
      <c r="F803" s="3" t="s">
        <v>15</v>
      </c>
      <c r="G803" s="0" t="n">
        <v>10</v>
      </c>
      <c r="H803" s="4" t="n">
        <v>776.86</v>
      </c>
      <c r="I803" s="4" t="n">
        <v>398.22</v>
      </c>
      <c r="J803" s="4" t="n">
        <f aca="false">G803*H803</f>
        <v>7768.6</v>
      </c>
      <c r="K803" s="4" t="n">
        <f aca="false">G803*I803</f>
        <v>3982.2</v>
      </c>
      <c r="L803" s="4" t="n">
        <f aca="false">J803-K803</f>
        <v>3786.4</v>
      </c>
    </row>
    <row r="804" customFormat="false" ht="15" hidden="false" customHeight="false" outlineLevel="0" collapsed="false">
      <c r="A804" s="0" t="n">
        <v>2471</v>
      </c>
      <c r="B804" s="2" t="n">
        <v>45640</v>
      </c>
      <c r="C804" s="3" t="s">
        <v>32</v>
      </c>
      <c r="D804" s="3" t="s">
        <v>17</v>
      </c>
      <c r="E804" s="3" t="s">
        <v>18</v>
      </c>
      <c r="F804" s="3" t="s">
        <v>19</v>
      </c>
      <c r="G804" s="0" t="n">
        <v>28</v>
      </c>
      <c r="H804" s="4" t="n">
        <v>540.51</v>
      </c>
      <c r="I804" s="4" t="n">
        <v>346.11</v>
      </c>
      <c r="J804" s="4" t="n">
        <f aca="false">G804*H804</f>
        <v>15134.28</v>
      </c>
      <c r="K804" s="4" t="n">
        <f aca="false">G804*I804</f>
        <v>9691.08</v>
      </c>
      <c r="L804" s="4" t="n">
        <f aca="false">J804-K804</f>
        <v>5443.2</v>
      </c>
    </row>
    <row r="805" customFormat="false" ht="15" hidden="false" customHeight="false" outlineLevel="0" collapsed="false">
      <c r="A805" s="0" t="n">
        <v>1617</v>
      </c>
      <c r="B805" s="2" t="n">
        <v>45641</v>
      </c>
      <c r="C805" s="3" t="s">
        <v>23</v>
      </c>
      <c r="D805" s="3" t="s">
        <v>17</v>
      </c>
      <c r="E805" s="3" t="s">
        <v>18</v>
      </c>
      <c r="F805" s="3" t="s">
        <v>33</v>
      </c>
      <c r="G805" s="0" t="n">
        <v>23</v>
      </c>
      <c r="H805" s="4" t="n">
        <v>406.02</v>
      </c>
      <c r="I805" s="4" t="n">
        <v>234.69</v>
      </c>
      <c r="J805" s="4" t="n">
        <f aca="false">G805*H805</f>
        <v>9338.46</v>
      </c>
      <c r="K805" s="4" t="n">
        <f aca="false">G805*I805</f>
        <v>5397.87</v>
      </c>
      <c r="L805" s="4" t="n">
        <f aca="false">J805-K805</f>
        <v>3940.59</v>
      </c>
    </row>
    <row r="806" customFormat="false" ht="15" hidden="false" customHeight="false" outlineLevel="0" collapsed="false">
      <c r="A806" s="0" t="n">
        <v>1666</v>
      </c>
      <c r="B806" s="2" t="n">
        <v>45641</v>
      </c>
      <c r="C806" s="3" t="s">
        <v>12</v>
      </c>
      <c r="D806" s="3" t="s">
        <v>13</v>
      </c>
      <c r="E806" s="3" t="s">
        <v>24</v>
      </c>
      <c r="F806" s="3" t="s">
        <v>25</v>
      </c>
      <c r="G806" s="0" t="n">
        <v>39</v>
      </c>
      <c r="H806" s="4" t="n">
        <v>41.38</v>
      </c>
      <c r="I806" s="4" t="n">
        <v>24.78</v>
      </c>
      <c r="J806" s="4" t="n">
        <f aca="false">G806*H806</f>
        <v>1613.82</v>
      </c>
      <c r="K806" s="4" t="n">
        <f aca="false">G806*I806</f>
        <v>966.42</v>
      </c>
      <c r="L806" s="4" t="n">
        <f aca="false">J806-K806</f>
        <v>647.4</v>
      </c>
    </row>
    <row r="807" customFormat="false" ht="15" hidden="false" customHeight="false" outlineLevel="0" collapsed="false">
      <c r="A807" s="0" t="n">
        <v>2180</v>
      </c>
      <c r="B807" s="2" t="n">
        <v>45641</v>
      </c>
      <c r="C807" s="3" t="s">
        <v>32</v>
      </c>
      <c r="D807" s="3" t="s">
        <v>17</v>
      </c>
      <c r="E807" s="3" t="s">
        <v>18</v>
      </c>
      <c r="F807" s="3" t="s">
        <v>15</v>
      </c>
      <c r="G807" s="0" t="n">
        <v>8</v>
      </c>
      <c r="H807" s="4" t="n">
        <v>586.59</v>
      </c>
      <c r="I807" s="4" t="n">
        <v>420.22</v>
      </c>
      <c r="J807" s="4" t="n">
        <f aca="false">G807*H807</f>
        <v>4692.72</v>
      </c>
      <c r="K807" s="4" t="n">
        <f aca="false">G807*I807</f>
        <v>3361.76</v>
      </c>
      <c r="L807" s="4" t="n">
        <f aca="false">J807-K807</f>
        <v>1330.96</v>
      </c>
    </row>
    <row r="808" customFormat="false" ht="15" hidden="false" customHeight="false" outlineLevel="0" collapsed="false">
      <c r="A808" s="0" t="n">
        <v>1437</v>
      </c>
      <c r="B808" s="2" t="n">
        <v>45642</v>
      </c>
      <c r="C808" s="3" t="s">
        <v>23</v>
      </c>
      <c r="D808" s="3" t="s">
        <v>29</v>
      </c>
      <c r="E808" s="3" t="s">
        <v>41</v>
      </c>
      <c r="F808" s="3" t="s">
        <v>33</v>
      </c>
      <c r="G808" s="0" t="n">
        <v>30</v>
      </c>
      <c r="H808" s="4" t="n">
        <v>113.69</v>
      </c>
      <c r="I808" s="4" t="n">
        <v>61</v>
      </c>
      <c r="J808" s="4" t="n">
        <f aca="false">G808*H808</f>
        <v>3410.7</v>
      </c>
      <c r="K808" s="4" t="n">
        <f aca="false">G808*I808</f>
        <v>1830</v>
      </c>
      <c r="L808" s="4" t="n">
        <f aca="false">J808-K808</f>
        <v>1580.7</v>
      </c>
    </row>
    <row r="809" customFormat="false" ht="15" hidden="false" customHeight="false" outlineLevel="0" collapsed="false">
      <c r="A809" s="0" t="n">
        <v>1843</v>
      </c>
      <c r="B809" s="2" t="n">
        <v>45642</v>
      </c>
      <c r="C809" s="3" t="s">
        <v>23</v>
      </c>
      <c r="D809" s="3" t="s">
        <v>17</v>
      </c>
      <c r="E809" s="3" t="s">
        <v>18</v>
      </c>
      <c r="F809" s="3" t="s">
        <v>28</v>
      </c>
      <c r="G809" s="0" t="n">
        <v>19</v>
      </c>
      <c r="H809" s="4" t="n">
        <v>297.07</v>
      </c>
      <c r="I809" s="4" t="n">
        <v>202.69</v>
      </c>
      <c r="J809" s="4" t="n">
        <f aca="false">G809*H809</f>
        <v>5644.33</v>
      </c>
      <c r="K809" s="4" t="n">
        <f aca="false">G809*I809</f>
        <v>3851.11</v>
      </c>
      <c r="L809" s="4" t="n">
        <f aca="false">J809-K809</f>
        <v>1793.22</v>
      </c>
    </row>
    <row r="810" customFormat="false" ht="15" hidden="false" customHeight="false" outlineLevel="0" collapsed="false">
      <c r="A810" s="0" t="n">
        <v>2170</v>
      </c>
      <c r="B810" s="2" t="n">
        <v>45642</v>
      </c>
      <c r="C810" s="3" t="s">
        <v>16</v>
      </c>
      <c r="D810" s="3" t="s">
        <v>29</v>
      </c>
      <c r="E810" s="3" t="s">
        <v>30</v>
      </c>
      <c r="F810" s="3" t="s">
        <v>33</v>
      </c>
      <c r="G810" s="0" t="n">
        <v>28</v>
      </c>
      <c r="H810" s="4" t="n">
        <v>133.02</v>
      </c>
      <c r="I810" s="4" t="n">
        <v>81.72</v>
      </c>
      <c r="J810" s="4" t="n">
        <f aca="false">G810*H810</f>
        <v>3724.56</v>
      </c>
      <c r="K810" s="4" t="n">
        <f aca="false">G810*I810</f>
        <v>2288.16</v>
      </c>
      <c r="L810" s="4" t="n">
        <f aca="false">J810-K810</f>
        <v>1436.4</v>
      </c>
    </row>
    <row r="811" customFormat="false" ht="15" hidden="false" customHeight="false" outlineLevel="0" collapsed="false">
      <c r="A811" s="0" t="n">
        <v>1418</v>
      </c>
      <c r="B811" s="2" t="n">
        <v>45643</v>
      </c>
      <c r="C811" s="3" t="s">
        <v>32</v>
      </c>
      <c r="D811" s="3" t="s">
        <v>13</v>
      </c>
      <c r="E811" s="3" t="s">
        <v>14</v>
      </c>
      <c r="F811" s="3" t="s">
        <v>36</v>
      </c>
      <c r="G811" s="0" t="n">
        <v>14</v>
      </c>
      <c r="H811" s="4" t="n">
        <v>45.88</v>
      </c>
      <c r="I811" s="4" t="n">
        <v>28.11</v>
      </c>
      <c r="J811" s="4" t="n">
        <f aca="false">G811*H811</f>
        <v>642.32</v>
      </c>
      <c r="K811" s="4" t="n">
        <f aca="false">G811*I811</f>
        <v>393.54</v>
      </c>
      <c r="L811" s="4" t="n">
        <f aca="false">J811-K811</f>
        <v>248.78</v>
      </c>
    </row>
    <row r="812" customFormat="false" ht="15" hidden="false" customHeight="false" outlineLevel="0" collapsed="false">
      <c r="A812" s="0" t="n">
        <v>1920</v>
      </c>
      <c r="B812" s="2" t="n">
        <v>45643</v>
      </c>
      <c r="C812" s="3" t="s">
        <v>32</v>
      </c>
      <c r="D812" s="3" t="s">
        <v>20</v>
      </c>
      <c r="E812" s="3" t="s">
        <v>42</v>
      </c>
      <c r="F812" s="3" t="s">
        <v>19</v>
      </c>
      <c r="G812" s="0" t="n">
        <v>34</v>
      </c>
      <c r="H812" s="4" t="n">
        <v>28.28</v>
      </c>
      <c r="I812" s="4" t="n">
        <v>14.3</v>
      </c>
      <c r="J812" s="4" t="n">
        <f aca="false">G812*H812</f>
        <v>961.52</v>
      </c>
      <c r="K812" s="4" t="n">
        <f aca="false">G812*I812</f>
        <v>486.2</v>
      </c>
      <c r="L812" s="4" t="n">
        <f aca="false">J812-K812</f>
        <v>475.32</v>
      </c>
    </row>
    <row r="813" customFormat="false" ht="15" hidden="false" customHeight="false" outlineLevel="0" collapsed="false">
      <c r="A813" s="0" t="n">
        <v>2712</v>
      </c>
      <c r="B813" s="2" t="n">
        <v>45643</v>
      </c>
      <c r="C813" s="3" t="s">
        <v>16</v>
      </c>
      <c r="D813" s="3" t="s">
        <v>29</v>
      </c>
      <c r="E813" s="3" t="s">
        <v>43</v>
      </c>
      <c r="F813" s="3" t="s">
        <v>19</v>
      </c>
      <c r="G813" s="0" t="n">
        <v>7</v>
      </c>
      <c r="H813" s="4" t="n">
        <v>347.22</v>
      </c>
      <c r="I813" s="4" t="n">
        <v>219.95</v>
      </c>
      <c r="J813" s="4" t="n">
        <f aca="false">G813*H813</f>
        <v>2430.54</v>
      </c>
      <c r="K813" s="4" t="n">
        <f aca="false">G813*I813</f>
        <v>1539.65</v>
      </c>
      <c r="L813" s="4" t="n">
        <f aca="false">J813-K813</f>
        <v>890.89</v>
      </c>
    </row>
    <row r="814" customFormat="false" ht="15" hidden="false" customHeight="false" outlineLevel="0" collapsed="false">
      <c r="A814" s="0" t="n">
        <v>1432</v>
      </c>
      <c r="B814" s="2" t="n">
        <v>45644</v>
      </c>
      <c r="C814" s="3" t="s">
        <v>32</v>
      </c>
      <c r="D814" s="3" t="s">
        <v>20</v>
      </c>
      <c r="E814" s="3" t="s">
        <v>42</v>
      </c>
      <c r="F814" s="3" t="s">
        <v>28</v>
      </c>
      <c r="G814" s="0" t="n">
        <v>31</v>
      </c>
      <c r="H814" s="4" t="n">
        <v>187.16</v>
      </c>
      <c r="I814" s="4" t="n">
        <v>130.86</v>
      </c>
      <c r="J814" s="4" t="n">
        <f aca="false">G814*H814</f>
        <v>5801.96</v>
      </c>
      <c r="K814" s="4" t="n">
        <f aca="false">G814*I814</f>
        <v>4056.66</v>
      </c>
      <c r="L814" s="4" t="n">
        <f aca="false">J814-K814</f>
        <v>1745.3</v>
      </c>
    </row>
    <row r="815" customFormat="false" ht="15" hidden="false" customHeight="false" outlineLevel="0" collapsed="false">
      <c r="A815" s="0" t="n">
        <v>1581</v>
      </c>
      <c r="B815" s="2" t="n">
        <v>45644</v>
      </c>
      <c r="C815" s="3" t="s">
        <v>12</v>
      </c>
      <c r="D815" s="3" t="s">
        <v>29</v>
      </c>
      <c r="E815" s="3" t="s">
        <v>41</v>
      </c>
      <c r="F815" s="3" t="s">
        <v>19</v>
      </c>
      <c r="G815" s="0" t="n">
        <v>35</v>
      </c>
      <c r="H815" s="4" t="n">
        <v>249.92</v>
      </c>
      <c r="I815" s="4" t="n">
        <v>134.04</v>
      </c>
      <c r="J815" s="4" t="n">
        <f aca="false">G815*H815</f>
        <v>8747.2</v>
      </c>
      <c r="K815" s="4" t="n">
        <f aca="false">G815*I815</f>
        <v>4691.4</v>
      </c>
      <c r="L815" s="4" t="n">
        <f aca="false">J815-K815</f>
        <v>4055.8</v>
      </c>
    </row>
    <row r="816" customFormat="false" ht="15" hidden="false" customHeight="false" outlineLevel="0" collapsed="false">
      <c r="A816" s="0" t="n">
        <v>2055</v>
      </c>
      <c r="B816" s="2" t="n">
        <v>45645</v>
      </c>
      <c r="C816" s="3" t="s">
        <v>26</v>
      </c>
      <c r="D816" s="3" t="s">
        <v>13</v>
      </c>
      <c r="E816" s="3" t="s">
        <v>31</v>
      </c>
      <c r="F816" s="3" t="s">
        <v>15</v>
      </c>
      <c r="G816" s="0" t="n">
        <v>28</v>
      </c>
      <c r="H816" s="4" t="n">
        <v>20.43</v>
      </c>
      <c r="I816" s="4" t="n">
        <v>11.52</v>
      </c>
      <c r="J816" s="4" t="n">
        <f aca="false">G816*H816</f>
        <v>572.04</v>
      </c>
      <c r="K816" s="4" t="n">
        <f aca="false">G816*I816</f>
        <v>322.56</v>
      </c>
      <c r="L816" s="4" t="n">
        <f aca="false">J816-K816</f>
        <v>249.48</v>
      </c>
    </row>
    <row r="817" customFormat="false" ht="15" hidden="false" customHeight="false" outlineLevel="0" collapsed="false">
      <c r="A817" s="0" t="n">
        <v>2104</v>
      </c>
      <c r="B817" s="2" t="n">
        <v>45645</v>
      </c>
      <c r="C817" s="3" t="s">
        <v>26</v>
      </c>
      <c r="D817" s="3" t="s">
        <v>13</v>
      </c>
      <c r="E817" s="3" t="s">
        <v>46</v>
      </c>
      <c r="F817" s="3" t="s">
        <v>33</v>
      </c>
      <c r="G817" s="0" t="n">
        <v>20</v>
      </c>
      <c r="H817" s="4" t="n">
        <v>20.97</v>
      </c>
      <c r="I817" s="4" t="n">
        <v>13.76</v>
      </c>
      <c r="J817" s="4" t="n">
        <f aca="false">G817*H817</f>
        <v>419.4</v>
      </c>
      <c r="K817" s="4" t="n">
        <f aca="false">G817*I817</f>
        <v>275.2</v>
      </c>
      <c r="L817" s="4" t="n">
        <f aca="false">J817-K817</f>
        <v>144.2</v>
      </c>
    </row>
    <row r="818" customFormat="false" ht="15" hidden="false" customHeight="false" outlineLevel="0" collapsed="false">
      <c r="A818" s="0" t="n">
        <v>2537</v>
      </c>
      <c r="B818" s="2" t="n">
        <v>45645</v>
      </c>
      <c r="C818" s="3" t="s">
        <v>26</v>
      </c>
      <c r="D818" s="3" t="s">
        <v>13</v>
      </c>
      <c r="E818" s="3" t="s">
        <v>14</v>
      </c>
      <c r="F818" s="3" t="s">
        <v>36</v>
      </c>
      <c r="G818" s="0" t="n">
        <v>34</v>
      </c>
      <c r="H818" s="4" t="n">
        <v>40.91</v>
      </c>
      <c r="I818" s="4" t="n">
        <v>24.04</v>
      </c>
      <c r="J818" s="4" t="n">
        <f aca="false">G818*H818</f>
        <v>1390.94</v>
      </c>
      <c r="K818" s="4" t="n">
        <f aca="false">G818*I818</f>
        <v>817.36</v>
      </c>
      <c r="L818" s="4" t="n">
        <f aca="false">J818-K818</f>
        <v>573.58</v>
      </c>
    </row>
    <row r="819" customFormat="false" ht="15" hidden="false" customHeight="false" outlineLevel="0" collapsed="false">
      <c r="A819" s="0" t="n">
        <v>1196</v>
      </c>
      <c r="B819" s="2" t="n">
        <v>45646</v>
      </c>
      <c r="C819" s="3" t="s">
        <v>12</v>
      </c>
      <c r="D819" s="3" t="s">
        <v>29</v>
      </c>
      <c r="E819" s="3" t="s">
        <v>37</v>
      </c>
      <c r="F819" s="3" t="s">
        <v>25</v>
      </c>
      <c r="G819" s="0" t="n">
        <v>3</v>
      </c>
      <c r="H819" s="4" t="n">
        <v>401.74</v>
      </c>
      <c r="I819" s="4" t="n">
        <v>202.44</v>
      </c>
      <c r="J819" s="4" t="n">
        <f aca="false">G819*H819</f>
        <v>1205.22</v>
      </c>
      <c r="K819" s="4" t="n">
        <f aca="false">G819*I819</f>
        <v>607.32</v>
      </c>
      <c r="L819" s="4" t="n">
        <f aca="false">J819-K819</f>
        <v>597.9</v>
      </c>
    </row>
    <row r="820" customFormat="false" ht="15" hidden="false" customHeight="false" outlineLevel="0" collapsed="false">
      <c r="A820" s="0" t="n">
        <v>1444</v>
      </c>
      <c r="B820" s="2" t="n">
        <v>45647</v>
      </c>
      <c r="C820" s="3" t="s">
        <v>23</v>
      </c>
      <c r="D820" s="3" t="s">
        <v>13</v>
      </c>
      <c r="E820" s="3" t="s">
        <v>45</v>
      </c>
      <c r="F820" s="3" t="s">
        <v>36</v>
      </c>
      <c r="G820" s="0" t="n">
        <v>23</v>
      </c>
      <c r="H820" s="4" t="n">
        <v>17.29</v>
      </c>
      <c r="I820" s="4" t="n">
        <v>11.06</v>
      </c>
      <c r="J820" s="4" t="n">
        <f aca="false">G820*H820</f>
        <v>397.67</v>
      </c>
      <c r="K820" s="4" t="n">
        <f aca="false">G820*I820</f>
        <v>254.38</v>
      </c>
      <c r="L820" s="4" t="n">
        <f aca="false">J820-K820</f>
        <v>143.29</v>
      </c>
    </row>
    <row r="821" customFormat="false" ht="15" hidden="false" customHeight="false" outlineLevel="0" collapsed="false">
      <c r="A821" s="0" t="n">
        <v>2676</v>
      </c>
      <c r="B821" s="2" t="n">
        <v>45647</v>
      </c>
      <c r="C821" s="3" t="s">
        <v>16</v>
      </c>
      <c r="D821" s="3" t="s">
        <v>29</v>
      </c>
      <c r="E821" s="3" t="s">
        <v>41</v>
      </c>
      <c r="F821" s="3" t="s">
        <v>33</v>
      </c>
      <c r="G821" s="0" t="n">
        <v>3</v>
      </c>
      <c r="H821" s="4" t="n">
        <v>430.6</v>
      </c>
      <c r="I821" s="4" t="n">
        <v>262.98</v>
      </c>
      <c r="J821" s="4" t="n">
        <f aca="false">G821*H821</f>
        <v>1291.8</v>
      </c>
      <c r="K821" s="4" t="n">
        <f aca="false">G821*I821</f>
        <v>788.94</v>
      </c>
      <c r="L821" s="4" t="n">
        <f aca="false">J821-K821</f>
        <v>502.86</v>
      </c>
    </row>
    <row r="822" customFormat="false" ht="15" hidden="false" customHeight="false" outlineLevel="0" collapsed="false">
      <c r="A822" s="0" t="n">
        <v>1460</v>
      </c>
      <c r="B822" s="2" t="n">
        <v>45648</v>
      </c>
      <c r="C822" s="3" t="s">
        <v>23</v>
      </c>
      <c r="D822" s="3" t="s">
        <v>20</v>
      </c>
      <c r="E822" s="3" t="s">
        <v>42</v>
      </c>
      <c r="F822" s="3" t="s">
        <v>39</v>
      </c>
      <c r="G822" s="0" t="n">
        <v>39</v>
      </c>
      <c r="H822" s="4" t="n">
        <v>35.16</v>
      </c>
      <c r="I822" s="4" t="n">
        <v>22.19</v>
      </c>
      <c r="J822" s="4" t="n">
        <f aca="false">G822*H822</f>
        <v>1371.24</v>
      </c>
      <c r="K822" s="4" t="n">
        <f aca="false">G822*I822</f>
        <v>865.41</v>
      </c>
      <c r="L822" s="4" t="n">
        <f aca="false">J822-K822</f>
        <v>505.83</v>
      </c>
    </row>
    <row r="823" customFormat="false" ht="15" hidden="false" customHeight="false" outlineLevel="0" collapsed="false">
      <c r="A823" s="0" t="n">
        <v>1465</v>
      </c>
      <c r="B823" s="2" t="n">
        <v>45648</v>
      </c>
      <c r="C823" s="3" t="s">
        <v>12</v>
      </c>
      <c r="D823" s="3" t="s">
        <v>29</v>
      </c>
      <c r="E823" s="3" t="s">
        <v>43</v>
      </c>
      <c r="F823" s="3" t="s">
        <v>22</v>
      </c>
      <c r="G823" s="0" t="n">
        <v>20</v>
      </c>
      <c r="H823" s="4" t="n">
        <v>425.07</v>
      </c>
      <c r="I823" s="4" t="n">
        <v>278.76</v>
      </c>
      <c r="J823" s="4" t="n">
        <f aca="false">G823*H823</f>
        <v>8501.4</v>
      </c>
      <c r="K823" s="4" t="n">
        <f aca="false">G823*I823</f>
        <v>5575.2</v>
      </c>
      <c r="L823" s="4" t="n">
        <f aca="false">J823-K823</f>
        <v>2926.2</v>
      </c>
    </row>
    <row r="824" customFormat="false" ht="15" hidden="false" customHeight="false" outlineLevel="0" collapsed="false">
      <c r="A824" s="0" t="n">
        <v>2679</v>
      </c>
      <c r="B824" s="2" t="n">
        <v>45648</v>
      </c>
      <c r="C824" s="3" t="s">
        <v>12</v>
      </c>
      <c r="D824" s="3" t="s">
        <v>17</v>
      </c>
      <c r="E824" s="3" t="s">
        <v>44</v>
      </c>
      <c r="F824" s="3" t="s">
        <v>36</v>
      </c>
      <c r="G824" s="0" t="n">
        <v>3</v>
      </c>
      <c r="H824" s="4" t="n">
        <v>485.45</v>
      </c>
      <c r="I824" s="4" t="n">
        <v>308.6</v>
      </c>
      <c r="J824" s="4" t="n">
        <f aca="false">G824*H824</f>
        <v>1456.35</v>
      </c>
      <c r="K824" s="4" t="n">
        <f aca="false">G824*I824</f>
        <v>925.8</v>
      </c>
      <c r="L824" s="4" t="n">
        <f aca="false">J824-K824</f>
        <v>530.55</v>
      </c>
    </row>
    <row r="825" customFormat="false" ht="15" hidden="false" customHeight="false" outlineLevel="0" collapsed="false">
      <c r="A825" s="0" t="n">
        <v>1093</v>
      </c>
      <c r="B825" s="2" t="n">
        <v>45652</v>
      </c>
      <c r="C825" s="3" t="s">
        <v>12</v>
      </c>
      <c r="D825" s="3" t="s">
        <v>13</v>
      </c>
      <c r="E825" s="3" t="s">
        <v>46</v>
      </c>
      <c r="F825" s="3" t="s">
        <v>15</v>
      </c>
      <c r="G825" s="0" t="n">
        <v>9</v>
      </c>
      <c r="H825" s="4" t="n">
        <v>54.49</v>
      </c>
      <c r="I825" s="4" t="n">
        <v>33.25</v>
      </c>
      <c r="J825" s="4" t="n">
        <f aca="false">G825*H825</f>
        <v>490.41</v>
      </c>
      <c r="K825" s="4" t="n">
        <f aca="false">G825*I825</f>
        <v>299.25</v>
      </c>
      <c r="L825" s="4" t="n">
        <f aca="false">J825-K825</f>
        <v>191.16</v>
      </c>
    </row>
    <row r="826" customFormat="false" ht="15" hidden="false" customHeight="false" outlineLevel="0" collapsed="false">
      <c r="A826" s="0" t="n">
        <v>1290</v>
      </c>
      <c r="B826" s="2" t="n">
        <v>45652</v>
      </c>
      <c r="C826" s="3" t="s">
        <v>16</v>
      </c>
      <c r="D826" s="3" t="s">
        <v>13</v>
      </c>
      <c r="E826" s="3" t="s">
        <v>46</v>
      </c>
      <c r="F826" s="3" t="s">
        <v>39</v>
      </c>
      <c r="G826" s="0" t="n">
        <v>32</v>
      </c>
      <c r="H826" s="4" t="n">
        <v>13.01</v>
      </c>
      <c r="I826" s="4" t="n">
        <v>8.46</v>
      </c>
      <c r="J826" s="4" t="n">
        <f aca="false">G826*H826</f>
        <v>416.32</v>
      </c>
      <c r="K826" s="4" t="n">
        <f aca="false">G826*I826</f>
        <v>270.72</v>
      </c>
      <c r="L826" s="4" t="n">
        <f aca="false">J826-K826</f>
        <v>145.6</v>
      </c>
    </row>
    <row r="827" customFormat="false" ht="15" hidden="false" customHeight="false" outlineLevel="0" collapsed="false">
      <c r="A827" s="0" t="n">
        <v>1150</v>
      </c>
      <c r="B827" s="2" t="n">
        <v>45653</v>
      </c>
      <c r="C827" s="3" t="s">
        <v>16</v>
      </c>
      <c r="D827" s="3" t="s">
        <v>20</v>
      </c>
      <c r="E827" s="3" t="s">
        <v>38</v>
      </c>
      <c r="F827" s="3" t="s">
        <v>22</v>
      </c>
      <c r="G827" s="0" t="n">
        <v>5</v>
      </c>
      <c r="H827" s="4" t="n">
        <v>229.97</v>
      </c>
      <c r="I827" s="4" t="n">
        <v>124.18</v>
      </c>
      <c r="J827" s="4" t="n">
        <f aca="false">G827*H827</f>
        <v>1149.85</v>
      </c>
      <c r="K827" s="4" t="n">
        <f aca="false">G827*I827</f>
        <v>620.9</v>
      </c>
      <c r="L827" s="4" t="n">
        <f aca="false">J827-K827</f>
        <v>528.95</v>
      </c>
    </row>
    <row r="828" customFormat="false" ht="15" hidden="false" customHeight="false" outlineLevel="0" collapsed="false">
      <c r="A828" s="0" t="n">
        <v>1411</v>
      </c>
      <c r="B828" s="2" t="n">
        <v>45653</v>
      </c>
      <c r="C828" s="3" t="s">
        <v>16</v>
      </c>
      <c r="D828" s="3" t="s">
        <v>17</v>
      </c>
      <c r="E828" s="3" t="s">
        <v>40</v>
      </c>
      <c r="F828" s="3" t="s">
        <v>39</v>
      </c>
      <c r="G828" s="0" t="n">
        <v>19</v>
      </c>
      <c r="H828" s="4" t="n">
        <v>138.13</v>
      </c>
      <c r="I828" s="4" t="n">
        <v>101.23</v>
      </c>
      <c r="J828" s="4" t="n">
        <f aca="false">G828*H828</f>
        <v>2624.47</v>
      </c>
      <c r="K828" s="4" t="n">
        <f aca="false">G828*I828</f>
        <v>1923.37</v>
      </c>
      <c r="L828" s="4" t="n">
        <f aca="false">J828-K828</f>
        <v>701.1</v>
      </c>
    </row>
    <row r="829" customFormat="false" ht="15" hidden="false" customHeight="false" outlineLevel="0" collapsed="false">
      <c r="A829" s="0" t="n">
        <v>2516</v>
      </c>
      <c r="B829" s="2" t="n">
        <v>45653</v>
      </c>
      <c r="C829" s="3" t="s">
        <v>16</v>
      </c>
      <c r="D829" s="3" t="s">
        <v>29</v>
      </c>
      <c r="E829" s="3" t="s">
        <v>37</v>
      </c>
      <c r="F829" s="3" t="s">
        <v>39</v>
      </c>
      <c r="G829" s="0" t="n">
        <v>9</v>
      </c>
      <c r="H829" s="4" t="n">
        <v>435.63</v>
      </c>
      <c r="I829" s="4" t="n">
        <v>308.24</v>
      </c>
      <c r="J829" s="4" t="n">
        <f aca="false">G829*H829</f>
        <v>3920.67</v>
      </c>
      <c r="K829" s="4" t="n">
        <f aca="false">G829*I829</f>
        <v>2774.16</v>
      </c>
      <c r="L829" s="4" t="n">
        <f aca="false">J829-K829</f>
        <v>1146.51</v>
      </c>
    </row>
    <row r="830" customFormat="false" ht="15" hidden="false" customHeight="false" outlineLevel="0" collapsed="false">
      <c r="A830" s="0" t="n">
        <v>1120</v>
      </c>
      <c r="B830" s="2" t="n">
        <v>45654</v>
      </c>
      <c r="C830" s="3" t="s">
        <v>26</v>
      </c>
      <c r="D830" s="3" t="s">
        <v>20</v>
      </c>
      <c r="E830" s="3" t="s">
        <v>42</v>
      </c>
      <c r="F830" s="3" t="s">
        <v>36</v>
      </c>
      <c r="G830" s="0" t="n">
        <v>2</v>
      </c>
      <c r="H830" s="4" t="n">
        <v>140.2</v>
      </c>
      <c r="I830" s="4" t="n">
        <v>84.28</v>
      </c>
      <c r="J830" s="4" t="n">
        <f aca="false">G830*H830</f>
        <v>280.4</v>
      </c>
      <c r="K830" s="4" t="n">
        <f aca="false">G830*I830</f>
        <v>168.56</v>
      </c>
      <c r="L830" s="4" t="n">
        <f aca="false">J830-K830</f>
        <v>111.84</v>
      </c>
    </row>
    <row r="831" customFormat="false" ht="15" hidden="false" customHeight="false" outlineLevel="0" collapsed="false">
      <c r="A831" s="0" t="n">
        <v>1212</v>
      </c>
      <c r="B831" s="2" t="n">
        <v>45654</v>
      </c>
      <c r="C831" s="3" t="s">
        <v>32</v>
      </c>
      <c r="D831" s="3" t="s">
        <v>20</v>
      </c>
      <c r="E831" s="3" t="s">
        <v>42</v>
      </c>
      <c r="F831" s="3" t="s">
        <v>33</v>
      </c>
      <c r="G831" s="0" t="n">
        <v>26</v>
      </c>
      <c r="H831" s="4" t="n">
        <v>103.99</v>
      </c>
      <c r="I831" s="4" t="n">
        <v>73.52</v>
      </c>
      <c r="J831" s="4" t="n">
        <f aca="false">G831*H831</f>
        <v>2703.74</v>
      </c>
      <c r="K831" s="4" t="n">
        <f aca="false">G831*I831</f>
        <v>1911.52</v>
      </c>
      <c r="L831" s="4" t="n">
        <f aca="false">J831-K831</f>
        <v>792.22</v>
      </c>
    </row>
    <row r="832" customFormat="false" ht="15" hidden="false" customHeight="false" outlineLevel="0" collapsed="false">
      <c r="A832" s="0" t="n">
        <v>2018</v>
      </c>
      <c r="B832" s="2" t="n">
        <v>45654</v>
      </c>
      <c r="C832" s="3" t="s">
        <v>12</v>
      </c>
      <c r="D832" s="3" t="s">
        <v>20</v>
      </c>
      <c r="E832" s="3" t="s">
        <v>34</v>
      </c>
      <c r="F832" s="3" t="s">
        <v>15</v>
      </c>
      <c r="G832" s="0" t="n">
        <v>8</v>
      </c>
      <c r="H832" s="4" t="n">
        <v>190.45</v>
      </c>
      <c r="I832" s="4" t="n">
        <v>100.36</v>
      </c>
      <c r="J832" s="4" t="n">
        <f aca="false">G832*H832</f>
        <v>1523.6</v>
      </c>
      <c r="K832" s="4" t="n">
        <f aca="false">G832*I832</f>
        <v>802.88</v>
      </c>
      <c r="L832" s="4" t="n">
        <f aca="false">J832-K832</f>
        <v>720.72</v>
      </c>
    </row>
    <row r="833" customFormat="false" ht="15" hidden="false" customHeight="false" outlineLevel="0" collapsed="false">
      <c r="A833" s="0" t="n">
        <v>2593</v>
      </c>
      <c r="B833" s="2" t="n">
        <v>45654</v>
      </c>
      <c r="C833" s="3" t="s">
        <v>26</v>
      </c>
      <c r="D833" s="3" t="s">
        <v>20</v>
      </c>
      <c r="E833" s="3" t="s">
        <v>21</v>
      </c>
      <c r="F833" s="3" t="s">
        <v>19</v>
      </c>
      <c r="G833" s="0" t="n">
        <v>19</v>
      </c>
      <c r="H833" s="4" t="n">
        <v>216.56</v>
      </c>
      <c r="I833" s="4" t="n">
        <v>123.6</v>
      </c>
      <c r="J833" s="4" t="n">
        <f aca="false">G833*H833</f>
        <v>4114.64</v>
      </c>
      <c r="K833" s="4" t="n">
        <f aca="false">G833*I833</f>
        <v>2348.4</v>
      </c>
      <c r="L833" s="4" t="n">
        <f aca="false">J833-K833</f>
        <v>1766.24</v>
      </c>
    </row>
    <row r="834" customFormat="false" ht="15" hidden="false" customHeight="false" outlineLevel="0" collapsed="false">
      <c r="A834" s="0" t="n">
        <v>1887</v>
      </c>
      <c r="B834" s="2" t="n">
        <v>45656</v>
      </c>
      <c r="C834" s="3" t="s">
        <v>12</v>
      </c>
      <c r="D834" s="3" t="s">
        <v>17</v>
      </c>
      <c r="E834" s="3" t="s">
        <v>40</v>
      </c>
      <c r="F834" s="3" t="s">
        <v>36</v>
      </c>
      <c r="G834" s="0" t="n">
        <v>33</v>
      </c>
      <c r="H834" s="4" t="n">
        <v>144.84</v>
      </c>
      <c r="I834" s="4" t="n">
        <v>86.26</v>
      </c>
      <c r="J834" s="4" t="n">
        <f aca="false">G834*H834</f>
        <v>4779.72</v>
      </c>
      <c r="K834" s="4" t="n">
        <f aca="false">G834*I834</f>
        <v>2846.58</v>
      </c>
      <c r="L834" s="4" t="n">
        <f aca="false">J834-K834</f>
        <v>1933.14</v>
      </c>
    </row>
    <row r="835" customFormat="false" ht="15" hidden="false" customHeight="false" outlineLevel="0" collapsed="false">
      <c r="A835" s="0" t="n">
        <v>2587</v>
      </c>
      <c r="B835" s="2" t="n">
        <v>45656</v>
      </c>
      <c r="C835" s="3" t="s">
        <v>16</v>
      </c>
      <c r="D835" s="3" t="s">
        <v>13</v>
      </c>
      <c r="E835" s="3" t="s">
        <v>46</v>
      </c>
      <c r="F835" s="3" t="s">
        <v>28</v>
      </c>
      <c r="G835" s="0" t="n">
        <v>33</v>
      </c>
      <c r="H835" s="4" t="n">
        <v>56.15</v>
      </c>
      <c r="I835" s="4" t="n">
        <v>28.44</v>
      </c>
      <c r="J835" s="4" t="n">
        <f aca="false">G835*H835</f>
        <v>1852.95</v>
      </c>
      <c r="K835" s="4" t="n">
        <f aca="false">G835*I835</f>
        <v>938.52</v>
      </c>
      <c r="L835" s="4" t="n">
        <f aca="false">J835-K835</f>
        <v>914.43</v>
      </c>
    </row>
    <row r="836" customFormat="false" ht="15" hidden="false" customHeight="false" outlineLevel="0" collapsed="false">
      <c r="A836" s="0" t="n">
        <v>1144</v>
      </c>
      <c r="B836" s="2" t="n">
        <v>45657</v>
      </c>
      <c r="C836" s="3" t="s">
        <v>26</v>
      </c>
      <c r="D836" s="3" t="s">
        <v>29</v>
      </c>
      <c r="E836" s="3" t="s">
        <v>37</v>
      </c>
      <c r="F836" s="3" t="s">
        <v>25</v>
      </c>
      <c r="G836" s="0" t="n">
        <v>38</v>
      </c>
      <c r="H836" s="4" t="n">
        <v>98.62</v>
      </c>
      <c r="I836" s="4" t="n">
        <v>69.37</v>
      </c>
      <c r="J836" s="4" t="n">
        <f aca="false">G836*H836</f>
        <v>3747.56</v>
      </c>
      <c r="K836" s="4" t="n">
        <f aca="false">G836*I836</f>
        <v>2636.06</v>
      </c>
      <c r="L836" s="4" t="n">
        <f aca="false">J836-K836</f>
        <v>1111.5</v>
      </c>
    </row>
    <row r="837" customFormat="false" ht="15" hidden="false" customHeight="false" outlineLevel="0" collapsed="false">
      <c r="A837" s="0" t="n">
        <v>1677</v>
      </c>
      <c r="B837" s="2" t="n">
        <v>45657</v>
      </c>
      <c r="C837" s="3" t="s">
        <v>12</v>
      </c>
      <c r="D837" s="3" t="s">
        <v>13</v>
      </c>
      <c r="E837" s="3" t="s">
        <v>46</v>
      </c>
      <c r="F837" s="3" t="s">
        <v>22</v>
      </c>
      <c r="G837" s="0" t="n">
        <v>5</v>
      </c>
      <c r="H837" s="4" t="n">
        <v>9.5</v>
      </c>
      <c r="I837" s="4" t="n">
        <v>5.91</v>
      </c>
      <c r="J837" s="4" t="n">
        <f aca="false">G837*H837</f>
        <v>47.5</v>
      </c>
      <c r="K837" s="4" t="n">
        <f aca="false">G837*I837</f>
        <v>29.55</v>
      </c>
      <c r="L837" s="4" t="n">
        <f aca="false">J837-K837</f>
        <v>17.95</v>
      </c>
    </row>
    <row r="838" customFormat="false" ht="15" hidden="false" customHeight="false" outlineLevel="0" collapsed="false">
      <c r="A838" s="0" t="n">
        <v>2241</v>
      </c>
      <c r="B838" s="2" t="n">
        <v>45657</v>
      </c>
      <c r="C838" s="3" t="s">
        <v>12</v>
      </c>
      <c r="D838" s="3" t="s">
        <v>13</v>
      </c>
      <c r="E838" s="3" t="s">
        <v>24</v>
      </c>
      <c r="F838" s="3" t="s">
        <v>15</v>
      </c>
      <c r="G838" s="0" t="n">
        <v>5</v>
      </c>
      <c r="H838" s="4" t="n">
        <v>54.83</v>
      </c>
      <c r="I838" s="4" t="n">
        <v>33.93</v>
      </c>
      <c r="J838" s="4" t="n">
        <f aca="false">G838*H838</f>
        <v>274.15</v>
      </c>
      <c r="K838" s="4" t="n">
        <f aca="false">G838*I838</f>
        <v>169.65</v>
      </c>
      <c r="L838" s="4" t="n">
        <f aca="false">J838-K838</f>
        <v>104.5</v>
      </c>
    </row>
    <row r="839" customFormat="false" ht="15" hidden="false" customHeight="false" outlineLevel="0" collapsed="false">
      <c r="A839" s="0" t="n">
        <v>1032</v>
      </c>
      <c r="B839" s="2" t="n">
        <v>45658</v>
      </c>
      <c r="C839" s="3" t="s">
        <v>12</v>
      </c>
      <c r="D839" s="3" t="s">
        <v>13</v>
      </c>
      <c r="E839" s="3" t="s">
        <v>45</v>
      </c>
      <c r="F839" s="3" t="s">
        <v>33</v>
      </c>
      <c r="G839" s="0" t="n">
        <v>36</v>
      </c>
      <c r="H839" s="4" t="n">
        <v>26.16</v>
      </c>
      <c r="I839" s="4" t="n">
        <v>19.16</v>
      </c>
      <c r="J839" s="4" t="n">
        <f aca="false">G839*H839</f>
        <v>941.76</v>
      </c>
      <c r="K839" s="4" t="n">
        <f aca="false">G839*I839</f>
        <v>689.76</v>
      </c>
      <c r="L839" s="4" t="n">
        <f aca="false">J839-K839</f>
        <v>252</v>
      </c>
    </row>
    <row r="840" customFormat="false" ht="15" hidden="false" customHeight="false" outlineLevel="0" collapsed="false">
      <c r="A840" s="0" t="n">
        <v>1715</v>
      </c>
      <c r="B840" s="2" t="n">
        <v>45658</v>
      </c>
      <c r="C840" s="3" t="s">
        <v>12</v>
      </c>
      <c r="D840" s="3" t="s">
        <v>17</v>
      </c>
      <c r="E840" s="3" t="s">
        <v>35</v>
      </c>
      <c r="F840" s="3" t="s">
        <v>15</v>
      </c>
      <c r="G840" s="0" t="n">
        <v>15</v>
      </c>
      <c r="H840" s="4" t="n">
        <v>256.78</v>
      </c>
      <c r="I840" s="4" t="n">
        <v>186.45</v>
      </c>
      <c r="J840" s="4" t="n">
        <f aca="false">G840*H840</f>
        <v>3851.7</v>
      </c>
      <c r="K840" s="4" t="n">
        <f aca="false">G840*I840</f>
        <v>2796.75</v>
      </c>
      <c r="L840" s="4" t="n">
        <f aca="false">J840-K840</f>
        <v>1054.95</v>
      </c>
    </row>
    <row r="841" customFormat="false" ht="15" hidden="false" customHeight="false" outlineLevel="0" collapsed="false">
      <c r="A841" s="0" t="n">
        <v>2749</v>
      </c>
      <c r="B841" s="2" t="n">
        <v>45658</v>
      </c>
      <c r="C841" s="3" t="s">
        <v>12</v>
      </c>
      <c r="D841" s="3" t="s">
        <v>17</v>
      </c>
      <c r="E841" s="3" t="s">
        <v>18</v>
      </c>
      <c r="F841" s="3" t="s">
        <v>22</v>
      </c>
      <c r="G841" s="0" t="n">
        <v>9</v>
      </c>
      <c r="H841" s="4" t="n">
        <v>75.25</v>
      </c>
      <c r="I841" s="4" t="n">
        <v>38.96</v>
      </c>
      <c r="J841" s="4" t="n">
        <f aca="false">G841*H841</f>
        <v>677.25</v>
      </c>
      <c r="K841" s="4" t="n">
        <f aca="false">G841*I841</f>
        <v>350.64</v>
      </c>
      <c r="L841" s="4" t="n">
        <f aca="false">J841-K841</f>
        <v>326.61</v>
      </c>
    </row>
    <row r="842" customFormat="false" ht="15" hidden="false" customHeight="false" outlineLevel="0" collapsed="false">
      <c r="A842" s="0" t="n">
        <v>1385</v>
      </c>
      <c r="B842" s="2" t="n">
        <v>45659</v>
      </c>
      <c r="C842" s="3" t="s">
        <v>26</v>
      </c>
      <c r="D842" s="3" t="s">
        <v>13</v>
      </c>
      <c r="E842" s="3" t="s">
        <v>14</v>
      </c>
      <c r="F842" s="3" t="s">
        <v>39</v>
      </c>
      <c r="G842" s="0" t="n">
        <v>5</v>
      </c>
      <c r="H842" s="4" t="n">
        <v>16.34</v>
      </c>
      <c r="I842" s="4" t="n">
        <v>11.4</v>
      </c>
      <c r="J842" s="4" t="n">
        <f aca="false">G842*H842</f>
        <v>81.7</v>
      </c>
      <c r="K842" s="4" t="n">
        <f aca="false">G842*I842</f>
        <v>57</v>
      </c>
      <c r="L842" s="4" t="n">
        <f aca="false">J842-K842</f>
        <v>24.7</v>
      </c>
    </row>
    <row r="843" customFormat="false" ht="15" hidden="false" customHeight="false" outlineLevel="0" collapsed="false">
      <c r="A843" s="0" t="n">
        <v>1821</v>
      </c>
      <c r="B843" s="2" t="n">
        <v>45659</v>
      </c>
      <c r="C843" s="3" t="s">
        <v>32</v>
      </c>
      <c r="D843" s="3" t="s">
        <v>13</v>
      </c>
      <c r="E843" s="3" t="s">
        <v>46</v>
      </c>
      <c r="F843" s="3" t="s">
        <v>36</v>
      </c>
      <c r="G843" s="0" t="n">
        <v>5</v>
      </c>
      <c r="H843" s="4" t="n">
        <v>17.86</v>
      </c>
      <c r="I843" s="4" t="n">
        <v>10.97</v>
      </c>
      <c r="J843" s="4" t="n">
        <f aca="false">G843*H843</f>
        <v>89.3</v>
      </c>
      <c r="K843" s="4" t="n">
        <f aca="false">G843*I843</f>
        <v>54.85</v>
      </c>
      <c r="L843" s="4" t="n">
        <f aca="false">J843-K843</f>
        <v>34.45</v>
      </c>
    </row>
    <row r="844" customFormat="false" ht="15" hidden="false" customHeight="false" outlineLevel="0" collapsed="false">
      <c r="A844" s="0" t="n">
        <v>1522</v>
      </c>
      <c r="B844" s="2" t="n">
        <v>45660</v>
      </c>
      <c r="C844" s="3" t="s">
        <v>23</v>
      </c>
      <c r="D844" s="3" t="s">
        <v>13</v>
      </c>
      <c r="E844" s="3" t="s">
        <v>31</v>
      </c>
      <c r="F844" s="3" t="s">
        <v>19</v>
      </c>
      <c r="G844" s="0" t="n">
        <v>9</v>
      </c>
      <c r="H844" s="4" t="n">
        <v>39.96</v>
      </c>
      <c r="I844" s="4" t="n">
        <v>26.55</v>
      </c>
      <c r="J844" s="4" t="n">
        <f aca="false">G844*H844</f>
        <v>359.64</v>
      </c>
      <c r="K844" s="4" t="n">
        <f aca="false">G844*I844</f>
        <v>238.95</v>
      </c>
      <c r="L844" s="4" t="n">
        <f aca="false">J844-K844</f>
        <v>120.69</v>
      </c>
    </row>
    <row r="845" customFormat="false" ht="15" hidden="false" customHeight="false" outlineLevel="0" collapsed="false">
      <c r="A845" s="0" t="n">
        <v>1734</v>
      </c>
      <c r="B845" s="2" t="n">
        <v>45660</v>
      </c>
      <c r="C845" s="3" t="s">
        <v>26</v>
      </c>
      <c r="D845" s="3" t="s">
        <v>17</v>
      </c>
      <c r="E845" s="3" t="s">
        <v>44</v>
      </c>
      <c r="F845" s="3" t="s">
        <v>39</v>
      </c>
      <c r="G845" s="0" t="n">
        <v>19</v>
      </c>
      <c r="H845" s="4" t="n">
        <v>206.28</v>
      </c>
      <c r="I845" s="4" t="n">
        <v>131.74</v>
      </c>
      <c r="J845" s="4" t="n">
        <f aca="false">G845*H845</f>
        <v>3919.32</v>
      </c>
      <c r="K845" s="4" t="n">
        <f aca="false">G845*I845</f>
        <v>2503.06</v>
      </c>
      <c r="L845" s="4" t="n">
        <f aca="false">J845-K845</f>
        <v>1416.26</v>
      </c>
    </row>
    <row r="846" customFormat="false" ht="15" hidden="false" customHeight="false" outlineLevel="0" collapsed="false">
      <c r="A846" s="0" t="n">
        <v>2670</v>
      </c>
      <c r="B846" s="2" t="n">
        <v>45660</v>
      </c>
      <c r="C846" s="3" t="s">
        <v>23</v>
      </c>
      <c r="D846" s="3" t="s">
        <v>29</v>
      </c>
      <c r="E846" s="3" t="s">
        <v>43</v>
      </c>
      <c r="F846" s="3" t="s">
        <v>25</v>
      </c>
      <c r="G846" s="0" t="n">
        <v>24</v>
      </c>
      <c r="H846" s="4" t="n">
        <v>317.12</v>
      </c>
      <c r="I846" s="4" t="n">
        <v>159.33</v>
      </c>
      <c r="J846" s="4" t="n">
        <f aca="false">G846*H846</f>
        <v>7610.88</v>
      </c>
      <c r="K846" s="4" t="n">
        <f aca="false">G846*I846</f>
        <v>3823.92</v>
      </c>
      <c r="L846" s="4" t="n">
        <f aca="false">J846-K846</f>
        <v>3786.96</v>
      </c>
    </row>
    <row r="847" customFormat="false" ht="15" hidden="false" customHeight="false" outlineLevel="0" collapsed="false">
      <c r="A847" s="0" t="n">
        <v>1220</v>
      </c>
      <c r="B847" s="2" t="n">
        <v>45661</v>
      </c>
      <c r="C847" s="3" t="s">
        <v>26</v>
      </c>
      <c r="D847" s="3" t="s">
        <v>17</v>
      </c>
      <c r="E847" s="3" t="s">
        <v>27</v>
      </c>
      <c r="F847" s="3" t="s">
        <v>15</v>
      </c>
      <c r="G847" s="0" t="n">
        <v>29</v>
      </c>
      <c r="H847" s="4" t="n">
        <v>362.33</v>
      </c>
      <c r="I847" s="4" t="n">
        <v>221.82</v>
      </c>
      <c r="J847" s="4" t="n">
        <f aca="false">G847*H847</f>
        <v>10507.57</v>
      </c>
      <c r="K847" s="4" t="n">
        <f aca="false">G847*I847</f>
        <v>6432.78</v>
      </c>
      <c r="L847" s="4" t="n">
        <f aca="false">J847-K847</f>
        <v>4074.79</v>
      </c>
    </row>
    <row r="848" customFormat="false" ht="15" hidden="false" customHeight="false" outlineLevel="0" collapsed="false">
      <c r="A848" s="0" t="n">
        <v>1794</v>
      </c>
      <c r="B848" s="2" t="n">
        <v>45661</v>
      </c>
      <c r="C848" s="3" t="s">
        <v>23</v>
      </c>
      <c r="D848" s="3" t="s">
        <v>20</v>
      </c>
      <c r="E848" s="3" t="s">
        <v>42</v>
      </c>
      <c r="F848" s="3" t="s">
        <v>33</v>
      </c>
      <c r="G848" s="0" t="n">
        <v>22</v>
      </c>
      <c r="H848" s="4" t="n">
        <v>132.51</v>
      </c>
      <c r="I848" s="4" t="n">
        <v>93.93</v>
      </c>
      <c r="J848" s="4" t="n">
        <f aca="false">G848*H848</f>
        <v>2915.22</v>
      </c>
      <c r="K848" s="4" t="n">
        <f aca="false">G848*I848</f>
        <v>2066.46</v>
      </c>
      <c r="L848" s="4" t="n">
        <f aca="false">J848-K848</f>
        <v>848.76</v>
      </c>
    </row>
    <row r="849" customFormat="false" ht="15" hidden="false" customHeight="false" outlineLevel="0" collapsed="false">
      <c r="A849" s="0" t="n">
        <v>2144</v>
      </c>
      <c r="B849" s="2" t="n">
        <v>45661</v>
      </c>
      <c r="C849" s="3" t="s">
        <v>23</v>
      </c>
      <c r="D849" s="3" t="s">
        <v>13</v>
      </c>
      <c r="E849" s="3" t="s">
        <v>24</v>
      </c>
      <c r="F849" s="3" t="s">
        <v>33</v>
      </c>
      <c r="G849" s="0" t="n">
        <v>30</v>
      </c>
      <c r="H849" s="4" t="n">
        <v>23.65</v>
      </c>
      <c r="I849" s="4" t="n">
        <v>13.36</v>
      </c>
      <c r="J849" s="4" t="n">
        <f aca="false">G849*H849</f>
        <v>709.5</v>
      </c>
      <c r="K849" s="4" t="n">
        <f aca="false">G849*I849</f>
        <v>400.8</v>
      </c>
      <c r="L849" s="4" t="n">
        <f aca="false">J849-K849</f>
        <v>308.7</v>
      </c>
    </row>
    <row r="850" customFormat="false" ht="15" hidden="false" customHeight="false" outlineLevel="0" collapsed="false">
      <c r="A850" s="0" t="n">
        <v>1057</v>
      </c>
      <c r="B850" s="2" t="n">
        <v>45662</v>
      </c>
      <c r="C850" s="3" t="s">
        <v>23</v>
      </c>
      <c r="D850" s="3" t="s">
        <v>13</v>
      </c>
      <c r="E850" s="3" t="s">
        <v>14</v>
      </c>
      <c r="F850" s="3" t="s">
        <v>19</v>
      </c>
      <c r="G850" s="0" t="n">
        <v>34</v>
      </c>
      <c r="H850" s="4" t="n">
        <v>18.39</v>
      </c>
      <c r="I850" s="4" t="n">
        <v>11.42</v>
      </c>
      <c r="J850" s="4" t="n">
        <f aca="false">G850*H850</f>
        <v>625.26</v>
      </c>
      <c r="K850" s="4" t="n">
        <f aca="false">G850*I850</f>
        <v>388.28</v>
      </c>
      <c r="L850" s="4" t="n">
        <f aca="false">J850-K850</f>
        <v>236.98</v>
      </c>
    </row>
    <row r="851" customFormat="false" ht="15" hidden="false" customHeight="false" outlineLevel="0" collapsed="false">
      <c r="A851" s="0" t="n">
        <v>1122</v>
      </c>
      <c r="B851" s="2" t="n">
        <v>45662</v>
      </c>
      <c r="C851" s="3" t="s">
        <v>26</v>
      </c>
      <c r="D851" s="3" t="s">
        <v>20</v>
      </c>
      <c r="E851" s="3" t="s">
        <v>42</v>
      </c>
      <c r="F851" s="3" t="s">
        <v>39</v>
      </c>
      <c r="G851" s="0" t="n">
        <v>28</v>
      </c>
      <c r="H851" s="4" t="n">
        <v>106.88</v>
      </c>
      <c r="I851" s="4" t="n">
        <v>62.51</v>
      </c>
      <c r="J851" s="4" t="n">
        <f aca="false">G851*H851</f>
        <v>2992.64</v>
      </c>
      <c r="K851" s="4" t="n">
        <f aca="false">G851*I851</f>
        <v>1750.28</v>
      </c>
      <c r="L851" s="4" t="n">
        <f aca="false">J851-K851</f>
        <v>1242.36</v>
      </c>
    </row>
    <row r="852" customFormat="false" ht="15" hidden="false" customHeight="false" outlineLevel="0" collapsed="false">
      <c r="A852" s="0" t="n">
        <v>1557</v>
      </c>
      <c r="B852" s="2" t="n">
        <v>45662</v>
      </c>
      <c r="C852" s="3" t="s">
        <v>16</v>
      </c>
      <c r="D852" s="3" t="s">
        <v>13</v>
      </c>
      <c r="E852" s="3" t="s">
        <v>14</v>
      </c>
      <c r="F852" s="3" t="s">
        <v>39</v>
      </c>
      <c r="G852" s="0" t="n">
        <v>18</v>
      </c>
      <c r="H852" s="4" t="n">
        <v>9.42</v>
      </c>
      <c r="I852" s="4" t="n">
        <v>6.86</v>
      </c>
      <c r="J852" s="4" t="n">
        <f aca="false">G852*H852</f>
        <v>169.56</v>
      </c>
      <c r="K852" s="4" t="n">
        <f aca="false">G852*I852</f>
        <v>123.48</v>
      </c>
      <c r="L852" s="4" t="n">
        <f aca="false">J852-K852</f>
        <v>46.08</v>
      </c>
    </row>
    <row r="853" customFormat="false" ht="15" hidden="false" customHeight="false" outlineLevel="0" collapsed="false">
      <c r="A853" s="0" t="n">
        <v>1850</v>
      </c>
      <c r="B853" s="2" t="n">
        <v>45662</v>
      </c>
      <c r="C853" s="3" t="s">
        <v>16</v>
      </c>
      <c r="D853" s="3" t="s">
        <v>29</v>
      </c>
      <c r="E853" s="3" t="s">
        <v>37</v>
      </c>
      <c r="F853" s="3" t="s">
        <v>15</v>
      </c>
      <c r="G853" s="0" t="n">
        <v>14</v>
      </c>
      <c r="H853" s="4" t="n">
        <v>124.67</v>
      </c>
      <c r="I853" s="4" t="n">
        <v>81.09</v>
      </c>
      <c r="J853" s="4" t="n">
        <f aca="false">G853*H853</f>
        <v>1745.38</v>
      </c>
      <c r="K853" s="4" t="n">
        <f aca="false">G853*I853</f>
        <v>1135.26</v>
      </c>
      <c r="L853" s="4" t="n">
        <f aca="false">J853-K853</f>
        <v>610.12</v>
      </c>
    </row>
    <row r="854" customFormat="false" ht="15" hidden="false" customHeight="false" outlineLevel="0" collapsed="false">
      <c r="A854" s="0" t="n">
        <v>1918</v>
      </c>
      <c r="B854" s="2" t="n">
        <v>45662</v>
      </c>
      <c r="C854" s="3" t="s">
        <v>12</v>
      </c>
      <c r="D854" s="3" t="s">
        <v>20</v>
      </c>
      <c r="E854" s="3" t="s">
        <v>42</v>
      </c>
      <c r="F854" s="3" t="s">
        <v>28</v>
      </c>
      <c r="G854" s="0" t="n">
        <v>2</v>
      </c>
      <c r="H854" s="4" t="n">
        <v>78.88</v>
      </c>
      <c r="I854" s="4" t="n">
        <v>47.72</v>
      </c>
      <c r="J854" s="4" t="n">
        <f aca="false">G854*H854</f>
        <v>157.76</v>
      </c>
      <c r="K854" s="4" t="n">
        <f aca="false">G854*I854</f>
        <v>95.44</v>
      </c>
      <c r="L854" s="4" t="n">
        <f aca="false">J854-K854</f>
        <v>62.32</v>
      </c>
    </row>
    <row r="855" customFormat="false" ht="15" hidden="false" customHeight="false" outlineLevel="0" collapsed="false">
      <c r="A855" s="0" t="n">
        <v>2332</v>
      </c>
      <c r="B855" s="2" t="n">
        <v>45662</v>
      </c>
      <c r="C855" s="3" t="s">
        <v>16</v>
      </c>
      <c r="D855" s="3" t="s">
        <v>29</v>
      </c>
      <c r="E855" s="3" t="s">
        <v>37</v>
      </c>
      <c r="F855" s="3" t="s">
        <v>28</v>
      </c>
      <c r="G855" s="0" t="n">
        <v>38</v>
      </c>
      <c r="H855" s="4" t="n">
        <v>383.55</v>
      </c>
      <c r="I855" s="4" t="n">
        <v>215.46</v>
      </c>
      <c r="J855" s="4" t="n">
        <f aca="false">G855*H855</f>
        <v>14574.9</v>
      </c>
      <c r="K855" s="4" t="n">
        <f aca="false">G855*I855</f>
        <v>8187.48</v>
      </c>
      <c r="L855" s="4" t="n">
        <f aca="false">J855-K855</f>
        <v>6387.42</v>
      </c>
    </row>
    <row r="856" customFormat="false" ht="15" hidden="false" customHeight="false" outlineLevel="0" collapsed="false">
      <c r="A856" s="0" t="n">
        <v>2709</v>
      </c>
      <c r="B856" s="2" t="n">
        <v>45662</v>
      </c>
      <c r="C856" s="3" t="s">
        <v>26</v>
      </c>
      <c r="D856" s="3" t="s">
        <v>29</v>
      </c>
      <c r="E856" s="3" t="s">
        <v>43</v>
      </c>
      <c r="F856" s="3" t="s">
        <v>15</v>
      </c>
      <c r="G856" s="0" t="n">
        <v>20</v>
      </c>
      <c r="H856" s="4" t="n">
        <v>261.22</v>
      </c>
      <c r="I856" s="4" t="n">
        <v>175.33</v>
      </c>
      <c r="J856" s="4" t="n">
        <f aca="false">G856*H856</f>
        <v>5224.4</v>
      </c>
      <c r="K856" s="4" t="n">
        <f aca="false">G856*I856</f>
        <v>3506.6</v>
      </c>
      <c r="L856" s="4" t="n">
        <f aca="false">J856-K856</f>
        <v>1717.8</v>
      </c>
    </row>
    <row r="857" customFormat="false" ht="15" hidden="false" customHeight="false" outlineLevel="0" collapsed="false">
      <c r="A857" s="0" t="n">
        <v>1884</v>
      </c>
      <c r="B857" s="2" t="n">
        <v>45663</v>
      </c>
      <c r="C857" s="3" t="s">
        <v>16</v>
      </c>
      <c r="D857" s="3" t="s">
        <v>29</v>
      </c>
      <c r="E857" s="3" t="s">
        <v>30</v>
      </c>
      <c r="F857" s="3" t="s">
        <v>39</v>
      </c>
      <c r="G857" s="0" t="n">
        <v>19</v>
      </c>
      <c r="H857" s="4" t="n">
        <v>169</v>
      </c>
      <c r="I857" s="4" t="n">
        <v>122.93</v>
      </c>
      <c r="J857" s="4" t="n">
        <f aca="false">G857*H857</f>
        <v>3211</v>
      </c>
      <c r="K857" s="4" t="n">
        <f aca="false">G857*I857</f>
        <v>2335.67</v>
      </c>
      <c r="L857" s="4" t="n">
        <f aca="false">J857-K857</f>
        <v>875.33</v>
      </c>
    </row>
    <row r="858" customFormat="false" ht="15" hidden="false" customHeight="false" outlineLevel="0" collapsed="false">
      <c r="A858" s="0" t="n">
        <v>1906</v>
      </c>
      <c r="B858" s="2" t="n">
        <v>45664</v>
      </c>
      <c r="C858" s="3" t="s">
        <v>26</v>
      </c>
      <c r="D858" s="3" t="s">
        <v>29</v>
      </c>
      <c r="E858" s="3" t="s">
        <v>43</v>
      </c>
      <c r="F858" s="3" t="s">
        <v>25</v>
      </c>
      <c r="G858" s="0" t="n">
        <v>32</v>
      </c>
      <c r="H858" s="4" t="n">
        <v>252.36</v>
      </c>
      <c r="I858" s="4" t="n">
        <v>160.4</v>
      </c>
      <c r="J858" s="4" t="n">
        <f aca="false">G858*H858</f>
        <v>8075.52</v>
      </c>
      <c r="K858" s="4" t="n">
        <f aca="false">G858*I858</f>
        <v>5132.8</v>
      </c>
      <c r="L858" s="4" t="n">
        <f aca="false">J858-K858</f>
        <v>2942.72</v>
      </c>
    </row>
    <row r="859" customFormat="false" ht="15" hidden="false" customHeight="false" outlineLevel="0" collapsed="false">
      <c r="A859" s="0" t="n">
        <v>2736</v>
      </c>
      <c r="B859" s="2" t="n">
        <v>45664</v>
      </c>
      <c r="C859" s="3" t="s">
        <v>23</v>
      </c>
      <c r="D859" s="3" t="s">
        <v>13</v>
      </c>
      <c r="E859" s="3" t="s">
        <v>31</v>
      </c>
      <c r="F859" s="3" t="s">
        <v>39</v>
      </c>
      <c r="G859" s="0" t="n">
        <v>9</v>
      </c>
      <c r="H859" s="4" t="n">
        <v>27.33</v>
      </c>
      <c r="I859" s="4" t="n">
        <v>16.87</v>
      </c>
      <c r="J859" s="4" t="n">
        <f aca="false">G859*H859</f>
        <v>245.97</v>
      </c>
      <c r="K859" s="4" t="n">
        <f aca="false">G859*I859</f>
        <v>151.83</v>
      </c>
      <c r="L859" s="4" t="n">
        <f aca="false">J859-K859</f>
        <v>94.14</v>
      </c>
    </row>
    <row r="860" customFormat="false" ht="15" hidden="false" customHeight="false" outlineLevel="0" collapsed="false">
      <c r="A860" s="0" t="n">
        <v>2560</v>
      </c>
      <c r="B860" s="2" t="n">
        <v>45667</v>
      </c>
      <c r="C860" s="3" t="s">
        <v>32</v>
      </c>
      <c r="D860" s="3" t="s">
        <v>20</v>
      </c>
      <c r="E860" s="3" t="s">
        <v>42</v>
      </c>
      <c r="F860" s="3" t="s">
        <v>22</v>
      </c>
      <c r="G860" s="0" t="n">
        <v>14</v>
      </c>
      <c r="H860" s="4" t="n">
        <v>238.18</v>
      </c>
      <c r="I860" s="4" t="n">
        <v>153.83</v>
      </c>
      <c r="J860" s="4" t="n">
        <f aca="false">G860*H860</f>
        <v>3334.52</v>
      </c>
      <c r="K860" s="4" t="n">
        <f aca="false">G860*I860</f>
        <v>2153.62</v>
      </c>
      <c r="L860" s="4" t="n">
        <f aca="false">J860-K860</f>
        <v>1180.9</v>
      </c>
    </row>
    <row r="861" customFormat="false" ht="15" hidden="false" customHeight="false" outlineLevel="0" collapsed="false">
      <c r="A861" s="0" t="n">
        <v>2570</v>
      </c>
      <c r="B861" s="2" t="n">
        <v>45667</v>
      </c>
      <c r="C861" s="3" t="s">
        <v>23</v>
      </c>
      <c r="D861" s="3" t="s">
        <v>17</v>
      </c>
      <c r="E861" s="3" t="s">
        <v>44</v>
      </c>
      <c r="F861" s="3" t="s">
        <v>22</v>
      </c>
      <c r="G861" s="0" t="n">
        <v>7</v>
      </c>
      <c r="H861" s="4" t="n">
        <v>878.33</v>
      </c>
      <c r="I861" s="4" t="n">
        <v>448.49</v>
      </c>
      <c r="J861" s="4" t="n">
        <f aca="false">G861*H861</f>
        <v>6148.31</v>
      </c>
      <c r="K861" s="4" t="n">
        <f aca="false">G861*I861</f>
        <v>3139.43</v>
      </c>
      <c r="L861" s="4" t="n">
        <f aca="false">J861-K861</f>
        <v>3008.88</v>
      </c>
    </row>
    <row r="862" customFormat="false" ht="15" hidden="false" customHeight="false" outlineLevel="0" collapsed="false">
      <c r="A862" s="0" t="n">
        <v>2777</v>
      </c>
      <c r="B862" s="2" t="n">
        <v>45667</v>
      </c>
      <c r="C862" s="3" t="s">
        <v>26</v>
      </c>
      <c r="D862" s="3" t="s">
        <v>13</v>
      </c>
      <c r="E862" s="3" t="s">
        <v>24</v>
      </c>
      <c r="F862" s="3" t="s">
        <v>15</v>
      </c>
      <c r="G862" s="0" t="n">
        <v>28</v>
      </c>
      <c r="H862" s="4" t="n">
        <v>13.33</v>
      </c>
      <c r="I862" s="4" t="n">
        <v>9.18</v>
      </c>
      <c r="J862" s="4" t="n">
        <f aca="false">G862*H862</f>
        <v>373.24</v>
      </c>
      <c r="K862" s="4" t="n">
        <f aca="false">G862*I862</f>
        <v>257.04</v>
      </c>
      <c r="L862" s="4" t="n">
        <f aca="false">J862-K862</f>
        <v>116.2</v>
      </c>
    </row>
    <row r="863" customFormat="false" ht="15" hidden="false" customHeight="false" outlineLevel="0" collapsed="false">
      <c r="A863" s="0" t="n">
        <v>1101</v>
      </c>
      <c r="B863" s="2" t="n">
        <v>45668</v>
      </c>
      <c r="C863" s="3" t="s">
        <v>16</v>
      </c>
      <c r="D863" s="3" t="s">
        <v>29</v>
      </c>
      <c r="E863" s="3" t="s">
        <v>30</v>
      </c>
      <c r="F863" s="3" t="s">
        <v>36</v>
      </c>
      <c r="G863" s="0" t="n">
        <v>18</v>
      </c>
      <c r="H863" s="4" t="n">
        <v>436.17</v>
      </c>
      <c r="I863" s="4" t="n">
        <v>290.35</v>
      </c>
      <c r="J863" s="4" t="n">
        <f aca="false">G863*H863</f>
        <v>7851.06</v>
      </c>
      <c r="K863" s="4" t="n">
        <f aca="false">G863*I863</f>
        <v>5226.3</v>
      </c>
      <c r="L863" s="4" t="n">
        <f aca="false">J863-K863</f>
        <v>2624.76</v>
      </c>
    </row>
    <row r="864" customFormat="false" ht="15" hidden="false" customHeight="false" outlineLevel="0" collapsed="false">
      <c r="A864" s="0" t="n">
        <v>2233</v>
      </c>
      <c r="B864" s="2" t="n">
        <v>45668</v>
      </c>
      <c r="C864" s="3" t="s">
        <v>26</v>
      </c>
      <c r="D864" s="3" t="s">
        <v>20</v>
      </c>
      <c r="E864" s="3" t="s">
        <v>38</v>
      </c>
      <c r="F864" s="3" t="s">
        <v>19</v>
      </c>
      <c r="G864" s="0" t="n">
        <v>3</v>
      </c>
      <c r="H864" s="4" t="n">
        <v>83.56</v>
      </c>
      <c r="I864" s="4" t="n">
        <v>50.18</v>
      </c>
      <c r="J864" s="4" t="n">
        <f aca="false">G864*H864</f>
        <v>250.68</v>
      </c>
      <c r="K864" s="4" t="n">
        <f aca="false">G864*I864</f>
        <v>150.54</v>
      </c>
      <c r="L864" s="4" t="n">
        <f aca="false">J864-K864</f>
        <v>100.14</v>
      </c>
    </row>
    <row r="865" customFormat="false" ht="15" hidden="false" customHeight="false" outlineLevel="0" collapsed="false">
      <c r="A865" s="0" t="n">
        <v>2353</v>
      </c>
      <c r="B865" s="2" t="n">
        <v>45668</v>
      </c>
      <c r="C865" s="3" t="s">
        <v>16</v>
      </c>
      <c r="D865" s="3" t="s">
        <v>29</v>
      </c>
      <c r="E865" s="3" t="s">
        <v>41</v>
      </c>
      <c r="F865" s="3" t="s">
        <v>39</v>
      </c>
      <c r="G865" s="0" t="n">
        <v>30</v>
      </c>
      <c r="H865" s="4" t="n">
        <v>184.25</v>
      </c>
      <c r="I865" s="4" t="n">
        <v>126.88</v>
      </c>
      <c r="J865" s="4" t="n">
        <f aca="false">G865*H865</f>
        <v>5527.5</v>
      </c>
      <c r="K865" s="4" t="n">
        <f aca="false">G865*I865</f>
        <v>3806.4</v>
      </c>
      <c r="L865" s="4" t="n">
        <f aca="false">J865-K865</f>
        <v>1721.1</v>
      </c>
    </row>
    <row r="866" customFormat="false" ht="15" hidden="false" customHeight="false" outlineLevel="0" collapsed="false">
      <c r="A866" s="0" t="n">
        <v>2722</v>
      </c>
      <c r="B866" s="2" t="n">
        <v>45668</v>
      </c>
      <c r="C866" s="3" t="s">
        <v>16</v>
      </c>
      <c r="D866" s="3" t="s">
        <v>17</v>
      </c>
      <c r="E866" s="3" t="s">
        <v>40</v>
      </c>
      <c r="F866" s="3" t="s">
        <v>19</v>
      </c>
      <c r="G866" s="0" t="n">
        <v>25</v>
      </c>
      <c r="H866" s="4" t="n">
        <v>162.93</v>
      </c>
      <c r="I866" s="4" t="n">
        <v>92.25</v>
      </c>
      <c r="J866" s="4" t="n">
        <f aca="false">G866*H866</f>
        <v>4073.25</v>
      </c>
      <c r="K866" s="4" t="n">
        <f aca="false">G866*I866</f>
        <v>2306.25</v>
      </c>
      <c r="L866" s="4" t="n">
        <f aca="false">J866-K866</f>
        <v>1767</v>
      </c>
    </row>
    <row r="867" customFormat="false" ht="15" hidden="false" customHeight="false" outlineLevel="0" collapsed="false">
      <c r="A867" s="0" t="n">
        <v>2761</v>
      </c>
      <c r="B867" s="2" t="n">
        <v>45668</v>
      </c>
      <c r="C867" s="3" t="s">
        <v>32</v>
      </c>
      <c r="D867" s="3" t="s">
        <v>17</v>
      </c>
      <c r="E867" s="3" t="s">
        <v>44</v>
      </c>
      <c r="F867" s="3" t="s">
        <v>19</v>
      </c>
      <c r="G867" s="0" t="n">
        <v>30</v>
      </c>
      <c r="H867" s="4" t="n">
        <v>407.36</v>
      </c>
      <c r="I867" s="4" t="n">
        <v>290.58</v>
      </c>
      <c r="J867" s="4" t="n">
        <f aca="false">G867*H867</f>
        <v>12220.8</v>
      </c>
      <c r="K867" s="4" t="n">
        <f aca="false">G867*I867</f>
        <v>8717.4</v>
      </c>
      <c r="L867" s="4" t="n">
        <f aca="false">J867-K867</f>
        <v>3503.4</v>
      </c>
    </row>
    <row r="868" customFormat="false" ht="15" hidden="false" customHeight="false" outlineLevel="0" collapsed="false">
      <c r="A868" s="0" t="n">
        <v>1784</v>
      </c>
      <c r="B868" s="2" t="n">
        <v>45669</v>
      </c>
      <c r="C868" s="3" t="s">
        <v>26</v>
      </c>
      <c r="D868" s="3" t="s">
        <v>20</v>
      </c>
      <c r="E868" s="3" t="s">
        <v>21</v>
      </c>
      <c r="F868" s="3" t="s">
        <v>39</v>
      </c>
      <c r="G868" s="0" t="n">
        <v>16</v>
      </c>
      <c r="H868" s="4" t="n">
        <v>217.84</v>
      </c>
      <c r="I868" s="4" t="n">
        <v>110.46</v>
      </c>
      <c r="J868" s="4" t="n">
        <f aca="false">G868*H868</f>
        <v>3485.44</v>
      </c>
      <c r="K868" s="4" t="n">
        <f aca="false">G868*I868</f>
        <v>1767.36</v>
      </c>
      <c r="L868" s="4" t="n">
        <f aca="false">J868-K868</f>
        <v>1718.08</v>
      </c>
    </row>
    <row r="869" customFormat="false" ht="15" hidden="false" customHeight="false" outlineLevel="0" collapsed="false">
      <c r="A869" s="0" t="n">
        <v>2010</v>
      </c>
      <c r="B869" s="2" t="n">
        <v>45669</v>
      </c>
      <c r="C869" s="3" t="s">
        <v>26</v>
      </c>
      <c r="D869" s="3" t="s">
        <v>29</v>
      </c>
      <c r="E869" s="3" t="s">
        <v>37</v>
      </c>
      <c r="F869" s="3" t="s">
        <v>22</v>
      </c>
      <c r="G869" s="0" t="n">
        <v>7</v>
      </c>
      <c r="H869" s="4" t="n">
        <v>294.53</v>
      </c>
      <c r="I869" s="4" t="n">
        <v>184.68</v>
      </c>
      <c r="J869" s="4" t="n">
        <f aca="false">G869*H869</f>
        <v>2061.71</v>
      </c>
      <c r="K869" s="4" t="n">
        <f aca="false">G869*I869</f>
        <v>1292.76</v>
      </c>
      <c r="L869" s="4" t="n">
        <f aca="false">J869-K869</f>
        <v>768.95</v>
      </c>
    </row>
    <row r="870" customFormat="false" ht="15" hidden="false" customHeight="false" outlineLevel="0" collapsed="false">
      <c r="A870" s="0" t="n">
        <v>2650</v>
      </c>
      <c r="B870" s="2" t="n">
        <v>45669</v>
      </c>
      <c r="C870" s="3" t="s">
        <v>12</v>
      </c>
      <c r="D870" s="3" t="s">
        <v>17</v>
      </c>
      <c r="E870" s="3" t="s">
        <v>18</v>
      </c>
      <c r="F870" s="3" t="s">
        <v>33</v>
      </c>
      <c r="G870" s="0" t="n">
        <v>22</v>
      </c>
      <c r="H870" s="4" t="n">
        <v>488.82</v>
      </c>
      <c r="I870" s="4" t="n">
        <v>279.95</v>
      </c>
      <c r="J870" s="4" t="n">
        <f aca="false">G870*H870</f>
        <v>10754.04</v>
      </c>
      <c r="K870" s="4" t="n">
        <f aca="false">G870*I870</f>
        <v>6158.9</v>
      </c>
      <c r="L870" s="4" t="n">
        <f aca="false">J870-K870</f>
        <v>4595.14</v>
      </c>
    </row>
    <row r="871" customFormat="false" ht="15" hidden="false" customHeight="false" outlineLevel="0" collapsed="false">
      <c r="A871" s="0" t="n">
        <v>1520</v>
      </c>
      <c r="B871" s="2" t="n">
        <v>45670</v>
      </c>
      <c r="C871" s="3" t="s">
        <v>16</v>
      </c>
      <c r="D871" s="3" t="s">
        <v>17</v>
      </c>
      <c r="E871" s="3" t="s">
        <v>27</v>
      </c>
      <c r="F871" s="3" t="s">
        <v>33</v>
      </c>
      <c r="G871" s="0" t="n">
        <v>8</v>
      </c>
      <c r="H871" s="4" t="n">
        <v>783.45</v>
      </c>
      <c r="I871" s="4" t="n">
        <v>468.95</v>
      </c>
      <c r="J871" s="4" t="n">
        <f aca="false">G871*H871</f>
        <v>6267.6</v>
      </c>
      <c r="K871" s="4" t="n">
        <f aca="false">G871*I871</f>
        <v>3751.6</v>
      </c>
      <c r="L871" s="4" t="n">
        <f aca="false">J871-K871</f>
        <v>2516</v>
      </c>
    </row>
    <row r="872" customFormat="false" ht="15" hidden="false" customHeight="false" outlineLevel="0" collapsed="false">
      <c r="A872" s="0" t="n">
        <v>1878</v>
      </c>
      <c r="B872" s="2" t="n">
        <v>45672</v>
      </c>
      <c r="C872" s="3" t="s">
        <v>26</v>
      </c>
      <c r="D872" s="3" t="s">
        <v>17</v>
      </c>
      <c r="E872" s="3" t="s">
        <v>35</v>
      </c>
      <c r="F872" s="3" t="s">
        <v>25</v>
      </c>
      <c r="G872" s="0" t="n">
        <v>31</v>
      </c>
      <c r="H872" s="4" t="n">
        <v>763.45</v>
      </c>
      <c r="I872" s="4" t="n">
        <v>396.8</v>
      </c>
      <c r="J872" s="4" t="n">
        <f aca="false">G872*H872</f>
        <v>23666.95</v>
      </c>
      <c r="K872" s="4" t="n">
        <f aca="false">G872*I872</f>
        <v>12300.8</v>
      </c>
      <c r="L872" s="4" t="n">
        <f aca="false">J872-K872</f>
        <v>11366.15</v>
      </c>
    </row>
    <row r="873" customFormat="false" ht="15" hidden="false" customHeight="false" outlineLevel="0" collapsed="false">
      <c r="A873" s="0" t="n">
        <v>1927</v>
      </c>
      <c r="B873" s="2" t="n">
        <v>45672</v>
      </c>
      <c r="C873" s="3" t="s">
        <v>32</v>
      </c>
      <c r="D873" s="3" t="s">
        <v>13</v>
      </c>
      <c r="E873" s="3" t="s">
        <v>31</v>
      </c>
      <c r="F873" s="3" t="s">
        <v>25</v>
      </c>
      <c r="G873" s="0" t="n">
        <v>1</v>
      </c>
      <c r="H873" s="4" t="n">
        <v>3.62</v>
      </c>
      <c r="I873" s="4" t="n">
        <v>2.53</v>
      </c>
      <c r="J873" s="4" t="n">
        <f aca="false">G873*H873</f>
        <v>3.62</v>
      </c>
      <c r="K873" s="4" t="n">
        <f aca="false">G873*I873</f>
        <v>2.53</v>
      </c>
      <c r="L873" s="4" t="n">
        <f aca="false">J873-K873</f>
        <v>1.09</v>
      </c>
    </row>
    <row r="874" customFormat="false" ht="15" hidden="false" customHeight="false" outlineLevel="0" collapsed="false">
      <c r="A874" s="0" t="n">
        <v>2300</v>
      </c>
      <c r="B874" s="2" t="n">
        <v>45672</v>
      </c>
      <c r="C874" s="3" t="s">
        <v>16</v>
      </c>
      <c r="D874" s="3" t="s">
        <v>13</v>
      </c>
      <c r="E874" s="3" t="s">
        <v>31</v>
      </c>
      <c r="F874" s="3" t="s">
        <v>33</v>
      </c>
      <c r="G874" s="0" t="n">
        <v>27</v>
      </c>
      <c r="H874" s="4" t="n">
        <v>25.9</v>
      </c>
      <c r="I874" s="4" t="n">
        <v>14.84</v>
      </c>
      <c r="J874" s="4" t="n">
        <f aca="false">G874*H874</f>
        <v>699.3</v>
      </c>
      <c r="K874" s="4" t="n">
        <f aca="false">G874*I874</f>
        <v>400.68</v>
      </c>
      <c r="L874" s="4" t="n">
        <f aca="false">J874-K874</f>
        <v>298.62</v>
      </c>
    </row>
    <row r="875" customFormat="false" ht="15" hidden="false" customHeight="false" outlineLevel="0" collapsed="false">
      <c r="A875" s="0" t="n">
        <v>1689</v>
      </c>
      <c r="B875" s="2" t="n">
        <v>45673</v>
      </c>
      <c r="C875" s="3" t="s">
        <v>32</v>
      </c>
      <c r="D875" s="3" t="s">
        <v>29</v>
      </c>
      <c r="E875" s="3" t="s">
        <v>30</v>
      </c>
      <c r="F875" s="3" t="s">
        <v>22</v>
      </c>
      <c r="G875" s="0" t="n">
        <v>8</v>
      </c>
      <c r="H875" s="4" t="n">
        <v>82.19</v>
      </c>
      <c r="I875" s="4" t="n">
        <v>45.95</v>
      </c>
      <c r="J875" s="4" t="n">
        <f aca="false">G875*H875</f>
        <v>657.52</v>
      </c>
      <c r="K875" s="4" t="n">
        <f aca="false">G875*I875</f>
        <v>367.6</v>
      </c>
      <c r="L875" s="4" t="n">
        <f aca="false">J875-K875</f>
        <v>289.92</v>
      </c>
    </row>
    <row r="876" customFormat="false" ht="15" hidden="false" customHeight="false" outlineLevel="0" collapsed="false">
      <c r="A876" s="0" t="n">
        <v>2385</v>
      </c>
      <c r="B876" s="2" t="n">
        <v>45673</v>
      </c>
      <c r="C876" s="3" t="s">
        <v>32</v>
      </c>
      <c r="D876" s="3" t="s">
        <v>17</v>
      </c>
      <c r="E876" s="3" t="s">
        <v>27</v>
      </c>
      <c r="F876" s="3" t="s">
        <v>28</v>
      </c>
      <c r="G876" s="0" t="n">
        <v>33</v>
      </c>
      <c r="H876" s="4" t="n">
        <v>229.44</v>
      </c>
      <c r="I876" s="4" t="n">
        <v>157.4</v>
      </c>
      <c r="J876" s="4" t="n">
        <f aca="false">G876*H876</f>
        <v>7571.52</v>
      </c>
      <c r="K876" s="4" t="n">
        <f aca="false">G876*I876</f>
        <v>5194.2</v>
      </c>
      <c r="L876" s="4" t="n">
        <f aca="false">J876-K876</f>
        <v>2377.32</v>
      </c>
    </row>
    <row r="877" customFormat="false" ht="15" hidden="false" customHeight="false" outlineLevel="0" collapsed="false">
      <c r="A877" s="0" t="n">
        <v>2609</v>
      </c>
      <c r="B877" s="2" t="n">
        <v>45673</v>
      </c>
      <c r="C877" s="3" t="s">
        <v>16</v>
      </c>
      <c r="D877" s="3" t="s">
        <v>17</v>
      </c>
      <c r="E877" s="3" t="s">
        <v>18</v>
      </c>
      <c r="F877" s="3" t="s">
        <v>28</v>
      </c>
      <c r="G877" s="0" t="n">
        <v>1</v>
      </c>
      <c r="H877" s="4" t="n">
        <v>101.29</v>
      </c>
      <c r="I877" s="4" t="n">
        <v>54.09</v>
      </c>
      <c r="J877" s="4" t="n">
        <f aca="false">G877*H877</f>
        <v>101.29</v>
      </c>
      <c r="K877" s="4" t="n">
        <f aca="false">G877*I877</f>
        <v>54.09</v>
      </c>
      <c r="L877" s="4" t="n">
        <f aca="false">J877-K877</f>
        <v>47.2</v>
      </c>
    </row>
    <row r="878" customFormat="false" ht="15" hidden="false" customHeight="false" outlineLevel="0" collapsed="false">
      <c r="A878" s="0" t="n">
        <v>1189</v>
      </c>
      <c r="B878" s="2" t="n">
        <v>45674</v>
      </c>
      <c r="C878" s="3" t="s">
        <v>23</v>
      </c>
      <c r="D878" s="3" t="s">
        <v>20</v>
      </c>
      <c r="E878" s="3" t="s">
        <v>34</v>
      </c>
      <c r="F878" s="3" t="s">
        <v>39</v>
      </c>
      <c r="G878" s="0" t="n">
        <v>39</v>
      </c>
      <c r="H878" s="4" t="n">
        <v>217.05</v>
      </c>
      <c r="I878" s="4" t="n">
        <v>112.76</v>
      </c>
      <c r="J878" s="4" t="n">
        <f aca="false">G878*H878</f>
        <v>8464.95</v>
      </c>
      <c r="K878" s="4" t="n">
        <f aca="false">G878*I878</f>
        <v>4397.64</v>
      </c>
      <c r="L878" s="4" t="n">
        <f aca="false">J878-K878</f>
        <v>4067.31</v>
      </c>
    </row>
    <row r="879" customFormat="false" ht="15" hidden="false" customHeight="false" outlineLevel="0" collapsed="false">
      <c r="A879" s="0" t="n">
        <v>2269</v>
      </c>
      <c r="B879" s="2" t="n">
        <v>45674</v>
      </c>
      <c r="C879" s="3" t="s">
        <v>12</v>
      </c>
      <c r="D879" s="3" t="s">
        <v>29</v>
      </c>
      <c r="E879" s="3" t="s">
        <v>41</v>
      </c>
      <c r="F879" s="3" t="s">
        <v>25</v>
      </c>
      <c r="G879" s="0" t="n">
        <v>2</v>
      </c>
      <c r="H879" s="4" t="n">
        <v>167.97</v>
      </c>
      <c r="I879" s="4" t="n">
        <v>93.79</v>
      </c>
      <c r="J879" s="4" t="n">
        <f aca="false">G879*H879</f>
        <v>335.94</v>
      </c>
      <c r="K879" s="4" t="n">
        <f aca="false">G879*I879</f>
        <v>187.58</v>
      </c>
      <c r="L879" s="4" t="n">
        <f aca="false">J879-K879</f>
        <v>148.36</v>
      </c>
    </row>
    <row r="880" customFormat="false" ht="15" hidden="false" customHeight="false" outlineLevel="0" collapsed="false">
      <c r="A880" s="0" t="n">
        <v>2681</v>
      </c>
      <c r="B880" s="2" t="n">
        <v>45674</v>
      </c>
      <c r="C880" s="3" t="s">
        <v>16</v>
      </c>
      <c r="D880" s="3" t="s">
        <v>29</v>
      </c>
      <c r="E880" s="3" t="s">
        <v>37</v>
      </c>
      <c r="F880" s="3" t="s">
        <v>22</v>
      </c>
      <c r="G880" s="0" t="n">
        <v>24</v>
      </c>
      <c r="H880" s="4" t="n">
        <v>251.17</v>
      </c>
      <c r="I880" s="4" t="n">
        <v>184.65</v>
      </c>
      <c r="J880" s="4" t="n">
        <f aca="false">G880*H880</f>
        <v>6028.08</v>
      </c>
      <c r="K880" s="4" t="n">
        <f aca="false">G880*I880</f>
        <v>4431.6</v>
      </c>
      <c r="L880" s="4" t="n">
        <f aca="false">J880-K880</f>
        <v>1596.48</v>
      </c>
    </row>
    <row r="881" customFormat="false" ht="15" hidden="false" customHeight="false" outlineLevel="0" collapsed="false">
      <c r="A881" s="0" t="n">
        <v>2784</v>
      </c>
      <c r="B881" s="2" t="n">
        <v>45674</v>
      </c>
      <c r="C881" s="3" t="s">
        <v>26</v>
      </c>
      <c r="D881" s="3" t="s">
        <v>20</v>
      </c>
      <c r="E881" s="3" t="s">
        <v>21</v>
      </c>
      <c r="F881" s="3" t="s">
        <v>15</v>
      </c>
      <c r="G881" s="0" t="n">
        <v>35</v>
      </c>
      <c r="H881" s="4" t="n">
        <v>276.86</v>
      </c>
      <c r="I881" s="4" t="n">
        <v>182.88</v>
      </c>
      <c r="J881" s="4" t="n">
        <f aca="false">G881*H881</f>
        <v>9690.1</v>
      </c>
      <c r="K881" s="4" t="n">
        <f aca="false">G881*I881</f>
        <v>6400.8</v>
      </c>
      <c r="L881" s="4" t="n">
        <f aca="false">J881-K881</f>
        <v>3289.3</v>
      </c>
    </row>
    <row r="882" customFormat="false" ht="15" hidden="false" customHeight="false" outlineLevel="0" collapsed="false">
      <c r="A882" s="0" t="n">
        <v>1088</v>
      </c>
      <c r="B882" s="2" t="n">
        <v>45675</v>
      </c>
      <c r="C882" s="3" t="s">
        <v>23</v>
      </c>
      <c r="D882" s="3" t="s">
        <v>13</v>
      </c>
      <c r="E882" s="3" t="s">
        <v>24</v>
      </c>
      <c r="F882" s="3" t="s">
        <v>36</v>
      </c>
      <c r="G882" s="0" t="n">
        <v>37</v>
      </c>
      <c r="H882" s="4" t="n">
        <v>13.26</v>
      </c>
      <c r="I882" s="4" t="n">
        <v>7.9</v>
      </c>
      <c r="J882" s="4" t="n">
        <f aca="false">G882*H882</f>
        <v>490.62</v>
      </c>
      <c r="K882" s="4" t="n">
        <f aca="false">G882*I882</f>
        <v>292.3</v>
      </c>
      <c r="L882" s="4" t="n">
        <f aca="false">J882-K882</f>
        <v>198.32</v>
      </c>
    </row>
    <row r="883" customFormat="false" ht="15" hidden="false" customHeight="false" outlineLevel="0" collapsed="false">
      <c r="A883" s="0" t="n">
        <v>1766</v>
      </c>
      <c r="B883" s="2" t="n">
        <v>45675</v>
      </c>
      <c r="C883" s="3" t="s">
        <v>12</v>
      </c>
      <c r="D883" s="3" t="s">
        <v>13</v>
      </c>
      <c r="E883" s="3" t="s">
        <v>45</v>
      </c>
      <c r="F883" s="3" t="s">
        <v>22</v>
      </c>
      <c r="G883" s="0" t="n">
        <v>27</v>
      </c>
      <c r="H883" s="4" t="n">
        <v>3.83</v>
      </c>
      <c r="I883" s="4" t="n">
        <v>1.98</v>
      </c>
      <c r="J883" s="4" t="n">
        <f aca="false">G883*H883</f>
        <v>103.41</v>
      </c>
      <c r="K883" s="4" t="n">
        <f aca="false">G883*I883</f>
        <v>53.46</v>
      </c>
      <c r="L883" s="4" t="n">
        <f aca="false">J883-K883</f>
        <v>49.95</v>
      </c>
    </row>
    <row r="884" customFormat="false" ht="15" hidden="false" customHeight="false" outlineLevel="0" collapsed="false">
      <c r="A884" s="0" t="n">
        <v>1055</v>
      </c>
      <c r="B884" s="2" t="n">
        <v>45676</v>
      </c>
      <c r="C884" s="3" t="s">
        <v>23</v>
      </c>
      <c r="D884" s="3" t="s">
        <v>13</v>
      </c>
      <c r="E884" s="3" t="s">
        <v>45</v>
      </c>
      <c r="F884" s="3" t="s">
        <v>39</v>
      </c>
      <c r="G884" s="0" t="n">
        <v>7</v>
      </c>
      <c r="H884" s="4" t="n">
        <v>20.19</v>
      </c>
      <c r="I884" s="4" t="n">
        <v>14.11</v>
      </c>
      <c r="J884" s="4" t="n">
        <f aca="false">G884*H884</f>
        <v>141.33</v>
      </c>
      <c r="K884" s="4" t="n">
        <f aca="false">G884*I884</f>
        <v>98.77</v>
      </c>
      <c r="L884" s="4" t="n">
        <f aca="false">J884-K884</f>
        <v>42.56</v>
      </c>
    </row>
    <row r="885" customFormat="false" ht="15" hidden="false" customHeight="false" outlineLevel="0" collapsed="false">
      <c r="A885" s="0" t="n">
        <v>1300</v>
      </c>
      <c r="B885" s="2" t="n">
        <v>45676</v>
      </c>
      <c r="C885" s="3" t="s">
        <v>12</v>
      </c>
      <c r="D885" s="3" t="s">
        <v>17</v>
      </c>
      <c r="E885" s="3" t="s">
        <v>35</v>
      </c>
      <c r="F885" s="3" t="s">
        <v>25</v>
      </c>
      <c r="G885" s="0" t="n">
        <v>22</v>
      </c>
      <c r="H885" s="4" t="n">
        <v>558.99</v>
      </c>
      <c r="I885" s="4" t="n">
        <v>411.2</v>
      </c>
      <c r="J885" s="4" t="n">
        <f aca="false">G885*H885</f>
        <v>12297.78</v>
      </c>
      <c r="K885" s="4" t="n">
        <f aca="false">G885*I885</f>
        <v>9046.4</v>
      </c>
      <c r="L885" s="4" t="n">
        <f aca="false">J885-K885</f>
        <v>3251.38</v>
      </c>
    </row>
    <row r="886" customFormat="false" ht="15" hidden="false" customHeight="false" outlineLevel="0" collapsed="false">
      <c r="A886" s="0" t="n">
        <v>1589</v>
      </c>
      <c r="B886" s="2" t="n">
        <v>45676</v>
      </c>
      <c r="C886" s="3" t="s">
        <v>26</v>
      </c>
      <c r="D886" s="3" t="s">
        <v>17</v>
      </c>
      <c r="E886" s="3" t="s">
        <v>18</v>
      </c>
      <c r="F886" s="3" t="s">
        <v>15</v>
      </c>
      <c r="G886" s="0" t="n">
        <v>27</v>
      </c>
      <c r="H886" s="4" t="n">
        <v>206.91</v>
      </c>
      <c r="I886" s="4" t="n">
        <v>113.76</v>
      </c>
      <c r="J886" s="4" t="n">
        <f aca="false">G886*H886</f>
        <v>5586.57</v>
      </c>
      <c r="K886" s="4" t="n">
        <f aca="false">G886*I886</f>
        <v>3071.52</v>
      </c>
      <c r="L886" s="4" t="n">
        <f aca="false">J886-K886</f>
        <v>2515.05</v>
      </c>
    </row>
    <row r="887" customFormat="false" ht="15" hidden="false" customHeight="false" outlineLevel="0" collapsed="false">
      <c r="A887" s="0" t="n">
        <v>2279</v>
      </c>
      <c r="B887" s="2" t="n">
        <v>45676</v>
      </c>
      <c r="C887" s="3" t="s">
        <v>16</v>
      </c>
      <c r="D887" s="3" t="s">
        <v>17</v>
      </c>
      <c r="E887" s="3" t="s">
        <v>18</v>
      </c>
      <c r="F887" s="3" t="s">
        <v>33</v>
      </c>
      <c r="G887" s="0" t="n">
        <v>26</v>
      </c>
      <c r="H887" s="4" t="n">
        <v>209.52</v>
      </c>
      <c r="I887" s="4" t="n">
        <v>121.73</v>
      </c>
      <c r="J887" s="4" t="n">
        <f aca="false">G887*H887</f>
        <v>5447.52</v>
      </c>
      <c r="K887" s="4" t="n">
        <f aca="false">G887*I887</f>
        <v>3164.98</v>
      </c>
      <c r="L887" s="4" t="n">
        <f aca="false">J887-K887</f>
        <v>2282.54</v>
      </c>
    </row>
    <row r="888" customFormat="false" ht="15" hidden="false" customHeight="false" outlineLevel="0" collapsed="false">
      <c r="A888" s="0" t="n">
        <v>2697</v>
      </c>
      <c r="B888" s="2" t="n">
        <v>45676</v>
      </c>
      <c r="C888" s="3" t="s">
        <v>16</v>
      </c>
      <c r="D888" s="3" t="s">
        <v>13</v>
      </c>
      <c r="E888" s="3" t="s">
        <v>46</v>
      </c>
      <c r="F888" s="3" t="s">
        <v>28</v>
      </c>
      <c r="G888" s="0" t="n">
        <v>12</v>
      </c>
      <c r="H888" s="4" t="n">
        <v>18.74</v>
      </c>
      <c r="I888" s="4" t="n">
        <v>9.62</v>
      </c>
      <c r="J888" s="4" t="n">
        <f aca="false">G888*H888</f>
        <v>224.88</v>
      </c>
      <c r="K888" s="4" t="n">
        <f aca="false">G888*I888</f>
        <v>115.44</v>
      </c>
      <c r="L888" s="4" t="n">
        <f aca="false">J888-K888</f>
        <v>109.44</v>
      </c>
    </row>
    <row r="889" customFormat="false" ht="15" hidden="false" customHeight="false" outlineLevel="0" collapsed="false">
      <c r="A889" s="0" t="n">
        <v>2504</v>
      </c>
      <c r="B889" s="2" t="n">
        <v>45677</v>
      </c>
      <c r="C889" s="3" t="s">
        <v>16</v>
      </c>
      <c r="D889" s="3" t="s">
        <v>13</v>
      </c>
      <c r="E889" s="3" t="s">
        <v>45</v>
      </c>
      <c r="F889" s="3" t="s">
        <v>19</v>
      </c>
      <c r="G889" s="0" t="n">
        <v>12</v>
      </c>
      <c r="H889" s="4" t="n">
        <v>22.91</v>
      </c>
      <c r="I889" s="4" t="n">
        <v>13.71</v>
      </c>
      <c r="J889" s="4" t="n">
        <f aca="false">G889*H889</f>
        <v>274.92</v>
      </c>
      <c r="K889" s="4" t="n">
        <f aca="false">G889*I889</f>
        <v>164.52</v>
      </c>
      <c r="L889" s="4" t="n">
        <f aca="false">J889-K889</f>
        <v>110.4</v>
      </c>
    </row>
    <row r="890" customFormat="false" ht="15" hidden="false" customHeight="false" outlineLevel="0" collapsed="false">
      <c r="A890" s="0" t="n">
        <v>1364</v>
      </c>
      <c r="B890" s="2" t="n">
        <v>45678</v>
      </c>
      <c r="C890" s="3" t="s">
        <v>26</v>
      </c>
      <c r="D890" s="3" t="s">
        <v>20</v>
      </c>
      <c r="E890" s="3" t="s">
        <v>38</v>
      </c>
      <c r="F890" s="3" t="s">
        <v>15</v>
      </c>
      <c r="G890" s="0" t="n">
        <v>9</v>
      </c>
      <c r="H890" s="4" t="n">
        <v>150.57</v>
      </c>
      <c r="I890" s="4" t="n">
        <v>110.57</v>
      </c>
      <c r="J890" s="4" t="n">
        <f aca="false">G890*H890</f>
        <v>1355.13</v>
      </c>
      <c r="K890" s="4" t="n">
        <f aca="false">G890*I890</f>
        <v>995.13</v>
      </c>
      <c r="L890" s="4" t="n">
        <f aca="false">J890-K890</f>
        <v>360</v>
      </c>
    </row>
    <row r="891" customFormat="false" ht="15" hidden="false" customHeight="false" outlineLevel="0" collapsed="false">
      <c r="A891" s="0" t="n">
        <v>1828</v>
      </c>
      <c r="B891" s="2" t="n">
        <v>45679</v>
      </c>
      <c r="C891" s="3" t="s">
        <v>16</v>
      </c>
      <c r="D891" s="3" t="s">
        <v>29</v>
      </c>
      <c r="E891" s="3" t="s">
        <v>30</v>
      </c>
      <c r="F891" s="3" t="s">
        <v>33</v>
      </c>
      <c r="G891" s="0" t="n">
        <v>16</v>
      </c>
      <c r="H891" s="4" t="n">
        <v>272.27</v>
      </c>
      <c r="I891" s="4" t="n">
        <v>160.23</v>
      </c>
      <c r="J891" s="4" t="n">
        <f aca="false">G891*H891</f>
        <v>4356.32</v>
      </c>
      <c r="K891" s="4" t="n">
        <f aca="false">G891*I891</f>
        <v>2563.68</v>
      </c>
      <c r="L891" s="4" t="n">
        <f aca="false">J891-K891</f>
        <v>1792.64</v>
      </c>
    </row>
    <row r="892" customFormat="false" ht="15" hidden="false" customHeight="false" outlineLevel="0" collapsed="false">
      <c r="A892" s="0" t="n">
        <v>1447</v>
      </c>
      <c r="B892" s="2" t="n">
        <v>45680</v>
      </c>
      <c r="C892" s="3" t="s">
        <v>12</v>
      </c>
      <c r="D892" s="3" t="s">
        <v>17</v>
      </c>
      <c r="E892" s="3" t="s">
        <v>35</v>
      </c>
      <c r="F892" s="3" t="s">
        <v>33</v>
      </c>
      <c r="G892" s="0" t="n">
        <v>40</v>
      </c>
      <c r="H892" s="4" t="n">
        <v>260.58</v>
      </c>
      <c r="I892" s="4" t="n">
        <v>155.53</v>
      </c>
      <c r="J892" s="4" t="n">
        <f aca="false">G892*H892</f>
        <v>10423.2</v>
      </c>
      <c r="K892" s="4" t="n">
        <f aca="false">G892*I892</f>
        <v>6221.2</v>
      </c>
      <c r="L892" s="4" t="n">
        <f aca="false">J892-K892</f>
        <v>4202</v>
      </c>
    </row>
    <row r="893" customFormat="false" ht="15" hidden="false" customHeight="false" outlineLevel="0" collapsed="false">
      <c r="A893" s="0" t="n">
        <v>2345</v>
      </c>
      <c r="B893" s="2" t="n">
        <v>45680</v>
      </c>
      <c r="C893" s="3" t="s">
        <v>16</v>
      </c>
      <c r="D893" s="3" t="s">
        <v>20</v>
      </c>
      <c r="E893" s="3" t="s">
        <v>42</v>
      </c>
      <c r="F893" s="3" t="s">
        <v>39</v>
      </c>
      <c r="G893" s="0" t="n">
        <v>5</v>
      </c>
      <c r="H893" s="4" t="n">
        <v>116.65</v>
      </c>
      <c r="I893" s="4" t="n">
        <v>69.44</v>
      </c>
      <c r="J893" s="4" t="n">
        <f aca="false">G893*H893</f>
        <v>583.25</v>
      </c>
      <c r="K893" s="4" t="n">
        <f aca="false">G893*I893</f>
        <v>347.2</v>
      </c>
      <c r="L893" s="4" t="n">
        <f aca="false">J893-K893</f>
        <v>236.05</v>
      </c>
    </row>
    <row r="894" customFormat="false" ht="15" hidden="false" customHeight="false" outlineLevel="0" collapsed="false">
      <c r="A894" s="0" t="n">
        <v>1590</v>
      </c>
      <c r="B894" s="2" t="n">
        <v>45682</v>
      </c>
      <c r="C894" s="3" t="s">
        <v>32</v>
      </c>
      <c r="D894" s="3" t="s">
        <v>20</v>
      </c>
      <c r="E894" s="3" t="s">
        <v>42</v>
      </c>
      <c r="F894" s="3" t="s">
        <v>15</v>
      </c>
      <c r="G894" s="0" t="n">
        <v>38</v>
      </c>
      <c r="H894" s="4" t="n">
        <v>27.52</v>
      </c>
      <c r="I894" s="4" t="n">
        <v>13.78</v>
      </c>
      <c r="J894" s="4" t="n">
        <f aca="false">G894*H894</f>
        <v>1045.76</v>
      </c>
      <c r="K894" s="4" t="n">
        <f aca="false">G894*I894</f>
        <v>523.64</v>
      </c>
      <c r="L894" s="4" t="n">
        <f aca="false">J894-K894</f>
        <v>522.12</v>
      </c>
    </row>
    <row r="895" customFormat="false" ht="15" hidden="false" customHeight="false" outlineLevel="0" collapsed="false">
      <c r="A895" s="0" t="n">
        <v>1802</v>
      </c>
      <c r="B895" s="2" t="n">
        <v>45682</v>
      </c>
      <c r="C895" s="3" t="s">
        <v>16</v>
      </c>
      <c r="D895" s="3" t="s">
        <v>20</v>
      </c>
      <c r="E895" s="3" t="s">
        <v>34</v>
      </c>
      <c r="F895" s="3" t="s">
        <v>39</v>
      </c>
      <c r="G895" s="0" t="n">
        <v>17</v>
      </c>
      <c r="H895" s="4" t="n">
        <v>227.36</v>
      </c>
      <c r="I895" s="4" t="n">
        <v>166.95</v>
      </c>
      <c r="J895" s="4" t="n">
        <f aca="false">G895*H895</f>
        <v>3865.12</v>
      </c>
      <c r="K895" s="4" t="n">
        <f aca="false">G895*I895</f>
        <v>2838.15</v>
      </c>
      <c r="L895" s="4" t="n">
        <f aca="false">J895-K895</f>
        <v>1026.97</v>
      </c>
    </row>
    <row r="896" customFormat="false" ht="15" hidden="false" customHeight="false" outlineLevel="0" collapsed="false">
      <c r="A896" s="0" t="n">
        <v>2244</v>
      </c>
      <c r="B896" s="2" t="n">
        <v>45682</v>
      </c>
      <c r="C896" s="3" t="s">
        <v>23</v>
      </c>
      <c r="D896" s="3" t="s">
        <v>20</v>
      </c>
      <c r="E896" s="3" t="s">
        <v>21</v>
      </c>
      <c r="F896" s="3" t="s">
        <v>19</v>
      </c>
      <c r="G896" s="0" t="n">
        <v>2</v>
      </c>
      <c r="H896" s="4" t="n">
        <v>143.46</v>
      </c>
      <c r="I896" s="4" t="n">
        <v>92.24</v>
      </c>
      <c r="J896" s="4" t="n">
        <f aca="false">G896*H896</f>
        <v>286.92</v>
      </c>
      <c r="K896" s="4" t="n">
        <f aca="false">G896*I896</f>
        <v>184.48</v>
      </c>
      <c r="L896" s="4" t="n">
        <f aca="false">J896-K896</f>
        <v>102.44</v>
      </c>
    </row>
    <row r="897" customFormat="false" ht="15" hidden="false" customHeight="false" outlineLevel="0" collapsed="false">
      <c r="A897" s="0" t="n">
        <v>2634</v>
      </c>
      <c r="B897" s="2" t="n">
        <v>45682</v>
      </c>
      <c r="C897" s="3" t="s">
        <v>32</v>
      </c>
      <c r="D897" s="3" t="s">
        <v>13</v>
      </c>
      <c r="E897" s="3" t="s">
        <v>31</v>
      </c>
      <c r="F897" s="3" t="s">
        <v>19</v>
      </c>
      <c r="G897" s="0" t="n">
        <v>14</v>
      </c>
      <c r="H897" s="4" t="n">
        <v>39.98</v>
      </c>
      <c r="I897" s="4" t="n">
        <v>22.34</v>
      </c>
      <c r="J897" s="4" t="n">
        <f aca="false">G897*H897</f>
        <v>559.72</v>
      </c>
      <c r="K897" s="4" t="n">
        <f aca="false">G897*I897</f>
        <v>312.76</v>
      </c>
      <c r="L897" s="4" t="n">
        <f aca="false">J897-K897</f>
        <v>246.96</v>
      </c>
    </row>
    <row r="898" customFormat="false" ht="15" hidden="false" customHeight="false" outlineLevel="0" collapsed="false">
      <c r="A898" s="0" t="n">
        <v>2721</v>
      </c>
      <c r="B898" s="2" t="n">
        <v>45682</v>
      </c>
      <c r="C898" s="3" t="s">
        <v>23</v>
      </c>
      <c r="D898" s="3" t="s">
        <v>29</v>
      </c>
      <c r="E898" s="3" t="s">
        <v>41</v>
      </c>
      <c r="F898" s="3" t="s">
        <v>19</v>
      </c>
      <c r="G898" s="0" t="n">
        <v>8</v>
      </c>
      <c r="H898" s="4" t="n">
        <v>270.34</v>
      </c>
      <c r="I898" s="4" t="n">
        <v>144.41</v>
      </c>
      <c r="J898" s="4" t="n">
        <f aca="false">G898*H898</f>
        <v>2162.72</v>
      </c>
      <c r="K898" s="4" t="n">
        <f aca="false">G898*I898</f>
        <v>1155.28</v>
      </c>
      <c r="L898" s="4" t="n">
        <f aca="false">J898-K898</f>
        <v>1007.44</v>
      </c>
    </row>
    <row r="899" customFormat="false" ht="15" hidden="false" customHeight="false" outlineLevel="0" collapsed="false">
      <c r="A899" s="0" t="n">
        <v>2769</v>
      </c>
      <c r="B899" s="2" t="n">
        <v>45682</v>
      </c>
      <c r="C899" s="3" t="s">
        <v>26</v>
      </c>
      <c r="D899" s="3" t="s">
        <v>13</v>
      </c>
      <c r="E899" s="3" t="s">
        <v>46</v>
      </c>
      <c r="F899" s="3" t="s">
        <v>39</v>
      </c>
      <c r="G899" s="0" t="n">
        <v>37</v>
      </c>
      <c r="H899" s="4" t="n">
        <v>4.56</v>
      </c>
      <c r="I899" s="4" t="n">
        <v>2.4</v>
      </c>
      <c r="J899" s="4" t="n">
        <f aca="false">G899*H899</f>
        <v>168.72</v>
      </c>
      <c r="K899" s="4" t="n">
        <f aca="false">G899*I899</f>
        <v>88.8</v>
      </c>
      <c r="L899" s="4" t="n">
        <f aca="false">J899-K899</f>
        <v>79.92</v>
      </c>
    </row>
    <row r="900" customFormat="false" ht="15" hidden="false" customHeight="false" outlineLevel="0" collapsed="false">
      <c r="A900" s="0" t="n">
        <v>1194</v>
      </c>
      <c r="B900" s="2" t="n">
        <v>45683</v>
      </c>
      <c r="C900" s="3" t="s">
        <v>23</v>
      </c>
      <c r="D900" s="3" t="s">
        <v>20</v>
      </c>
      <c r="E900" s="3" t="s">
        <v>21</v>
      </c>
      <c r="F900" s="3" t="s">
        <v>25</v>
      </c>
      <c r="G900" s="0" t="n">
        <v>35</v>
      </c>
      <c r="H900" s="4" t="n">
        <v>298</v>
      </c>
      <c r="I900" s="4" t="n">
        <v>178.28</v>
      </c>
      <c r="J900" s="4" t="n">
        <f aca="false">G900*H900</f>
        <v>10430</v>
      </c>
      <c r="K900" s="4" t="n">
        <f aca="false">G900*I900</f>
        <v>6239.8</v>
      </c>
      <c r="L900" s="4" t="n">
        <f aca="false">J900-K900</f>
        <v>4190.2</v>
      </c>
    </row>
    <row r="901" customFormat="false" ht="15" hidden="false" customHeight="false" outlineLevel="0" collapsed="false">
      <c r="A901" s="0" t="n">
        <v>1787</v>
      </c>
      <c r="B901" s="2" t="n">
        <v>45683</v>
      </c>
      <c r="C901" s="3" t="s">
        <v>16</v>
      </c>
      <c r="D901" s="3" t="s">
        <v>29</v>
      </c>
      <c r="E901" s="3" t="s">
        <v>41</v>
      </c>
      <c r="F901" s="3" t="s">
        <v>25</v>
      </c>
      <c r="G901" s="0" t="n">
        <v>7</v>
      </c>
      <c r="H901" s="4" t="n">
        <v>224.64</v>
      </c>
      <c r="I901" s="4" t="n">
        <v>154.37</v>
      </c>
      <c r="J901" s="4" t="n">
        <f aca="false">G901*H901</f>
        <v>1572.48</v>
      </c>
      <c r="K901" s="4" t="n">
        <f aca="false">G901*I901</f>
        <v>1080.59</v>
      </c>
      <c r="L901" s="4" t="n">
        <f aca="false">J901-K901</f>
        <v>491.89</v>
      </c>
    </row>
    <row r="902" customFormat="false" ht="15" hidden="false" customHeight="false" outlineLevel="0" collapsed="false">
      <c r="A902" s="0" t="n">
        <v>2097</v>
      </c>
      <c r="B902" s="2" t="n">
        <v>45683</v>
      </c>
      <c r="C902" s="3" t="s">
        <v>16</v>
      </c>
      <c r="D902" s="3" t="s">
        <v>17</v>
      </c>
      <c r="E902" s="3" t="s">
        <v>40</v>
      </c>
      <c r="F902" s="3" t="s">
        <v>15</v>
      </c>
      <c r="G902" s="0" t="n">
        <v>28</v>
      </c>
      <c r="H902" s="4" t="n">
        <v>396.62</v>
      </c>
      <c r="I902" s="4" t="n">
        <v>271.95</v>
      </c>
      <c r="J902" s="4" t="n">
        <f aca="false">G902*H902</f>
        <v>11105.36</v>
      </c>
      <c r="K902" s="4" t="n">
        <f aca="false">G902*I902</f>
        <v>7614.6</v>
      </c>
      <c r="L902" s="4" t="n">
        <f aca="false">J902-K902</f>
        <v>3490.76</v>
      </c>
    </row>
    <row r="903" customFormat="false" ht="15" hidden="false" customHeight="false" outlineLevel="0" collapsed="false">
      <c r="A903" s="0" t="n">
        <v>1242</v>
      </c>
      <c r="B903" s="2" t="n">
        <v>45685</v>
      </c>
      <c r="C903" s="3" t="s">
        <v>16</v>
      </c>
      <c r="D903" s="3" t="s">
        <v>20</v>
      </c>
      <c r="E903" s="3" t="s">
        <v>21</v>
      </c>
      <c r="F903" s="3" t="s">
        <v>28</v>
      </c>
      <c r="G903" s="0" t="n">
        <v>27</v>
      </c>
      <c r="H903" s="4" t="n">
        <v>178.31</v>
      </c>
      <c r="I903" s="4" t="n">
        <v>124.63</v>
      </c>
      <c r="J903" s="4" t="n">
        <f aca="false">G903*H903</f>
        <v>4814.37</v>
      </c>
      <c r="K903" s="4" t="n">
        <f aca="false">G903*I903</f>
        <v>3365.01</v>
      </c>
      <c r="L903" s="4" t="n">
        <f aca="false">J903-K903</f>
        <v>1449.36</v>
      </c>
    </row>
    <row r="904" customFormat="false" ht="15" hidden="false" customHeight="false" outlineLevel="0" collapsed="false">
      <c r="A904" s="0" t="n">
        <v>1524</v>
      </c>
      <c r="B904" s="2" t="n">
        <v>45685</v>
      </c>
      <c r="C904" s="3" t="s">
        <v>32</v>
      </c>
      <c r="D904" s="3" t="s">
        <v>13</v>
      </c>
      <c r="E904" s="3" t="s">
        <v>24</v>
      </c>
      <c r="F904" s="3" t="s">
        <v>36</v>
      </c>
      <c r="G904" s="0" t="n">
        <v>39</v>
      </c>
      <c r="H904" s="4" t="n">
        <v>31.39</v>
      </c>
      <c r="I904" s="4" t="n">
        <v>17.81</v>
      </c>
      <c r="J904" s="4" t="n">
        <f aca="false">G904*H904</f>
        <v>1224.21</v>
      </c>
      <c r="K904" s="4" t="n">
        <f aca="false">G904*I904</f>
        <v>694.59</v>
      </c>
      <c r="L904" s="4" t="n">
        <f aca="false">J904-K904</f>
        <v>529.62</v>
      </c>
    </row>
    <row r="905" customFormat="false" ht="15" hidden="false" customHeight="false" outlineLevel="0" collapsed="false">
      <c r="A905" s="0" t="n">
        <v>1869</v>
      </c>
      <c r="B905" s="2" t="n">
        <v>45685</v>
      </c>
      <c r="C905" s="3" t="s">
        <v>26</v>
      </c>
      <c r="D905" s="3" t="s">
        <v>20</v>
      </c>
      <c r="E905" s="3" t="s">
        <v>34</v>
      </c>
      <c r="F905" s="3" t="s">
        <v>25</v>
      </c>
      <c r="G905" s="0" t="n">
        <v>15</v>
      </c>
      <c r="H905" s="4" t="n">
        <v>192.4</v>
      </c>
      <c r="I905" s="4" t="n">
        <v>101.89</v>
      </c>
      <c r="J905" s="4" t="n">
        <f aca="false">G905*H905</f>
        <v>2886</v>
      </c>
      <c r="K905" s="4" t="n">
        <f aca="false">G905*I905</f>
        <v>1528.35</v>
      </c>
      <c r="L905" s="4" t="n">
        <f aca="false">J905-K905</f>
        <v>1357.65</v>
      </c>
    </row>
    <row r="906" customFormat="false" ht="15" hidden="false" customHeight="false" outlineLevel="0" collapsed="false">
      <c r="A906" s="0" t="n">
        <v>1875</v>
      </c>
      <c r="B906" s="2" t="n">
        <v>45685</v>
      </c>
      <c r="C906" s="3" t="s">
        <v>26</v>
      </c>
      <c r="D906" s="3" t="s">
        <v>20</v>
      </c>
      <c r="E906" s="3" t="s">
        <v>34</v>
      </c>
      <c r="F906" s="3" t="s">
        <v>25</v>
      </c>
      <c r="G906" s="0" t="n">
        <v>16</v>
      </c>
      <c r="H906" s="4" t="n">
        <v>121.47</v>
      </c>
      <c r="I906" s="4" t="n">
        <v>75.13</v>
      </c>
      <c r="J906" s="4" t="n">
        <f aca="false">G906*H906</f>
        <v>1943.52</v>
      </c>
      <c r="K906" s="4" t="n">
        <f aca="false">G906*I906</f>
        <v>1202.08</v>
      </c>
      <c r="L906" s="4" t="n">
        <f aca="false">J906-K906</f>
        <v>741.44</v>
      </c>
    </row>
    <row r="907" customFormat="false" ht="15" hidden="false" customHeight="false" outlineLevel="0" collapsed="false">
      <c r="A907" s="0" t="n">
        <v>2512</v>
      </c>
      <c r="B907" s="2" t="n">
        <v>45685</v>
      </c>
      <c r="C907" s="3" t="s">
        <v>16</v>
      </c>
      <c r="D907" s="3" t="s">
        <v>13</v>
      </c>
      <c r="E907" s="3" t="s">
        <v>46</v>
      </c>
      <c r="F907" s="3" t="s">
        <v>36</v>
      </c>
      <c r="G907" s="0" t="n">
        <v>33</v>
      </c>
      <c r="H907" s="4" t="n">
        <v>51.19</v>
      </c>
      <c r="I907" s="4" t="n">
        <v>32.2</v>
      </c>
      <c r="J907" s="4" t="n">
        <f aca="false">G907*H907</f>
        <v>1689.27</v>
      </c>
      <c r="K907" s="4" t="n">
        <f aca="false">G907*I907</f>
        <v>1062.6</v>
      </c>
      <c r="L907" s="4" t="n">
        <f aca="false">J907-K907</f>
        <v>626.67</v>
      </c>
    </row>
    <row r="908" customFormat="false" ht="15" hidden="false" customHeight="false" outlineLevel="0" collapsed="false">
      <c r="A908" s="0" t="n">
        <v>1394</v>
      </c>
      <c r="B908" s="2" t="n">
        <v>45686</v>
      </c>
      <c r="C908" s="3" t="s">
        <v>12</v>
      </c>
      <c r="D908" s="3" t="s">
        <v>17</v>
      </c>
      <c r="E908" s="3" t="s">
        <v>27</v>
      </c>
      <c r="F908" s="3" t="s">
        <v>39</v>
      </c>
      <c r="G908" s="0" t="n">
        <v>34</v>
      </c>
      <c r="H908" s="4" t="n">
        <v>782.06</v>
      </c>
      <c r="I908" s="4" t="n">
        <v>409.86</v>
      </c>
      <c r="J908" s="4" t="n">
        <f aca="false">G908*H908</f>
        <v>26590.04</v>
      </c>
      <c r="K908" s="4" t="n">
        <f aca="false">G908*I908</f>
        <v>13935.24</v>
      </c>
      <c r="L908" s="4" t="n">
        <f aca="false">J908-K908</f>
        <v>12654.8</v>
      </c>
    </row>
    <row r="909" customFormat="false" ht="15" hidden="false" customHeight="false" outlineLevel="0" collapsed="false">
      <c r="A909" s="0" t="n">
        <v>1783</v>
      </c>
      <c r="B909" s="2" t="n">
        <v>45686</v>
      </c>
      <c r="C909" s="3" t="s">
        <v>16</v>
      </c>
      <c r="D909" s="3" t="s">
        <v>13</v>
      </c>
      <c r="E909" s="3" t="s">
        <v>24</v>
      </c>
      <c r="F909" s="3" t="s">
        <v>36</v>
      </c>
      <c r="G909" s="0" t="n">
        <v>17</v>
      </c>
      <c r="H909" s="4" t="n">
        <v>45.84</v>
      </c>
      <c r="I909" s="4" t="n">
        <v>30.2</v>
      </c>
      <c r="J909" s="4" t="n">
        <f aca="false">G909*H909</f>
        <v>779.28</v>
      </c>
      <c r="K909" s="4" t="n">
        <f aca="false">G909*I909</f>
        <v>513.4</v>
      </c>
      <c r="L909" s="4" t="n">
        <f aca="false">J909-K909</f>
        <v>265.88</v>
      </c>
    </row>
    <row r="910" customFormat="false" ht="15" hidden="false" customHeight="false" outlineLevel="0" collapsed="false">
      <c r="A910" s="0" t="n">
        <v>2115</v>
      </c>
      <c r="B910" s="2" t="n">
        <v>45686</v>
      </c>
      <c r="C910" s="3" t="s">
        <v>26</v>
      </c>
      <c r="D910" s="3" t="s">
        <v>20</v>
      </c>
      <c r="E910" s="3" t="s">
        <v>38</v>
      </c>
      <c r="F910" s="3" t="s">
        <v>25</v>
      </c>
      <c r="G910" s="0" t="n">
        <v>39</v>
      </c>
      <c r="H910" s="4" t="n">
        <v>154.63</v>
      </c>
      <c r="I910" s="4" t="n">
        <v>105.38</v>
      </c>
      <c r="J910" s="4" t="n">
        <f aca="false">G910*H910</f>
        <v>6030.57</v>
      </c>
      <c r="K910" s="4" t="n">
        <f aca="false">G910*I910</f>
        <v>4109.82</v>
      </c>
      <c r="L910" s="4" t="n">
        <f aca="false">J910-K910</f>
        <v>1920.75</v>
      </c>
    </row>
    <row r="911" customFormat="false" ht="15" hidden="false" customHeight="false" outlineLevel="0" collapsed="false">
      <c r="A911" s="0" t="n">
        <v>2167</v>
      </c>
      <c r="B911" s="2" t="n">
        <v>45686</v>
      </c>
      <c r="C911" s="3" t="s">
        <v>26</v>
      </c>
      <c r="D911" s="3" t="s">
        <v>13</v>
      </c>
      <c r="E911" s="3" t="s">
        <v>24</v>
      </c>
      <c r="F911" s="3" t="s">
        <v>22</v>
      </c>
      <c r="G911" s="0" t="n">
        <v>10</v>
      </c>
      <c r="H911" s="4" t="n">
        <v>50.62</v>
      </c>
      <c r="I911" s="4" t="n">
        <v>25.46</v>
      </c>
      <c r="J911" s="4" t="n">
        <f aca="false">G911*H911</f>
        <v>506.2</v>
      </c>
      <c r="K911" s="4" t="n">
        <f aca="false">G911*I911</f>
        <v>254.6</v>
      </c>
      <c r="L911" s="4" t="n">
        <f aca="false">J911-K911</f>
        <v>251.6</v>
      </c>
    </row>
    <row r="912" customFormat="false" ht="15" hidden="false" customHeight="false" outlineLevel="0" collapsed="false">
      <c r="A912" s="0" t="n">
        <v>1298</v>
      </c>
      <c r="B912" s="2" t="n">
        <v>45687</v>
      </c>
      <c r="C912" s="3" t="s">
        <v>23</v>
      </c>
      <c r="D912" s="3" t="s">
        <v>20</v>
      </c>
      <c r="E912" s="3" t="s">
        <v>34</v>
      </c>
      <c r="F912" s="3" t="s">
        <v>36</v>
      </c>
      <c r="G912" s="0" t="n">
        <v>32</v>
      </c>
      <c r="H912" s="4" t="n">
        <v>252.07</v>
      </c>
      <c r="I912" s="4" t="n">
        <v>175.74</v>
      </c>
      <c r="J912" s="4" t="n">
        <f aca="false">G912*H912</f>
        <v>8066.24</v>
      </c>
      <c r="K912" s="4" t="n">
        <f aca="false">G912*I912</f>
        <v>5623.68</v>
      </c>
      <c r="L912" s="4" t="n">
        <f aca="false">J912-K912</f>
        <v>2442.56</v>
      </c>
    </row>
    <row r="913" customFormat="false" ht="15" hidden="false" customHeight="false" outlineLevel="0" collapsed="false">
      <c r="A913" s="0" t="n">
        <v>1753</v>
      </c>
      <c r="B913" s="2" t="n">
        <v>45687</v>
      </c>
      <c r="C913" s="3" t="s">
        <v>32</v>
      </c>
      <c r="D913" s="3" t="s">
        <v>13</v>
      </c>
      <c r="E913" s="3" t="s">
        <v>24</v>
      </c>
      <c r="F913" s="3" t="s">
        <v>15</v>
      </c>
      <c r="G913" s="0" t="n">
        <v>34</v>
      </c>
      <c r="H913" s="4" t="n">
        <v>6.27</v>
      </c>
      <c r="I913" s="4" t="n">
        <v>4.48</v>
      </c>
      <c r="J913" s="4" t="n">
        <f aca="false">G913*H913</f>
        <v>213.18</v>
      </c>
      <c r="K913" s="4" t="n">
        <f aca="false">G913*I913</f>
        <v>152.32</v>
      </c>
      <c r="L913" s="4" t="n">
        <f aca="false">J913-K913</f>
        <v>60.86</v>
      </c>
    </row>
    <row r="914" customFormat="false" ht="15" hidden="false" customHeight="false" outlineLevel="0" collapsed="false">
      <c r="A914" s="0" t="n">
        <v>2520</v>
      </c>
      <c r="B914" s="2" t="n">
        <v>45687</v>
      </c>
      <c r="C914" s="3" t="s">
        <v>16</v>
      </c>
      <c r="D914" s="3" t="s">
        <v>29</v>
      </c>
      <c r="E914" s="3" t="s">
        <v>30</v>
      </c>
      <c r="F914" s="3" t="s">
        <v>33</v>
      </c>
      <c r="G914" s="0" t="n">
        <v>32</v>
      </c>
      <c r="H914" s="4" t="n">
        <v>189.92</v>
      </c>
      <c r="I914" s="4" t="n">
        <v>109.52</v>
      </c>
      <c r="J914" s="4" t="n">
        <f aca="false">G914*H914</f>
        <v>6077.44</v>
      </c>
      <c r="K914" s="4" t="n">
        <f aca="false">G914*I914</f>
        <v>3504.64</v>
      </c>
      <c r="L914" s="4" t="n">
        <f aca="false">J914-K914</f>
        <v>2572.8</v>
      </c>
    </row>
    <row r="915" customFormat="false" ht="15" hidden="false" customHeight="false" outlineLevel="0" collapsed="false">
      <c r="A915" s="0" t="n">
        <v>2621</v>
      </c>
      <c r="B915" s="2" t="n">
        <v>45687</v>
      </c>
      <c r="C915" s="3" t="s">
        <v>16</v>
      </c>
      <c r="D915" s="3" t="s">
        <v>17</v>
      </c>
      <c r="E915" s="3" t="s">
        <v>18</v>
      </c>
      <c r="F915" s="3" t="s">
        <v>33</v>
      </c>
      <c r="G915" s="0" t="n">
        <v>11</v>
      </c>
      <c r="H915" s="4" t="n">
        <v>369.54</v>
      </c>
      <c r="I915" s="4" t="n">
        <v>196.17</v>
      </c>
      <c r="J915" s="4" t="n">
        <f aca="false">G915*H915</f>
        <v>4064.94</v>
      </c>
      <c r="K915" s="4" t="n">
        <f aca="false">G915*I915</f>
        <v>2157.87</v>
      </c>
      <c r="L915" s="4" t="n">
        <f aca="false">J915-K915</f>
        <v>1907.07</v>
      </c>
    </row>
    <row r="916" customFormat="false" ht="15" hidden="false" customHeight="false" outlineLevel="0" collapsed="false">
      <c r="A916" s="0" t="n">
        <v>2632</v>
      </c>
      <c r="B916" s="2" t="n">
        <v>45687</v>
      </c>
      <c r="C916" s="3" t="s">
        <v>16</v>
      </c>
      <c r="D916" s="3" t="s">
        <v>20</v>
      </c>
      <c r="E916" s="3" t="s">
        <v>34</v>
      </c>
      <c r="F916" s="3" t="s">
        <v>22</v>
      </c>
      <c r="G916" s="0" t="n">
        <v>20</v>
      </c>
      <c r="H916" s="4" t="n">
        <v>57.2</v>
      </c>
      <c r="I916" s="4" t="n">
        <v>35.45</v>
      </c>
      <c r="J916" s="4" t="n">
        <f aca="false">G916*H916</f>
        <v>1144</v>
      </c>
      <c r="K916" s="4" t="n">
        <f aca="false">G916*I916</f>
        <v>709</v>
      </c>
      <c r="L916" s="4" t="n">
        <f aca="false">J916-K916</f>
        <v>435</v>
      </c>
    </row>
    <row r="917" customFormat="false" ht="15" hidden="false" customHeight="false" outlineLevel="0" collapsed="false">
      <c r="A917" s="0" t="n">
        <v>2786</v>
      </c>
      <c r="B917" s="2" t="n">
        <v>45687</v>
      </c>
      <c r="C917" s="3" t="s">
        <v>32</v>
      </c>
      <c r="D917" s="3" t="s">
        <v>13</v>
      </c>
      <c r="E917" s="3" t="s">
        <v>46</v>
      </c>
      <c r="F917" s="3" t="s">
        <v>28</v>
      </c>
      <c r="G917" s="0" t="n">
        <v>10</v>
      </c>
      <c r="H917" s="4" t="n">
        <v>29.74</v>
      </c>
      <c r="I917" s="4" t="n">
        <v>21.79</v>
      </c>
      <c r="J917" s="4" t="n">
        <f aca="false">G917*H917</f>
        <v>297.4</v>
      </c>
      <c r="K917" s="4" t="n">
        <f aca="false">G917*I917</f>
        <v>217.9</v>
      </c>
      <c r="L917" s="4" t="n">
        <f aca="false">J917-K917</f>
        <v>79.5</v>
      </c>
    </row>
    <row r="918" customFormat="false" ht="15" hidden="false" customHeight="false" outlineLevel="0" collapsed="false">
      <c r="A918" s="0" t="n">
        <v>1562</v>
      </c>
      <c r="B918" s="2" t="n">
        <v>45688</v>
      </c>
      <c r="C918" s="3" t="s">
        <v>32</v>
      </c>
      <c r="D918" s="3" t="s">
        <v>13</v>
      </c>
      <c r="E918" s="3" t="s">
        <v>14</v>
      </c>
      <c r="F918" s="3" t="s">
        <v>39</v>
      </c>
      <c r="G918" s="0" t="n">
        <v>23</v>
      </c>
      <c r="H918" s="4" t="n">
        <v>14.53</v>
      </c>
      <c r="I918" s="4" t="n">
        <v>7.48</v>
      </c>
      <c r="J918" s="4" t="n">
        <f aca="false">G918*H918</f>
        <v>334.19</v>
      </c>
      <c r="K918" s="4" t="n">
        <f aca="false">G918*I918</f>
        <v>172.04</v>
      </c>
      <c r="L918" s="4" t="n">
        <f aca="false">J918-K918</f>
        <v>162.15</v>
      </c>
    </row>
    <row r="919" customFormat="false" ht="15" hidden="false" customHeight="false" outlineLevel="0" collapsed="false">
      <c r="A919" s="0" t="n">
        <v>2336</v>
      </c>
      <c r="B919" s="2" t="n">
        <v>45688</v>
      </c>
      <c r="C919" s="3" t="s">
        <v>32</v>
      </c>
      <c r="D919" s="3" t="s">
        <v>17</v>
      </c>
      <c r="E919" s="3" t="s">
        <v>44</v>
      </c>
      <c r="F919" s="3" t="s">
        <v>19</v>
      </c>
      <c r="G919" s="0" t="n">
        <v>8</v>
      </c>
      <c r="H919" s="4" t="n">
        <v>363.52</v>
      </c>
      <c r="I919" s="4" t="n">
        <v>206.97</v>
      </c>
      <c r="J919" s="4" t="n">
        <f aca="false">G919*H919</f>
        <v>2908.16</v>
      </c>
      <c r="K919" s="4" t="n">
        <f aca="false">G919*I919</f>
        <v>1655.76</v>
      </c>
      <c r="L919" s="4" t="n">
        <f aca="false">J919-K919</f>
        <v>1252.4</v>
      </c>
    </row>
    <row r="920" customFormat="false" ht="15" hidden="false" customHeight="false" outlineLevel="0" collapsed="false">
      <c r="A920" s="0" t="n">
        <v>1289</v>
      </c>
      <c r="B920" s="2" t="n">
        <v>45689</v>
      </c>
      <c r="C920" s="3" t="s">
        <v>32</v>
      </c>
      <c r="D920" s="3" t="s">
        <v>13</v>
      </c>
      <c r="E920" s="3" t="s">
        <v>24</v>
      </c>
      <c r="F920" s="3" t="s">
        <v>39</v>
      </c>
      <c r="G920" s="0" t="n">
        <v>38</v>
      </c>
      <c r="H920" s="4" t="n">
        <v>45.07</v>
      </c>
      <c r="I920" s="4" t="n">
        <v>30.46</v>
      </c>
      <c r="J920" s="4" t="n">
        <f aca="false">G920*H920</f>
        <v>1712.66</v>
      </c>
      <c r="K920" s="4" t="n">
        <f aca="false">G920*I920</f>
        <v>1157.48</v>
      </c>
      <c r="L920" s="4" t="n">
        <f aca="false">J920-K920</f>
        <v>555.18</v>
      </c>
    </row>
    <row r="921" customFormat="false" ht="15" hidden="false" customHeight="false" outlineLevel="0" collapsed="false">
      <c r="A921" s="0" t="n">
        <v>1386</v>
      </c>
      <c r="B921" s="2" t="n">
        <v>45689</v>
      </c>
      <c r="C921" s="3" t="s">
        <v>23</v>
      </c>
      <c r="D921" s="3" t="s">
        <v>20</v>
      </c>
      <c r="E921" s="3" t="s">
        <v>42</v>
      </c>
      <c r="F921" s="3" t="s">
        <v>22</v>
      </c>
      <c r="G921" s="0" t="n">
        <v>21</v>
      </c>
      <c r="H921" s="4" t="n">
        <v>96.58</v>
      </c>
      <c r="I921" s="4" t="n">
        <v>66.2</v>
      </c>
      <c r="J921" s="4" t="n">
        <f aca="false">G921*H921</f>
        <v>2028.18</v>
      </c>
      <c r="K921" s="4" t="n">
        <f aca="false">G921*I921</f>
        <v>1390.2</v>
      </c>
      <c r="L921" s="4" t="n">
        <f aca="false">J921-K921</f>
        <v>637.98</v>
      </c>
    </row>
    <row r="922" customFormat="false" ht="15" hidden="false" customHeight="false" outlineLevel="0" collapsed="false">
      <c r="A922" s="0" t="n">
        <v>2772</v>
      </c>
      <c r="B922" s="2" t="n">
        <v>45689</v>
      </c>
      <c r="C922" s="3" t="s">
        <v>12</v>
      </c>
      <c r="D922" s="3" t="s">
        <v>17</v>
      </c>
      <c r="E922" s="3" t="s">
        <v>27</v>
      </c>
      <c r="F922" s="3" t="s">
        <v>39</v>
      </c>
      <c r="G922" s="0" t="n">
        <v>35</v>
      </c>
      <c r="H922" s="4" t="n">
        <v>522.61</v>
      </c>
      <c r="I922" s="4" t="n">
        <v>286.19</v>
      </c>
      <c r="J922" s="4" t="n">
        <f aca="false">G922*H922</f>
        <v>18291.35</v>
      </c>
      <c r="K922" s="4" t="n">
        <f aca="false">G922*I922</f>
        <v>10016.65</v>
      </c>
      <c r="L922" s="4" t="n">
        <f aca="false">J922-K922</f>
        <v>8274.7</v>
      </c>
    </row>
    <row r="923" customFormat="false" ht="15" hidden="false" customHeight="false" outlineLevel="0" collapsed="false">
      <c r="A923" s="0" t="n">
        <v>1827</v>
      </c>
      <c r="B923" s="2" t="n">
        <v>45690</v>
      </c>
      <c r="C923" s="3" t="s">
        <v>12</v>
      </c>
      <c r="D923" s="3" t="s">
        <v>29</v>
      </c>
      <c r="E923" s="3" t="s">
        <v>41</v>
      </c>
      <c r="F923" s="3" t="s">
        <v>28</v>
      </c>
      <c r="G923" s="0" t="n">
        <v>38</v>
      </c>
      <c r="H923" s="4" t="n">
        <v>295.7</v>
      </c>
      <c r="I923" s="4" t="n">
        <v>157.19</v>
      </c>
      <c r="J923" s="4" t="n">
        <f aca="false">G923*H923</f>
        <v>11236.6</v>
      </c>
      <c r="K923" s="4" t="n">
        <f aca="false">G923*I923</f>
        <v>5973.22</v>
      </c>
      <c r="L923" s="4" t="n">
        <f aca="false">J923-K923</f>
        <v>5263.38</v>
      </c>
    </row>
    <row r="924" customFormat="false" ht="15" hidden="false" customHeight="false" outlineLevel="0" collapsed="false">
      <c r="A924" s="0" t="n">
        <v>1842</v>
      </c>
      <c r="B924" s="2" t="n">
        <v>45690</v>
      </c>
      <c r="C924" s="3" t="s">
        <v>12</v>
      </c>
      <c r="D924" s="3" t="s">
        <v>17</v>
      </c>
      <c r="E924" s="3" t="s">
        <v>27</v>
      </c>
      <c r="F924" s="3" t="s">
        <v>22</v>
      </c>
      <c r="G924" s="0" t="n">
        <v>9</v>
      </c>
      <c r="H924" s="4" t="n">
        <v>190.66</v>
      </c>
      <c r="I924" s="4" t="n">
        <v>127.66</v>
      </c>
      <c r="J924" s="4" t="n">
        <f aca="false">G924*H924</f>
        <v>1715.94</v>
      </c>
      <c r="K924" s="4" t="n">
        <f aca="false">G924*I924</f>
        <v>1148.94</v>
      </c>
      <c r="L924" s="4" t="n">
        <f aca="false">J924-K924</f>
        <v>567</v>
      </c>
    </row>
    <row r="925" customFormat="false" ht="15" hidden="false" customHeight="false" outlineLevel="0" collapsed="false">
      <c r="A925" s="0" t="n">
        <v>1534</v>
      </c>
      <c r="B925" s="2" t="n">
        <v>45691</v>
      </c>
      <c r="C925" s="3" t="s">
        <v>23</v>
      </c>
      <c r="D925" s="3" t="s">
        <v>29</v>
      </c>
      <c r="E925" s="3" t="s">
        <v>37</v>
      </c>
      <c r="F925" s="3" t="s">
        <v>36</v>
      </c>
      <c r="G925" s="0" t="n">
        <v>1</v>
      </c>
      <c r="H925" s="4" t="n">
        <v>240.44</v>
      </c>
      <c r="I925" s="4" t="n">
        <v>152.09</v>
      </c>
      <c r="J925" s="4" t="n">
        <f aca="false">G925*H925</f>
        <v>240.44</v>
      </c>
      <c r="K925" s="4" t="n">
        <f aca="false">G925*I925</f>
        <v>152.09</v>
      </c>
      <c r="L925" s="4" t="n">
        <f aca="false">J925-K925</f>
        <v>88.35</v>
      </c>
    </row>
    <row r="926" customFormat="false" ht="15" hidden="false" customHeight="false" outlineLevel="0" collapsed="false">
      <c r="A926" s="0" t="n">
        <v>1675</v>
      </c>
      <c r="B926" s="2" t="n">
        <v>45691</v>
      </c>
      <c r="C926" s="3" t="s">
        <v>23</v>
      </c>
      <c r="D926" s="3" t="s">
        <v>29</v>
      </c>
      <c r="E926" s="3" t="s">
        <v>41</v>
      </c>
      <c r="F926" s="3" t="s">
        <v>19</v>
      </c>
      <c r="G926" s="0" t="n">
        <v>40</v>
      </c>
      <c r="H926" s="4" t="n">
        <v>116.2</v>
      </c>
      <c r="I926" s="4" t="n">
        <v>63.13</v>
      </c>
      <c r="J926" s="4" t="n">
        <f aca="false">G926*H926</f>
        <v>4648</v>
      </c>
      <c r="K926" s="4" t="n">
        <f aca="false">G926*I926</f>
        <v>2525.2</v>
      </c>
      <c r="L926" s="4" t="n">
        <f aca="false">J926-K926</f>
        <v>2122.8</v>
      </c>
    </row>
    <row r="927" customFormat="false" ht="15" hidden="false" customHeight="false" outlineLevel="0" collapsed="false">
      <c r="A927" s="0" t="n">
        <v>2141</v>
      </c>
      <c r="B927" s="2" t="n">
        <v>45691</v>
      </c>
      <c r="C927" s="3" t="s">
        <v>23</v>
      </c>
      <c r="D927" s="3" t="s">
        <v>13</v>
      </c>
      <c r="E927" s="3" t="s">
        <v>31</v>
      </c>
      <c r="F927" s="3" t="s">
        <v>36</v>
      </c>
      <c r="G927" s="0" t="n">
        <v>4</v>
      </c>
      <c r="H927" s="4" t="n">
        <v>39.46</v>
      </c>
      <c r="I927" s="4" t="n">
        <v>28.84</v>
      </c>
      <c r="J927" s="4" t="n">
        <f aca="false">G927*H927</f>
        <v>157.84</v>
      </c>
      <c r="K927" s="4" t="n">
        <f aca="false">G927*I927</f>
        <v>115.36</v>
      </c>
      <c r="L927" s="4" t="n">
        <f aca="false">J927-K927</f>
        <v>42.48</v>
      </c>
    </row>
    <row r="928" customFormat="false" ht="15" hidden="false" customHeight="false" outlineLevel="0" collapsed="false">
      <c r="A928" s="0" t="n">
        <v>2158</v>
      </c>
      <c r="B928" s="2" t="n">
        <v>45691</v>
      </c>
      <c r="C928" s="3" t="s">
        <v>23</v>
      </c>
      <c r="D928" s="3" t="s">
        <v>17</v>
      </c>
      <c r="E928" s="3" t="s">
        <v>40</v>
      </c>
      <c r="F928" s="3" t="s">
        <v>33</v>
      </c>
      <c r="G928" s="0" t="n">
        <v>3</v>
      </c>
      <c r="H928" s="4" t="n">
        <v>178.22</v>
      </c>
      <c r="I928" s="4" t="n">
        <v>96.05</v>
      </c>
      <c r="J928" s="4" t="n">
        <f aca="false">G928*H928</f>
        <v>534.66</v>
      </c>
      <c r="K928" s="4" t="n">
        <f aca="false">G928*I928</f>
        <v>288.15</v>
      </c>
      <c r="L928" s="4" t="n">
        <f aca="false">J928-K928</f>
        <v>246.51</v>
      </c>
    </row>
    <row r="929" customFormat="false" ht="15" hidden="false" customHeight="false" outlineLevel="0" collapsed="false">
      <c r="A929" s="0" t="n">
        <v>2419</v>
      </c>
      <c r="B929" s="2" t="n">
        <v>45691</v>
      </c>
      <c r="C929" s="3" t="s">
        <v>32</v>
      </c>
      <c r="D929" s="3" t="s">
        <v>13</v>
      </c>
      <c r="E929" s="3" t="s">
        <v>14</v>
      </c>
      <c r="F929" s="3" t="s">
        <v>39</v>
      </c>
      <c r="G929" s="0" t="n">
        <v>29</v>
      </c>
      <c r="H929" s="4" t="n">
        <v>3.98</v>
      </c>
      <c r="I929" s="4" t="n">
        <v>2.21</v>
      </c>
      <c r="J929" s="4" t="n">
        <f aca="false">G929*H929</f>
        <v>115.42</v>
      </c>
      <c r="K929" s="4" t="n">
        <f aca="false">G929*I929</f>
        <v>64.09</v>
      </c>
      <c r="L929" s="4" t="n">
        <f aca="false">J929-K929</f>
        <v>51.33</v>
      </c>
    </row>
    <row r="930" customFormat="false" ht="15" hidden="false" customHeight="false" outlineLevel="0" collapsed="false">
      <c r="A930" s="0" t="n">
        <v>2454</v>
      </c>
      <c r="B930" s="2" t="n">
        <v>45691</v>
      </c>
      <c r="C930" s="3" t="s">
        <v>12</v>
      </c>
      <c r="D930" s="3" t="s">
        <v>29</v>
      </c>
      <c r="E930" s="3" t="s">
        <v>43</v>
      </c>
      <c r="F930" s="3" t="s">
        <v>15</v>
      </c>
      <c r="G930" s="0" t="n">
        <v>3</v>
      </c>
      <c r="H930" s="4" t="n">
        <v>382.87</v>
      </c>
      <c r="I930" s="4" t="n">
        <v>243.45</v>
      </c>
      <c r="J930" s="4" t="n">
        <f aca="false">G930*H930</f>
        <v>1148.61</v>
      </c>
      <c r="K930" s="4" t="n">
        <f aca="false">G930*I930</f>
        <v>730.35</v>
      </c>
      <c r="L930" s="4" t="n">
        <f aca="false">J930-K930</f>
        <v>418.26</v>
      </c>
    </row>
    <row r="931" customFormat="false" ht="15" hidden="false" customHeight="false" outlineLevel="0" collapsed="false">
      <c r="A931" s="0" t="n">
        <v>2717</v>
      </c>
      <c r="B931" s="2" t="n">
        <v>45691</v>
      </c>
      <c r="C931" s="3" t="s">
        <v>16</v>
      </c>
      <c r="D931" s="3" t="s">
        <v>29</v>
      </c>
      <c r="E931" s="3" t="s">
        <v>41</v>
      </c>
      <c r="F931" s="3" t="s">
        <v>33</v>
      </c>
      <c r="G931" s="0" t="n">
        <v>30</v>
      </c>
      <c r="H931" s="4" t="n">
        <v>382.63</v>
      </c>
      <c r="I931" s="4" t="n">
        <v>260.36</v>
      </c>
      <c r="J931" s="4" t="n">
        <f aca="false">G931*H931</f>
        <v>11478.9</v>
      </c>
      <c r="K931" s="4" t="n">
        <f aca="false">G931*I931</f>
        <v>7810.8</v>
      </c>
      <c r="L931" s="4" t="n">
        <f aca="false">J931-K931</f>
        <v>3668.1</v>
      </c>
    </row>
    <row r="932" customFormat="false" ht="15" hidden="false" customHeight="false" outlineLevel="0" collapsed="false">
      <c r="A932" s="0" t="n">
        <v>1232</v>
      </c>
      <c r="B932" s="2" t="n">
        <v>45692</v>
      </c>
      <c r="C932" s="3" t="s">
        <v>23</v>
      </c>
      <c r="D932" s="3" t="s">
        <v>13</v>
      </c>
      <c r="E932" s="3" t="s">
        <v>31</v>
      </c>
      <c r="F932" s="3" t="s">
        <v>22</v>
      </c>
      <c r="G932" s="0" t="n">
        <v>31</v>
      </c>
      <c r="H932" s="4" t="n">
        <v>26.71</v>
      </c>
      <c r="I932" s="4" t="n">
        <v>19.64</v>
      </c>
      <c r="J932" s="4" t="n">
        <f aca="false">G932*H932</f>
        <v>828.01</v>
      </c>
      <c r="K932" s="4" t="n">
        <f aca="false">G932*I932</f>
        <v>608.84</v>
      </c>
      <c r="L932" s="4" t="n">
        <f aca="false">J932-K932</f>
        <v>219.17</v>
      </c>
    </row>
    <row r="933" customFormat="false" ht="15" hidden="false" customHeight="false" outlineLevel="0" collapsed="false">
      <c r="A933" s="0" t="n">
        <v>1383</v>
      </c>
      <c r="B933" s="2" t="n">
        <v>45693</v>
      </c>
      <c r="C933" s="3" t="s">
        <v>12</v>
      </c>
      <c r="D933" s="3" t="s">
        <v>29</v>
      </c>
      <c r="E933" s="3" t="s">
        <v>37</v>
      </c>
      <c r="F933" s="3" t="s">
        <v>28</v>
      </c>
      <c r="G933" s="0" t="n">
        <v>33</v>
      </c>
      <c r="H933" s="4" t="n">
        <v>290.91</v>
      </c>
      <c r="I933" s="4" t="n">
        <v>207.13</v>
      </c>
      <c r="J933" s="4" t="n">
        <f aca="false">G933*H933</f>
        <v>9600.03</v>
      </c>
      <c r="K933" s="4" t="n">
        <f aca="false">G933*I933</f>
        <v>6835.29</v>
      </c>
      <c r="L933" s="4" t="n">
        <f aca="false">J933-K933</f>
        <v>2764.74</v>
      </c>
    </row>
    <row r="934" customFormat="false" ht="15" hidden="false" customHeight="false" outlineLevel="0" collapsed="false">
      <c r="A934" s="0" t="n">
        <v>1510</v>
      </c>
      <c r="B934" s="2" t="n">
        <v>45693</v>
      </c>
      <c r="C934" s="3" t="s">
        <v>12</v>
      </c>
      <c r="D934" s="3" t="s">
        <v>20</v>
      </c>
      <c r="E934" s="3" t="s">
        <v>38</v>
      </c>
      <c r="F934" s="3" t="s">
        <v>15</v>
      </c>
      <c r="G934" s="0" t="n">
        <v>22</v>
      </c>
      <c r="H934" s="4" t="n">
        <v>169.38</v>
      </c>
      <c r="I934" s="4" t="n">
        <v>125.92</v>
      </c>
      <c r="J934" s="4" t="n">
        <f aca="false">G934*H934</f>
        <v>3726.36</v>
      </c>
      <c r="K934" s="4" t="n">
        <f aca="false">G934*I934</f>
        <v>2770.24</v>
      </c>
      <c r="L934" s="4" t="n">
        <f aca="false">J934-K934</f>
        <v>956.119999999999</v>
      </c>
    </row>
    <row r="935" customFormat="false" ht="15" hidden="false" customHeight="false" outlineLevel="0" collapsed="false">
      <c r="A935" s="0" t="n">
        <v>1808</v>
      </c>
      <c r="B935" s="2" t="n">
        <v>45693</v>
      </c>
      <c r="C935" s="3" t="s">
        <v>32</v>
      </c>
      <c r="D935" s="3" t="s">
        <v>20</v>
      </c>
      <c r="E935" s="3" t="s">
        <v>21</v>
      </c>
      <c r="F935" s="3" t="s">
        <v>33</v>
      </c>
      <c r="G935" s="0" t="n">
        <v>26</v>
      </c>
      <c r="H935" s="4" t="n">
        <v>214.99</v>
      </c>
      <c r="I935" s="4" t="n">
        <v>117.98</v>
      </c>
      <c r="J935" s="4" t="n">
        <f aca="false">G935*H935</f>
        <v>5589.74</v>
      </c>
      <c r="K935" s="4" t="n">
        <f aca="false">G935*I935</f>
        <v>3067.48</v>
      </c>
      <c r="L935" s="4" t="n">
        <f aca="false">J935-K935</f>
        <v>2522.26</v>
      </c>
    </row>
    <row r="936" customFormat="false" ht="15" hidden="false" customHeight="false" outlineLevel="0" collapsed="false">
      <c r="A936" s="0" t="n">
        <v>1277</v>
      </c>
      <c r="B936" s="2" t="n">
        <v>45694</v>
      </c>
      <c r="C936" s="3" t="s">
        <v>32</v>
      </c>
      <c r="D936" s="3" t="s">
        <v>29</v>
      </c>
      <c r="E936" s="3" t="s">
        <v>41</v>
      </c>
      <c r="F936" s="3" t="s">
        <v>15</v>
      </c>
      <c r="G936" s="0" t="n">
        <v>15</v>
      </c>
      <c r="H936" s="4" t="n">
        <v>407.57</v>
      </c>
      <c r="I936" s="4" t="n">
        <v>219.62</v>
      </c>
      <c r="J936" s="4" t="n">
        <f aca="false">G936*H936</f>
        <v>6113.55</v>
      </c>
      <c r="K936" s="4" t="n">
        <f aca="false">G936*I936</f>
        <v>3294.3</v>
      </c>
      <c r="L936" s="4" t="n">
        <f aca="false">J936-K936</f>
        <v>2819.25</v>
      </c>
    </row>
    <row r="937" customFormat="false" ht="15" hidden="false" customHeight="false" outlineLevel="0" collapsed="false">
      <c r="A937" s="0" t="n">
        <v>1472</v>
      </c>
      <c r="B937" s="2" t="n">
        <v>45694</v>
      </c>
      <c r="C937" s="3" t="s">
        <v>12</v>
      </c>
      <c r="D937" s="3" t="s">
        <v>17</v>
      </c>
      <c r="E937" s="3" t="s">
        <v>40</v>
      </c>
      <c r="F937" s="3" t="s">
        <v>33</v>
      </c>
      <c r="G937" s="0" t="n">
        <v>23</v>
      </c>
      <c r="H937" s="4" t="n">
        <v>585.19</v>
      </c>
      <c r="I937" s="4" t="n">
        <v>411.37</v>
      </c>
      <c r="J937" s="4" t="n">
        <f aca="false">G937*H937</f>
        <v>13459.37</v>
      </c>
      <c r="K937" s="4" t="n">
        <f aca="false">G937*I937</f>
        <v>9461.51</v>
      </c>
      <c r="L937" s="4" t="n">
        <f aca="false">J937-K937</f>
        <v>3997.86</v>
      </c>
    </row>
    <row r="938" customFormat="false" ht="15" hidden="false" customHeight="false" outlineLevel="0" collapsed="false">
      <c r="A938" s="0" t="n">
        <v>1713</v>
      </c>
      <c r="B938" s="2" t="n">
        <v>45694</v>
      </c>
      <c r="C938" s="3" t="s">
        <v>16</v>
      </c>
      <c r="D938" s="3" t="s">
        <v>17</v>
      </c>
      <c r="E938" s="3" t="s">
        <v>27</v>
      </c>
      <c r="F938" s="3" t="s">
        <v>22</v>
      </c>
      <c r="G938" s="0" t="n">
        <v>29</v>
      </c>
      <c r="H938" s="4" t="n">
        <v>624.69</v>
      </c>
      <c r="I938" s="4" t="n">
        <v>368.25</v>
      </c>
      <c r="J938" s="4" t="n">
        <f aca="false">G938*H938</f>
        <v>18116.01</v>
      </c>
      <c r="K938" s="4" t="n">
        <f aca="false">G938*I938</f>
        <v>10679.25</v>
      </c>
      <c r="L938" s="4" t="n">
        <f aca="false">J938-K938</f>
        <v>7436.76</v>
      </c>
    </row>
    <row r="939" customFormat="false" ht="15" hidden="false" customHeight="false" outlineLevel="0" collapsed="false">
      <c r="A939" s="0" t="n">
        <v>2305</v>
      </c>
      <c r="B939" s="2" t="n">
        <v>45694</v>
      </c>
      <c r="C939" s="3" t="s">
        <v>12</v>
      </c>
      <c r="D939" s="3" t="s">
        <v>29</v>
      </c>
      <c r="E939" s="3" t="s">
        <v>41</v>
      </c>
      <c r="F939" s="3" t="s">
        <v>25</v>
      </c>
      <c r="G939" s="0" t="n">
        <v>15</v>
      </c>
      <c r="H939" s="4" t="n">
        <v>430.43</v>
      </c>
      <c r="I939" s="4" t="n">
        <v>235.48</v>
      </c>
      <c r="J939" s="4" t="n">
        <f aca="false">G939*H939</f>
        <v>6456.45</v>
      </c>
      <c r="K939" s="4" t="n">
        <f aca="false">G939*I939</f>
        <v>3532.2</v>
      </c>
      <c r="L939" s="4" t="n">
        <f aca="false">J939-K939</f>
        <v>2924.25</v>
      </c>
    </row>
    <row r="940" customFormat="false" ht="15" hidden="false" customHeight="false" outlineLevel="0" collapsed="false">
      <c r="A940" s="0" t="n">
        <v>1656</v>
      </c>
      <c r="B940" s="2" t="n">
        <v>45695</v>
      </c>
      <c r="C940" s="3" t="s">
        <v>32</v>
      </c>
      <c r="D940" s="3" t="s">
        <v>17</v>
      </c>
      <c r="E940" s="3" t="s">
        <v>40</v>
      </c>
      <c r="F940" s="3" t="s">
        <v>19</v>
      </c>
      <c r="G940" s="0" t="n">
        <v>2</v>
      </c>
      <c r="H940" s="4" t="n">
        <v>128.09</v>
      </c>
      <c r="I940" s="4" t="n">
        <v>94.63</v>
      </c>
      <c r="J940" s="4" t="n">
        <f aca="false">G940*H940</f>
        <v>256.18</v>
      </c>
      <c r="K940" s="4" t="n">
        <f aca="false">G940*I940</f>
        <v>189.26</v>
      </c>
      <c r="L940" s="4" t="n">
        <f aca="false">J940-K940</f>
        <v>66.92</v>
      </c>
    </row>
    <row r="941" customFormat="false" ht="15" hidden="false" customHeight="false" outlineLevel="0" collapsed="false">
      <c r="A941" s="0" t="n">
        <v>1293</v>
      </c>
      <c r="B941" s="2" t="n">
        <v>45697</v>
      </c>
      <c r="C941" s="3" t="s">
        <v>16</v>
      </c>
      <c r="D941" s="3" t="s">
        <v>17</v>
      </c>
      <c r="E941" s="3" t="s">
        <v>40</v>
      </c>
      <c r="F941" s="3" t="s">
        <v>15</v>
      </c>
      <c r="G941" s="0" t="n">
        <v>21</v>
      </c>
      <c r="H941" s="4" t="n">
        <v>174.62</v>
      </c>
      <c r="I941" s="4" t="n">
        <v>129.25</v>
      </c>
      <c r="J941" s="4" t="n">
        <f aca="false">G941*H941</f>
        <v>3667.02</v>
      </c>
      <c r="K941" s="4" t="n">
        <f aca="false">G941*I941</f>
        <v>2714.25</v>
      </c>
      <c r="L941" s="4" t="n">
        <f aca="false">J941-K941</f>
        <v>952.77</v>
      </c>
    </row>
    <row r="942" customFormat="false" ht="15" hidden="false" customHeight="false" outlineLevel="0" collapsed="false">
      <c r="A942" s="0" t="n">
        <v>1881</v>
      </c>
      <c r="B942" s="2" t="n">
        <v>45697</v>
      </c>
      <c r="C942" s="3" t="s">
        <v>23</v>
      </c>
      <c r="D942" s="3" t="s">
        <v>20</v>
      </c>
      <c r="E942" s="3" t="s">
        <v>38</v>
      </c>
      <c r="F942" s="3" t="s">
        <v>15</v>
      </c>
      <c r="G942" s="0" t="n">
        <v>15</v>
      </c>
      <c r="H942" s="4" t="n">
        <v>166.02</v>
      </c>
      <c r="I942" s="4" t="n">
        <v>123.6</v>
      </c>
      <c r="J942" s="4" t="n">
        <f aca="false">G942*H942</f>
        <v>2490.3</v>
      </c>
      <c r="K942" s="4" t="n">
        <f aca="false">G942*I942</f>
        <v>1854</v>
      </c>
      <c r="L942" s="4" t="n">
        <f aca="false">J942-K942</f>
        <v>636.3</v>
      </c>
    </row>
    <row r="943" customFormat="false" ht="15" hidden="false" customHeight="false" outlineLevel="0" collapsed="false">
      <c r="A943" s="0" t="n">
        <v>2282</v>
      </c>
      <c r="B943" s="2" t="n">
        <v>45697</v>
      </c>
      <c r="C943" s="3" t="s">
        <v>12</v>
      </c>
      <c r="D943" s="3" t="s">
        <v>17</v>
      </c>
      <c r="E943" s="3" t="s">
        <v>44</v>
      </c>
      <c r="F943" s="3" t="s">
        <v>28</v>
      </c>
      <c r="G943" s="0" t="n">
        <v>11</v>
      </c>
      <c r="H943" s="4" t="n">
        <v>156.81</v>
      </c>
      <c r="I943" s="4" t="n">
        <v>103.68</v>
      </c>
      <c r="J943" s="4" t="n">
        <f aca="false">G943*H943</f>
        <v>1724.91</v>
      </c>
      <c r="K943" s="4" t="n">
        <f aca="false">G943*I943</f>
        <v>1140.48</v>
      </c>
      <c r="L943" s="4" t="n">
        <f aca="false">J943-K943</f>
        <v>584.43</v>
      </c>
    </row>
    <row r="944" customFormat="false" ht="15" hidden="false" customHeight="false" outlineLevel="0" collapsed="false">
      <c r="A944" s="0" t="n">
        <v>2618</v>
      </c>
      <c r="B944" s="2" t="n">
        <v>45697</v>
      </c>
      <c r="C944" s="3" t="s">
        <v>23</v>
      </c>
      <c r="D944" s="3" t="s">
        <v>20</v>
      </c>
      <c r="E944" s="3" t="s">
        <v>34</v>
      </c>
      <c r="F944" s="3" t="s">
        <v>39</v>
      </c>
      <c r="G944" s="0" t="n">
        <v>6</v>
      </c>
      <c r="H944" s="4" t="n">
        <v>144.34</v>
      </c>
      <c r="I944" s="4" t="n">
        <v>100.52</v>
      </c>
      <c r="J944" s="4" t="n">
        <f aca="false">G944*H944</f>
        <v>866.04</v>
      </c>
      <c r="K944" s="4" t="n">
        <f aca="false">G944*I944</f>
        <v>603.12</v>
      </c>
      <c r="L944" s="4" t="n">
        <f aca="false">J944-K944</f>
        <v>262.92</v>
      </c>
    </row>
    <row r="945" customFormat="false" ht="15" hidden="false" customHeight="false" outlineLevel="0" collapsed="false">
      <c r="A945" s="0" t="n">
        <v>2757</v>
      </c>
      <c r="B945" s="2" t="n">
        <v>45697</v>
      </c>
      <c r="C945" s="3" t="s">
        <v>32</v>
      </c>
      <c r="D945" s="3" t="s">
        <v>29</v>
      </c>
      <c r="E945" s="3" t="s">
        <v>41</v>
      </c>
      <c r="F945" s="3" t="s">
        <v>28</v>
      </c>
      <c r="G945" s="0" t="n">
        <v>26</v>
      </c>
      <c r="H945" s="4" t="n">
        <v>269.06</v>
      </c>
      <c r="I945" s="4" t="n">
        <v>197.83</v>
      </c>
      <c r="J945" s="4" t="n">
        <f aca="false">G945*H945</f>
        <v>6995.56</v>
      </c>
      <c r="K945" s="4" t="n">
        <f aca="false">G945*I945</f>
        <v>5143.58</v>
      </c>
      <c r="L945" s="4" t="n">
        <f aca="false">J945-K945</f>
        <v>1851.98</v>
      </c>
    </row>
    <row r="946" customFormat="false" ht="15" hidden="false" customHeight="false" outlineLevel="0" collapsed="false">
      <c r="A946" s="0" t="n">
        <v>1205</v>
      </c>
      <c r="B946" s="2" t="n">
        <v>45698</v>
      </c>
      <c r="C946" s="3" t="s">
        <v>12</v>
      </c>
      <c r="D946" s="3" t="s">
        <v>29</v>
      </c>
      <c r="E946" s="3" t="s">
        <v>43</v>
      </c>
      <c r="F946" s="3" t="s">
        <v>36</v>
      </c>
      <c r="G946" s="0" t="n">
        <v>30</v>
      </c>
      <c r="H946" s="4" t="n">
        <v>189.86</v>
      </c>
      <c r="I946" s="4" t="n">
        <v>118.53</v>
      </c>
      <c r="J946" s="4" t="n">
        <f aca="false">G946*H946</f>
        <v>5695.8</v>
      </c>
      <c r="K946" s="4" t="n">
        <f aca="false">G946*I946</f>
        <v>3555.9</v>
      </c>
      <c r="L946" s="4" t="n">
        <f aca="false">J946-K946</f>
        <v>2139.9</v>
      </c>
    </row>
    <row r="947" customFormat="false" ht="15" hidden="false" customHeight="false" outlineLevel="0" collapsed="false">
      <c r="A947" s="0" t="n">
        <v>1456</v>
      </c>
      <c r="B947" s="2" t="n">
        <v>45698</v>
      </c>
      <c r="C947" s="3" t="s">
        <v>26</v>
      </c>
      <c r="D947" s="3" t="s">
        <v>17</v>
      </c>
      <c r="E947" s="3" t="s">
        <v>40</v>
      </c>
      <c r="F947" s="3" t="s">
        <v>22</v>
      </c>
      <c r="G947" s="0" t="n">
        <v>34</v>
      </c>
      <c r="H947" s="4" t="n">
        <v>173.47</v>
      </c>
      <c r="I947" s="4" t="n">
        <v>96.05</v>
      </c>
      <c r="J947" s="4" t="n">
        <f aca="false">G947*H947</f>
        <v>5897.98</v>
      </c>
      <c r="K947" s="4" t="n">
        <f aca="false">G947*I947</f>
        <v>3265.7</v>
      </c>
      <c r="L947" s="4" t="n">
        <f aca="false">J947-K947</f>
        <v>2632.28</v>
      </c>
    </row>
    <row r="948" customFormat="false" ht="15" hidden="false" customHeight="false" outlineLevel="0" collapsed="false">
      <c r="A948" s="0" t="n">
        <v>1897</v>
      </c>
      <c r="B948" s="2" t="n">
        <v>45698</v>
      </c>
      <c r="C948" s="3" t="s">
        <v>23</v>
      </c>
      <c r="D948" s="3" t="s">
        <v>13</v>
      </c>
      <c r="E948" s="3" t="s">
        <v>14</v>
      </c>
      <c r="F948" s="3" t="s">
        <v>33</v>
      </c>
      <c r="G948" s="0" t="n">
        <v>5</v>
      </c>
      <c r="H948" s="4" t="n">
        <v>59.8</v>
      </c>
      <c r="I948" s="4" t="n">
        <v>37.02</v>
      </c>
      <c r="J948" s="4" t="n">
        <f aca="false">G948*H948</f>
        <v>299</v>
      </c>
      <c r="K948" s="4" t="n">
        <f aca="false">G948*I948</f>
        <v>185.1</v>
      </c>
      <c r="L948" s="4" t="n">
        <f aca="false">J948-K948</f>
        <v>113.9</v>
      </c>
    </row>
    <row r="949" customFormat="false" ht="15" hidden="false" customHeight="false" outlineLevel="0" collapsed="false">
      <c r="A949" s="0" t="n">
        <v>1788</v>
      </c>
      <c r="B949" s="2" t="n">
        <v>45699</v>
      </c>
      <c r="C949" s="3" t="s">
        <v>32</v>
      </c>
      <c r="D949" s="3" t="s">
        <v>17</v>
      </c>
      <c r="E949" s="3" t="s">
        <v>44</v>
      </c>
      <c r="F949" s="3" t="s">
        <v>28</v>
      </c>
      <c r="G949" s="0" t="n">
        <v>1</v>
      </c>
      <c r="H949" s="4" t="n">
        <v>141.37</v>
      </c>
      <c r="I949" s="4" t="n">
        <v>80.88</v>
      </c>
      <c r="J949" s="4" t="n">
        <f aca="false">G949*H949</f>
        <v>141.37</v>
      </c>
      <c r="K949" s="4" t="n">
        <f aca="false">G949*I949</f>
        <v>80.88</v>
      </c>
      <c r="L949" s="4" t="n">
        <f aca="false">J949-K949</f>
        <v>60.49</v>
      </c>
    </row>
    <row r="950" customFormat="false" ht="15" hidden="false" customHeight="false" outlineLevel="0" collapsed="false">
      <c r="A950" s="0" t="n">
        <v>2064</v>
      </c>
      <c r="B950" s="2" t="n">
        <v>45699</v>
      </c>
      <c r="C950" s="3" t="s">
        <v>26</v>
      </c>
      <c r="D950" s="3" t="s">
        <v>29</v>
      </c>
      <c r="E950" s="3" t="s">
        <v>43</v>
      </c>
      <c r="F950" s="3" t="s">
        <v>22</v>
      </c>
      <c r="G950" s="0" t="n">
        <v>37</v>
      </c>
      <c r="H950" s="4" t="n">
        <v>469.58</v>
      </c>
      <c r="I950" s="4" t="n">
        <v>309.01</v>
      </c>
      <c r="J950" s="4" t="n">
        <f aca="false">G950*H950</f>
        <v>17374.46</v>
      </c>
      <c r="K950" s="4" t="n">
        <f aca="false">G950*I950</f>
        <v>11433.37</v>
      </c>
      <c r="L950" s="4" t="n">
        <f aca="false">J950-K950</f>
        <v>5941.09</v>
      </c>
    </row>
    <row r="951" customFormat="false" ht="15" hidden="false" customHeight="false" outlineLevel="0" collapsed="false">
      <c r="A951" s="0" t="n">
        <v>2554</v>
      </c>
      <c r="B951" s="2" t="n">
        <v>45699</v>
      </c>
      <c r="C951" s="3" t="s">
        <v>26</v>
      </c>
      <c r="D951" s="3" t="s">
        <v>13</v>
      </c>
      <c r="E951" s="3" t="s">
        <v>24</v>
      </c>
      <c r="F951" s="3" t="s">
        <v>25</v>
      </c>
      <c r="G951" s="0" t="n">
        <v>14</v>
      </c>
      <c r="H951" s="4" t="n">
        <v>52.4</v>
      </c>
      <c r="I951" s="4" t="n">
        <v>31.57</v>
      </c>
      <c r="J951" s="4" t="n">
        <f aca="false">G951*H951</f>
        <v>733.6</v>
      </c>
      <c r="K951" s="4" t="n">
        <f aca="false">G951*I951</f>
        <v>441.98</v>
      </c>
      <c r="L951" s="4" t="n">
        <f aca="false">J951-K951</f>
        <v>291.62</v>
      </c>
    </row>
    <row r="952" customFormat="false" ht="15" hidden="false" customHeight="false" outlineLevel="0" collapsed="false">
      <c r="A952" s="0" t="n">
        <v>1010</v>
      </c>
      <c r="B952" s="2" t="n">
        <v>45700</v>
      </c>
      <c r="C952" s="3" t="s">
        <v>32</v>
      </c>
      <c r="D952" s="3" t="s">
        <v>13</v>
      </c>
      <c r="E952" s="3" t="s">
        <v>24</v>
      </c>
      <c r="F952" s="3" t="s">
        <v>28</v>
      </c>
      <c r="G952" s="0" t="n">
        <v>6</v>
      </c>
      <c r="H952" s="4" t="n">
        <v>52.08</v>
      </c>
      <c r="I952" s="4" t="n">
        <v>34.9</v>
      </c>
      <c r="J952" s="4" t="n">
        <f aca="false">G952*H952</f>
        <v>312.48</v>
      </c>
      <c r="K952" s="4" t="n">
        <f aca="false">G952*I952</f>
        <v>209.4</v>
      </c>
      <c r="L952" s="4" t="n">
        <f aca="false">J952-K952</f>
        <v>103.08</v>
      </c>
    </row>
    <row r="953" customFormat="false" ht="15" hidden="false" customHeight="false" outlineLevel="0" collapsed="false">
      <c r="A953" s="0" t="n">
        <v>1659</v>
      </c>
      <c r="B953" s="2" t="n">
        <v>45700</v>
      </c>
      <c r="C953" s="3" t="s">
        <v>26</v>
      </c>
      <c r="D953" s="3" t="s">
        <v>17</v>
      </c>
      <c r="E953" s="3" t="s">
        <v>44</v>
      </c>
      <c r="F953" s="3" t="s">
        <v>19</v>
      </c>
      <c r="G953" s="0" t="n">
        <v>25</v>
      </c>
      <c r="H953" s="4" t="n">
        <v>714.77</v>
      </c>
      <c r="I953" s="4" t="n">
        <v>378.94</v>
      </c>
      <c r="J953" s="4" t="n">
        <f aca="false">G953*H953</f>
        <v>17869.25</v>
      </c>
      <c r="K953" s="4" t="n">
        <f aca="false">G953*I953</f>
        <v>9473.5</v>
      </c>
      <c r="L953" s="4" t="n">
        <f aca="false">J953-K953</f>
        <v>8395.75</v>
      </c>
    </row>
    <row r="954" customFormat="false" ht="15" hidden="false" customHeight="false" outlineLevel="0" collapsed="false">
      <c r="A954" s="0" t="n">
        <v>2746</v>
      </c>
      <c r="B954" s="2" t="n">
        <v>45700</v>
      </c>
      <c r="C954" s="3" t="s">
        <v>12</v>
      </c>
      <c r="D954" s="3" t="s">
        <v>20</v>
      </c>
      <c r="E954" s="3" t="s">
        <v>38</v>
      </c>
      <c r="F954" s="3" t="s">
        <v>36</v>
      </c>
      <c r="G954" s="0" t="n">
        <v>5</v>
      </c>
      <c r="H954" s="4" t="n">
        <v>121.23</v>
      </c>
      <c r="I954" s="4" t="n">
        <v>68.24</v>
      </c>
      <c r="J954" s="4" t="n">
        <f aca="false">G954*H954</f>
        <v>606.15</v>
      </c>
      <c r="K954" s="4" t="n">
        <f aca="false">G954*I954</f>
        <v>341.2</v>
      </c>
      <c r="L954" s="4" t="n">
        <f aca="false">J954-K954</f>
        <v>264.95</v>
      </c>
    </row>
    <row r="955" customFormat="false" ht="15" hidden="false" customHeight="false" outlineLevel="0" collapsed="false">
      <c r="A955" s="0" t="n">
        <v>1406</v>
      </c>
      <c r="B955" s="2" t="n">
        <v>45701</v>
      </c>
      <c r="C955" s="3" t="s">
        <v>32</v>
      </c>
      <c r="D955" s="3" t="s">
        <v>20</v>
      </c>
      <c r="E955" s="3" t="s">
        <v>21</v>
      </c>
      <c r="F955" s="3" t="s">
        <v>39</v>
      </c>
      <c r="G955" s="0" t="n">
        <v>34</v>
      </c>
      <c r="H955" s="4" t="n">
        <v>173.89</v>
      </c>
      <c r="I955" s="4" t="n">
        <v>118.51</v>
      </c>
      <c r="J955" s="4" t="n">
        <f aca="false">G955*H955</f>
        <v>5912.26</v>
      </c>
      <c r="K955" s="4" t="n">
        <f aca="false">G955*I955</f>
        <v>4029.34</v>
      </c>
      <c r="L955" s="4" t="n">
        <f aca="false">J955-K955</f>
        <v>1882.92</v>
      </c>
    </row>
    <row r="956" customFormat="false" ht="15" hidden="false" customHeight="false" outlineLevel="0" collapsed="false">
      <c r="A956" s="0" t="n">
        <v>1733</v>
      </c>
      <c r="B956" s="2" t="n">
        <v>45701</v>
      </c>
      <c r="C956" s="3" t="s">
        <v>12</v>
      </c>
      <c r="D956" s="3" t="s">
        <v>17</v>
      </c>
      <c r="E956" s="3" t="s">
        <v>40</v>
      </c>
      <c r="F956" s="3" t="s">
        <v>22</v>
      </c>
      <c r="G956" s="0" t="n">
        <v>5</v>
      </c>
      <c r="H956" s="4" t="n">
        <v>360.62</v>
      </c>
      <c r="I956" s="4" t="n">
        <v>237.23</v>
      </c>
      <c r="J956" s="4" t="n">
        <f aca="false">G956*H956</f>
        <v>1803.1</v>
      </c>
      <c r="K956" s="4" t="n">
        <f aca="false">G956*I956</f>
        <v>1186.15</v>
      </c>
      <c r="L956" s="4" t="n">
        <f aca="false">J956-K956</f>
        <v>616.95</v>
      </c>
    </row>
    <row r="957" customFormat="false" ht="15" hidden="false" customHeight="false" outlineLevel="0" collapsed="false">
      <c r="A957" s="0" t="n">
        <v>2109</v>
      </c>
      <c r="B957" s="2" t="n">
        <v>45701</v>
      </c>
      <c r="C957" s="3" t="s">
        <v>32</v>
      </c>
      <c r="D957" s="3" t="s">
        <v>17</v>
      </c>
      <c r="E957" s="3" t="s">
        <v>35</v>
      </c>
      <c r="F957" s="3" t="s">
        <v>33</v>
      </c>
      <c r="G957" s="0" t="n">
        <v>30</v>
      </c>
      <c r="H957" s="4" t="n">
        <v>611.2</v>
      </c>
      <c r="I957" s="4" t="n">
        <v>369.49</v>
      </c>
      <c r="J957" s="4" t="n">
        <f aca="false">G957*H957</f>
        <v>18336</v>
      </c>
      <c r="K957" s="4" t="n">
        <f aca="false">G957*I957</f>
        <v>11084.7</v>
      </c>
      <c r="L957" s="4" t="n">
        <f aca="false">J957-K957</f>
        <v>7251.3</v>
      </c>
    </row>
    <row r="958" customFormat="false" ht="15" hidden="false" customHeight="false" outlineLevel="0" collapsed="false">
      <c r="A958" s="0" t="n">
        <v>1186</v>
      </c>
      <c r="B958" s="2" t="n">
        <v>45702</v>
      </c>
      <c r="C958" s="3" t="s">
        <v>26</v>
      </c>
      <c r="D958" s="3" t="s">
        <v>13</v>
      </c>
      <c r="E958" s="3" t="s">
        <v>24</v>
      </c>
      <c r="F958" s="3" t="s">
        <v>28</v>
      </c>
      <c r="G958" s="0" t="n">
        <v>21</v>
      </c>
      <c r="H958" s="4" t="n">
        <v>3.39</v>
      </c>
      <c r="I958" s="4" t="n">
        <v>1.92</v>
      </c>
      <c r="J958" s="4" t="n">
        <f aca="false">G958*H958</f>
        <v>71.19</v>
      </c>
      <c r="K958" s="4" t="n">
        <f aca="false">G958*I958</f>
        <v>40.32</v>
      </c>
      <c r="L958" s="4" t="n">
        <f aca="false">J958-K958</f>
        <v>30.87</v>
      </c>
    </row>
    <row r="959" customFormat="false" ht="15" hidden="false" customHeight="false" outlineLevel="0" collapsed="false">
      <c r="A959" s="0" t="n">
        <v>2107</v>
      </c>
      <c r="B959" s="2" t="n">
        <v>45702</v>
      </c>
      <c r="C959" s="3" t="s">
        <v>16</v>
      </c>
      <c r="D959" s="3" t="s">
        <v>20</v>
      </c>
      <c r="E959" s="3" t="s">
        <v>38</v>
      </c>
      <c r="F959" s="3" t="s">
        <v>39</v>
      </c>
      <c r="G959" s="0" t="n">
        <v>27</v>
      </c>
      <c r="H959" s="4" t="n">
        <v>196.48</v>
      </c>
      <c r="I959" s="4" t="n">
        <v>130.87</v>
      </c>
      <c r="J959" s="4" t="n">
        <f aca="false">G959*H959</f>
        <v>5304.96</v>
      </c>
      <c r="K959" s="4" t="n">
        <f aca="false">G959*I959</f>
        <v>3533.49</v>
      </c>
      <c r="L959" s="4" t="n">
        <f aca="false">J959-K959</f>
        <v>1771.47</v>
      </c>
    </row>
    <row r="960" customFormat="false" ht="15" hidden="false" customHeight="false" outlineLevel="0" collapsed="false">
      <c r="A960" s="0" t="n">
        <v>2494</v>
      </c>
      <c r="B960" s="2" t="n">
        <v>45702</v>
      </c>
      <c r="C960" s="3" t="s">
        <v>26</v>
      </c>
      <c r="D960" s="3" t="s">
        <v>20</v>
      </c>
      <c r="E960" s="3" t="s">
        <v>42</v>
      </c>
      <c r="F960" s="3" t="s">
        <v>28</v>
      </c>
      <c r="G960" s="0" t="n">
        <v>1</v>
      </c>
      <c r="H960" s="4" t="n">
        <v>209.85</v>
      </c>
      <c r="I960" s="4" t="n">
        <v>109.05</v>
      </c>
      <c r="J960" s="4" t="n">
        <f aca="false">G960*H960</f>
        <v>209.85</v>
      </c>
      <c r="K960" s="4" t="n">
        <f aca="false">G960*I960</f>
        <v>109.05</v>
      </c>
      <c r="L960" s="4" t="n">
        <f aca="false">J960-K960</f>
        <v>100.8</v>
      </c>
    </row>
    <row r="961" customFormat="false" ht="15" hidden="false" customHeight="false" outlineLevel="0" collapsed="false">
      <c r="A961" s="0" t="n">
        <v>2090</v>
      </c>
      <c r="B961" s="2" t="n">
        <v>45703</v>
      </c>
      <c r="C961" s="3" t="s">
        <v>23</v>
      </c>
      <c r="D961" s="3" t="s">
        <v>17</v>
      </c>
      <c r="E961" s="3" t="s">
        <v>40</v>
      </c>
      <c r="F961" s="3" t="s">
        <v>36</v>
      </c>
      <c r="G961" s="0" t="n">
        <v>17</v>
      </c>
      <c r="H961" s="4" t="n">
        <v>683.33</v>
      </c>
      <c r="I961" s="4" t="n">
        <v>427.43</v>
      </c>
      <c r="J961" s="4" t="n">
        <f aca="false">G961*H961</f>
        <v>11616.61</v>
      </c>
      <c r="K961" s="4" t="n">
        <f aca="false">G961*I961</f>
        <v>7266.31</v>
      </c>
      <c r="L961" s="4" t="n">
        <f aca="false">J961-K961</f>
        <v>4350.3</v>
      </c>
    </row>
    <row r="962" customFormat="false" ht="15" hidden="false" customHeight="false" outlineLevel="0" collapsed="false">
      <c r="A962" s="0" t="n">
        <v>2178</v>
      </c>
      <c r="B962" s="2" t="n">
        <v>45703</v>
      </c>
      <c r="C962" s="3" t="s">
        <v>26</v>
      </c>
      <c r="D962" s="3" t="s">
        <v>13</v>
      </c>
      <c r="E962" s="3" t="s">
        <v>24</v>
      </c>
      <c r="F962" s="3" t="s">
        <v>28</v>
      </c>
      <c r="G962" s="0" t="n">
        <v>10</v>
      </c>
      <c r="H962" s="4" t="n">
        <v>46.35</v>
      </c>
      <c r="I962" s="4" t="n">
        <v>26.78</v>
      </c>
      <c r="J962" s="4" t="n">
        <f aca="false">G962*H962</f>
        <v>463.5</v>
      </c>
      <c r="K962" s="4" t="n">
        <f aca="false">G962*I962</f>
        <v>267.8</v>
      </c>
      <c r="L962" s="4" t="n">
        <f aca="false">J962-K962</f>
        <v>195.7</v>
      </c>
    </row>
    <row r="963" customFormat="false" ht="15" hidden="false" customHeight="false" outlineLevel="0" collapsed="false">
      <c r="A963" s="0" t="n">
        <v>2424</v>
      </c>
      <c r="B963" s="2" t="n">
        <v>45703</v>
      </c>
      <c r="C963" s="3" t="s">
        <v>16</v>
      </c>
      <c r="D963" s="3" t="s">
        <v>29</v>
      </c>
      <c r="E963" s="3" t="s">
        <v>30</v>
      </c>
      <c r="F963" s="3" t="s">
        <v>36</v>
      </c>
      <c r="G963" s="0" t="n">
        <v>31</v>
      </c>
      <c r="H963" s="4" t="n">
        <v>216.38</v>
      </c>
      <c r="I963" s="4" t="n">
        <v>127.5</v>
      </c>
      <c r="J963" s="4" t="n">
        <f aca="false">G963*H963</f>
        <v>6707.78</v>
      </c>
      <c r="K963" s="4" t="n">
        <f aca="false">G963*I963</f>
        <v>3952.5</v>
      </c>
      <c r="L963" s="4" t="n">
        <f aca="false">J963-K963</f>
        <v>2755.28</v>
      </c>
    </row>
    <row r="964" customFormat="false" ht="15" hidden="false" customHeight="false" outlineLevel="0" collapsed="false">
      <c r="A964" s="0" t="n">
        <v>2068</v>
      </c>
      <c r="B964" s="2" t="n">
        <v>45704</v>
      </c>
      <c r="C964" s="3" t="s">
        <v>23</v>
      </c>
      <c r="D964" s="3" t="s">
        <v>17</v>
      </c>
      <c r="E964" s="3" t="s">
        <v>27</v>
      </c>
      <c r="F964" s="3" t="s">
        <v>39</v>
      </c>
      <c r="G964" s="0" t="n">
        <v>33</v>
      </c>
      <c r="H964" s="4" t="n">
        <v>183.91</v>
      </c>
      <c r="I964" s="4" t="n">
        <v>119.93</v>
      </c>
      <c r="J964" s="4" t="n">
        <f aca="false">G964*H964</f>
        <v>6069.03</v>
      </c>
      <c r="K964" s="4" t="n">
        <f aca="false">G964*I964</f>
        <v>3957.69</v>
      </c>
      <c r="L964" s="4" t="n">
        <f aca="false">J964-K964</f>
        <v>2111.34</v>
      </c>
    </row>
    <row r="965" customFormat="false" ht="15" hidden="false" customHeight="false" outlineLevel="0" collapsed="false">
      <c r="A965" s="0" t="n">
        <v>1334</v>
      </c>
      <c r="B965" s="2" t="n">
        <v>45705</v>
      </c>
      <c r="C965" s="3" t="s">
        <v>26</v>
      </c>
      <c r="D965" s="3" t="s">
        <v>13</v>
      </c>
      <c r="E965" s="3" t="s">
        <v>24</v>
      </c>
      <c r="F965" s="3" t="s">
        <v>19</v>
      </c>
      <c r="G965" s="0" t="n">
        <v>14</v>
      </c>
      <c r="H965" s="4" t="n">
        <v>36.61</v>
      </c>
      <c r="I965" s="4" t="n">
        <v>24.26</v>
      </c>
      <c r="J965" s="4" t="n">
        <f aca="false">G965*H965</f>
        <v>512.54</v>
      </c>
      <c r="K965" s="4" t="n">
        <f aca="false">G965*I965</f>
        <v>339.64</v>
      </c>
      <c r="L965" s="4" t="n">
        <f aca="false">J965-K965</f>
        <v>172.9</v>
      </c>
    </row>
    <row r="966" customFormat="false" ht="15" hidden="false" customHeight="false" outlineLevel="0" collapsed="false">
      <c r="A966" s="0" t="n">
        <v>2421</v>
      </c>
      <c r="B966" s="2" t="n">
        <v>45705</v>
      </c>
      <c r="C966" s="3" t="s">
        <v>26</v>
      </c>
      <c r="D966" s="3" t="s">
        <v>17</v>
      </c>
      <c r="E966" s="3" t="s">
        <v>35</v>
      </c>
      <c r="F966" s="3" t="s">
        <v>25</v>
      </c>
      <c r="G966" s="0" t="n">
        <v>16</v>
      </c>
      <c r="H966" s="4" t="n">
        <v>814.97</v>
      </c>
      <c r="I966" s="4" t="n">
        <v>597.24</v>
      </c>
      <c r="J966" s="4" t="n">
        <f aca="false">G966*H966</f>
        <v>13039.52</v>
      </c>
      <c r="K966" s="4" t="n">
        <f aca="false">G966*I966</f>
        <v>9555.84</v>
      </c>
      <c r="L966" s="4" t="n">
        <f aca="false">J966-K966</f>
        <v>3483.68</v>
      </c>
    </row>
    <row r="967" customFormat="false" ht="15" hidden="false" customHeight="false" outlineLevel="0" collapsed="false">
      <c r="A967" s="0" t="n">
        <v>2193</v>
      </c>
      <c r="B967" s="2" t="n">
        <v>45706</v>
      </c>
      <c r="C967" s="3" t="s">
        <v>32</v>
      </c>
      <c r="D967" s="3" t="s">
        <v>13</v>
      </c>
      <c r="E967" s="3" t="s">
        <v>31</v>
      </c>
      <c r="F967" s="3" t="s">
        <v>33</v>
      </c>
      <c r="G967" s="0" t="n">
        <v>26</v>
      </c>
      <c r="H967" s="4" t="n">
        <v>24.96</v>
      </c>
      <c r="I967" s="4" t="n">
        <v>17.95</v>
      </c>
      <c r="J967" s="4" t="n">
        <f aca="false">G967*H967</f>
        <v>648.96</v>
      </c>
      <c r="K967" s="4" t="n">
        <f aca="false">G967*I967</f>
        <v>466.7</v>
      </c>
      <c r="L967" s="4" t="n">
        <f aca="false">J967-K967</f>
        <v>182.26</v>
      </c>
    </row>
    <row r="968" customFormat="false" ht="15" hidden="false" customHeight="false" outlineLevel="0" collapsed="false">
      <c r="A968" s="0" t="n">
        <v>2122</v>
      </c>
      <c r="B968" s="2" t="n">
        <v>45707</v>
      </c>
      <c r="C968" s="3" t="s">
        <v>23</v>
      </c>
      <c r="D968" s="3" t="s">
        <v>13</v>
      </c>
      <c r="E968" s="3" t="s">
        <v>31</v>
      </c>
      <c r="F968" s="3" t="s">
        <v>19</v>
      </c>
      <c r="G968" s="0" t="n">
        <v>38</v>
      </c>
      <c r="H968" s="4" t="n">
        <v>20.91</v>
      </c>
      <c r="I968" s="4" t="n">
        <v>12.99</v>
      </c>
      <c r="J968" s="4" t="n">
        <f aca="false">G968*H968</f>
        <v>794.58</v>
      </c>
      <c r="K968" s="4" t="n">
        <f aca="false">G968*I968</f>
        <v>493.62</v>
      </c>
      <c r="L968" s="4" t="n">
        <f aca="false">J968-K968</f>
        <v>300.96</v>
      </c>
    </row>
    <row r="969" customFormat="false" ht="15" hidden="false" customHeight="false" outlineLevel="0" collapsed="false">
      <c r="A969" s="0" t="n">
        <v>1408</v>
      </c>
      <c r="B969" s="2" t="n">
        <v>45708</v>
      </c>
      <c r="C969" s="3" t="s">
        <v>16</v>
      </c>
      <c r="D969" s="3" t="s">
        <v>17</v>
      </c>
      <c r="E969" s="3" t="s">
        <v>35</v>
      </c>
      <c r="F969" s="3" t="s">
        <v>25</v>
      </c>
      <c r="G969" s="0" t="n">
        <v>33</v>
      </c>
      <c r="H969" s="4" t="n">
        <v>307.17</v>
      </c>
      <c r="I969" s="4" t="n">
        <v>220.86</v>
      </c>
      <c r="J969" s="4" t="n">
        <f aca="false">G969*H969</f>
        <v>10136.61</v>
      </c>
      <c r="K969" s="4" t="n">
        <f aca="false">G969*I969</f>
        <v>7288.38</v>
      </c>
      <c r="L969" s="4" t="n">
        <f aca="false">J969-K969</f>
        <v>2848.23</v>
      </c>
    </row>
    <row r="970" customFormat="false" ht="15" hidden="false" customHeight="false" outlineLevel="0" collapsed="false">
      <c r="A970" s="0" t="n">
        <v>2044</v>
      </c>
      <c r="B970" s="2" t="n">
        <v>45708</v>
      </c>
      <c r="C970" s="3" t="s">
        <v>16</v>
      </c>
      <c r="D970" s="3" t="s">
        <v>29</v>
      </c>
      <c r="E970" s="3" t="s">
        <v>41</v>
      </c>
      <c r="F970" s="3" t="s">
        <v>15</v>
      </c>
      <c r="G970" s="0" t="n">
        <v>35</v>
      </c>
      <c r="H970" s="4" t="n">
        <v>497.12</v>
      </c>
      <c r="I970" s="4" t="n">
        <v>366.81</v>
      </c>
      <c r="J970" s="4" t="n">
        <f aca="false">G970*H970</f>
        <v>17399.2</v>
      </c>
      <c r="K970" s="4" t="n">
        <f aca="false">G970*I970</f>
        <v>12838.35</v>
      </c>
      <c r="L970" s="4" t="n">
        <f aca="false">J970-K970</f>
        <v>4560.85</v>
      </c>
    </row>
    <row r="971" customFormat="false" ht="15" hidden="false" customHeight="false" outlineLevel="0" collapsed="false">
      <c r="A971" s="0" t="n">
        <v>1704</v>
      </c>
      <c r="B971" s="2" t="n">
        <v>45709</v>
      </c>
      <c r="C971" s="3" t="s">
        <v>12</v>
      </c>
      <c r="D971" s="3" t="s">
        <v>17</v>
      </c>
      <c r="E971" s="3" t="s">
        <v>35</v>
      </c>
      <c r="F971" s="3" t="s">
        <v>33</v>
      </c>
      <c r="G971" s="0" t="n">
        <v>12</v>
      </c>
      <c r="H971" s="4" t="n">
        <v>82.82</v>
      </c>
      <c r="I971" s="4" t="n">
        <v>49.96</v>
      </c>
      <c r="J971" s="4" t="n">
        <f aca="false">G971*H971</f>
        <v>993.84</v>
      </c>
      <c r="K971" s="4" t="n">
        <f aca="false">G971*I971</f>
        <v>599.52</v>
      </c>
      <c r="L971" s="4" t="n">
        <f aca="false">J971-K971</f>
        <v>394.32</v>
      </c>
    </row>
    <row r="972" customFormat="false" ht="15" hidden="false" customHeight="false" outlineLevel="0" collapsed="false">
      <c r="A972" s="0" t="n">
        <v>2205</v>
      </c>
      <c r="B972" s="2" t="n">
        <v>45709</v>
      </c>
      <c r="C972" s="3" t="s">
        <v>23</v>
      </c>
      <c r="D972" s="3" t="s">
        <v>20</v>
      </c>
      <c r="E972" s="3" t="s">
        <v>34</v>
      </c>
      <c r="F972" s="3" t="s">
        <v>33</v>
      </c>
      <c r="G972" s="0" t="n">
        <v>12</v>
      </c>
      <c r="H972" s="4" t="n">
        <v>266.14</v>
      </c>
      <c r="I972" s="4" t="n">
        <v>166.32</v>
      </c>
      <c r="J972" s="4" t="n">
        <f aca="false">G972*H972</f>
        <v>3193.68</v>
      </c>
      <c r="K972" s="4" t="n">
        <f aca="false">G972*I972</f>
        <v>1995.84</v>
      </c>
      <c r="L972" s="4" t="n">
        <f aca="false">J972-K972</f>
        <v>1197.84</v>
      </c>
    </row>
    <row r="973" customFormat="false" ht="15" hidden="false" customHeight="false" outlineLevel="0" collapsed="false">
      <c r="A973" s="0" t="n">
        <v>2466</v>
      </c>
      <c r="B973" s="2" t="n">
        <v>45709</v>
      </c>
      <c r="C973" s="3" t="s">
        <v>12</v>
      </c>
      <c r="D973" s="3" t="s">
        <v>13</v>
      </c>
      <c r="E973" s="3" t="s">
        <v>24</v>
      </c>
      <c r="F973" s="3" t="s">
        <v>39</v>
      </c>
      <c r="G973" s="0" t="n">
        <v>39</v>
      </c>
      <c r="H973" s="4" t="n">
        <v>11.43</v>
      </c>
      <c r="I973" s="4" t="n">
        <v>6.68</v>
      </c>
      <c r="J973" s="4" t="n">
        <f aca="false">G973*H973</f>
        <v>445.77</v>
      </c>
      <c r="K973" s="4" t="n">
        <f aca="false">G973*I973</f>
        <v>260.52</v>
      </c>
      <c r="L973" s="4" t="n">
        <f aca="false">J973-K973</f>
        <v>185.25</v>
      </c>
    </row>
    <row r="974" customFormat="false" ht="15" hidden="false" customHeight="false" outlineLevel="0" collapsed="false">
      <c r="A974" s="0" t="n">
        <v>2482</v>
      </c>
      <c r="B974" s="2" t="n">
        <v>45709</v>
      </c>
      <c r="C974" s="3" t="s">
        <v>26</v>
      </c>
      <c r="D974" s="3" t="s">
        <v>13</v>
      </c>
      <c r="E974" s="3" t="s">
        <v>46</v>
      </c>
      <c r="F974" s="3" t="s">
        <v>36</v>
      </c>
      <c r="G974" s="0" t="n">
        <v>22</v>
      </c>
      <c r="H974" s="4" t="n">
        <v>48.86</v>
      </c>
      <c r="I974" s="4" t="n">
        <v>33.75</v>
      </c>
      <c r="J974" s="4" t="n">
        <f aca="false">G974*H974</f>
        <v>1074.92</v>
      </c>
      <c r="K974" s="4" t="n">
        <f aca="false">G974*I974</f>
        <v>742.5</v>
      </c>
      <c r="L974" s="4" t="n">
        <f aca="false">J974-K974</f>
        <v>332.42</v>
      </c>
    </row>
    <row r="975" customFormat="false" ht="15" hidden="false" customHeight="false" outlineLevel="0" collapsed="false">
      <c r="A975" s="0" t="n">
        <v>2773</v>
      </c>
      <c r="B975" s="2" t="n">
        <v>45709</v>
      </c>
      <c r="C975" s="3" t="s">
        <v>12</v>
      </c>
      <c r="D975" s="3" t="s">
        <v>13</v>
      </c>
      <c r="E975" s="3" t="s">
        <v>45</v>
      </c>
      <c r="F975" s="3" t="s">
        <v>39</v>
      </c>
      <c r="G975" s="0" t="n">
        <v>13</v>
      </c>
      <c r="H975" s="4" t="n">
        <v>19.69</v>
      </c>
      <c r="I975" s="4" t="n">
        <v>10.38</v>
      </c>
      <c r="J975" s="4" t="n">
        <f aca="false">G975*H975</f>
        <v>255.97</v>
      </c>
      <c r="K975" s="4" t="n">
        <f aca="false">G975*I975</f>
        <v>134.94</v>
      </c>
      <c r="L975" s="4" t="n">
        <f aca="false">J975-K975</f>
        <v>121.03</v>
      </c>
    </row>
    <row r="976" customFormat="false" ht="15" hidden="false" customHeight="false" outlineLevel="0" collapsed="false">
      <c r="A976" s="0" t="n">
        <v>1398</v>
      </c>
      <c r="B976" s="2" t="n">
        <v>45710</v>
      </c>
      <c r="C976" s="3" t="s">
        <v>32</v>
      </c>
      <c r="D976" s="3" t="s">
        <v>13</v>
      </c>
      <c r="E976" s="3" t="s">
        <v>45</v>
      </c>
      <c r="F976" s="3" t="s">
        <v>22</v>
      </c>
      <c r="G976" s="0" t="n">
        <v>37</v>
      </c>
      <c r="H976" s="4" t="n">
        <v>32.63</v>
      </c>
      <c r="I976" s="4" t="n">
        <v>22.88</v>
      </c>
      <c r="J976" s="4" t="n">
        <f aca="false">G976*H976</f>
        <v>1207.31</v>
      </c>
      <c r="K976" s="4" t="n">
        <f aca="false">G976*I976</f>
        <v>846.56</v>
      </c>
      <c r="L976" s="4" t="n">
        <f aca="false">J976-K976</f>
        <v>360.75</v>
      </c>
    </row>
    <row r="977" customFormat="false" ht="15" hidden="false" customHeight="false" outlineLevel="0" collapsed="false">
      <c r="A977" s="0" t="n">
        <v>1399</v>
      </c>
      <c r="B977" s="2" t="n">
        <v>45710</v>
      </c>
      <c r="C977" s="3" t="s">
        <v>32</v>
      </c>
      <c r="D977" s="3" t="s">
        <v>17</v>
      </c>
      <c r="E977" s="3" t="s">
        <v>44</v>
      </c>
      <c r="F977" s="3" t="s">
        <v>36</v>
      </c>
      <c r="G977" s="0" t="n">
        <v>38</v>
      </c>
      <c r="H977" s="4" t="n">
        <v>273.05</v>
      </c>
      <c r="I977" s="4" t="n">
        <v>155.34</v>
      </c>
      <c r="J977" s="4" t="n">
        <f aca="false">G977*H977</f>
        <v>10375.9</v>
      </c>
      <c r="K977" s="4" t="n">
        <f aca="false">G977*I977</f>
        <v>5902.92</v>
      </c>
      <c r="L977" s="4" t="n">
        <f aca="false">J977-K977</f>
        <v>4472.98</v>
      </c>
    </row>
    <row r="978" customFormat="false" ht="15" hidden="false" customHeight="false" outlineLevel="0" collapsed="false">
      <c r="A978" s="0" t="n">
        <v>1695</v>
      </c>
      <c r="B978" s="2" t="n">
        <v>45710</v>
      </c>
      <c r="C978" s="3" t="s">
        <v>26</v>
      </c>
      <c r="D978" s="3" t="s">
        <v>17</v>
      </c>
      <c r="E978" s="3" t="s">
        <v>40</v>
      </c>
      <c r="F978" s="3" t="s">
        <v>15</v>
      </c>
      <c r="G978" s="0" t="n">
        <v>3</v>
      </c>
      <c r="H978" s="4" t="n">
        <v>499.13</v>
      </c>
      <c r="I978" s="4" t="n">
        <v>286.25</v>
      </c>
      <c r="J978" s="4" t="n">
        <f aca="false">G978*H978</f>
        <v>1497.39</v>
      </c>
      <c r="K978" s="4" t="n">
        <f aca="false">G978*I978</f>
        <v>858.75</v>
      </c>
      <c r="L978" s="4" t="n">
        <f aca="false">J978-K978</f>
        <v>638.64</v>
      </c>
    </row>
    <row r="979" customFormat="false" ht="15" hidden="false" customHeight="false" outlineLevel="0" collapsed="false">
      <c r="A979" s="0" t="n">
        <v>2138</v>
      </c>
      <c r="B979" s="2" t="n">
        <v>45710</v>
      </c>
      <c r="C979" s="3" t="s">
        <v>32</v>
      </c>
      <c r="D979" s="3" t="s">
        <v>13</v>
      </c>
      <c r="E979" s="3" t="s">
        <v>14</v>
      </c>
      <c r="F979" s="3" t="s">
        <v>15</v>
      </c>
      <c r="G979" s="0" t="n">
        <v>2</v>
      </c>
      <c r="H979" s="4" t="n">
        <v>14.53</v>
      </c>
      <c r="I979" s="4" t="n">
        <v>10.29</v>
      </c>
      <c r="J979" s="4" t="n">
        <f aca="false">G979*H979</f>
        <v>29.06</v>
      </c>
      <c r="K979" s="4" t="n">
        <f aca="false">G979*I979</f>
        <v>20.58</v>
      </c>
      <c r="L979" s="4" t="n">
        <f aca="false">J979-K979</f>
        <v>8.48</v>
      </c>
    </row>
    <row r="980" customFormat="false" ht="15" hidden="false" customHeight="false" outlineLevel="0" collapsed="false">
      <c r="A980" s="0" t="n">
        <v>2014</v>
      </c>
      <c r="B980" s="2" t="n">
        <v>45711</v>
      </c>
      <c r="C980" s="3" t="s">
        <v>32</v>
      </c>
      <c r="D980" s="3" t="s">
        <v>17</v>
      </c>
      <c r="E980" s="3" t="s">
        <v>40</v>
      </c>
      <c r="F980" s="3" t="s">
        <v>25</v>
      </c>
      <c r="G980" s="0" t="n">
        <v>24</v>
      </c>
      <c r="H980" s="4" t="n">
        <v>608.8</v>
      </c>
      <c r="I980" s="4" t="n">
        <v>391.05</v>
      </c>
      <c r="J980" s="4" t="n">
        <f aca="false">G980*H980</f>
        <v>14611.2</v>
      </c>
      <c r="K980" s="4" t="n">
        <f aca="false">G980*I980</f>
        <v>9385.2</v>
      </c>
      <c r="L980" s="4" t="n">
        <f aca="false">J980-K980</f>
        <v>5226</v>
      </c>
    </row>
    <row r="981" customFormat="false" ht="15" hidden="false" customHeight="false" outlineLevel="0" collapsed="false">
      <c r="A981" s="0" t="n">
        <v>2243</v>
      </c>
      <c r="B981" s="2" t="n">
        <v>45711</v>
      </c>
      <c r="C981" s="3" t="s">
        <v>12</v>
      </c>
      <c r="D981" s="3" t="s">
        <v>20</v>
      </c>
      <c r="E981" s="3" t="s">
        <v>38</v>
      </c>
      <c r="F981" s="3" t="s">
        <v>39</v>
      </c>
      <c r="G981" s="0" t="n">
        <v>8</v>
      </c>
      <c r="H981" s="4" t="n">
        <v>231.59</v>
      </c>
      <c r="I981" s="4" t="n">
        <v>123.65</v>
      </c>
      <c r="J981" s="4" t="n">
        <f aca="false">G981*H981</f>
        <v>1852.72</v>
      </c>
      <c r="K981" s="4" t="n">
        <f aca="false">G981*I981</f>
        <v>989.2</v>
      </c>
      <c r="L981" s="4" t="n">
        <f aca="false">J981-K981</f>
        <v>863.52</v>
      </c>
    </row>
    <row r="982" customFormat="false" ht="15" hidden="false" customHeight="false" outlineLevel="0" collapsed="false">
      <c r="A982" s="0" t="n">
        <v>2349</v>
      </c>
      <c r="B982" s="2" t="n">
        <v>45711</v>
      </c>
      <c r="C982" s="3" t="s">
        <v>32</v>
      </c>
      <c r="D982" s="3" t="s">
        <v>13</v>
      </c>
      <c r="E982" s="3" t="s">
        <v>46</v>
      </c>
      <c r="F982" s="3" t="s">
        <v>25</v>
      </c>
      <c r="G982" s="0" t="n">
        <v>15</v>
      </c>
      <c r="H982" s="4" t="n">
        <v>38.39</v>
      </c>
      <c r="I982" s="4" t="n">
        <v>27.56</v>
      </c>
      <c r="J982" s="4" t="n">
        <f aca="false">G982*H982</f>
        <v>575.85</v>
      </c>
      <c r="K982" s="4" t="n">
        <f aca="false">G982*I982</f>
        <v>413.4</v>
      </c>
      <c r="L982" s="4" t="n">
        <f aca="false">J982-K982</f>
        <v>162.45</v>
      </c>
    </row>
    <row r="983" customFormat="false" ht="15" hidden="false" customHeight="false" outlineLevel="0" collapsed="false">
      <c r="A983" s="0" t="n">
        <v>1135</v>
      </c>
      <c r="B983" s="2" t="n">
        <v>45712</v>
      </c>
      <c r="C983" s="3" t="s">
        <v>32</v>
      </c>
      <c r="D983" s="3" t="s">
        <v>13</v>
      </c>
      <c r="E983" s="3" t="s">
        <v>14</v>
      </c>
      <c r="F983" s="3" t="s">
        <v>15</v>
      </c>
      <c r="G983" s="0" t="n">
        <v>29</v>
      </c>
      <c r="H983" s="4" t="n">
        <v>16.63</v>
      </c>
      <c r="I983" s="4" t="n">
        <v>12.07</v>
      </c>
      <c r="J983" s="4" t="n">
        <f aca="false">G983*H983</f>
        <v>482.27</v>
      </c>
      <c r="K983" s="4" t="n">
        <f aca="false">G983*I983</f>
        <v>350.03</v>
      </c>
      <c r="L983" s="4" t="n">
        <f aca="false">J983-K983</f>
        <v>132.24</v>
      </c>
    </row>
    <row r="984" customFormat="false" ht="15" hidden="false" customHeight="false" outlineLevel="0" collapsed="false">
      <c r="A984" s="0" t="n">
        <v>1626</v>
      </c>
      <c r="B984" s="2" t="n">
        <v>45712</v>
      </c>
      <c r="C984" s="3" t="s">
        <v>32</v>
      </c>
      <c r="D984" s="3" t="s">
        <v>17</v>
      </c>
      <c r="E984" s="3" t="s">
        <v>44</v>
      </c>
      <c r="F984" s="3" t="s">
        <v>36</v>
      </c>
      <c r="G984" s="0" t="n">
        <v>18</v>
      </c>
      <c r="H984" s="4" t="n">
        <v>751.92</v>
      </c>
      <c r="I984" s="4" t="n">
        <v>452.25</v>
      </c>
      <c r="J984" s="4" t="n">
        <f aca="false">G984*H984</f>
        <v>13534.56</v>
      </c>
      <c r="K984" s="4" t="n">
        <f aca="false">G984*I984</f>
        <v>8140.5</v>
      </c>
      <c r="L984" s="4" t="n">
        <f aca="false">J984-K984</f>
        <v>5394.06</v>
      </c>
    </row>
    <row r="985" customFormat="false" ht="15" hidden="false" customHeight="false" outlineLevel="0" collapsed="false">
      <c r="A985" s="0" t="n">
        <v>1754</v>
      </c>
      <c r="B985" s="2" t="n">
        <v>45712</v>
      </c>
      <c r="C985" s="3" t="s">
        <v>23</v>
      </c>
      <c r="D985" s="3" t="s">
        <v>13</v>
      </c>
      <c r="E985" s="3" t="s">
        <v>45</v>
      </c>
      <c r="F985" s="3" t="s">
        <v>19</v>
      </c>
      <c r="G985" s="0" t="n">
        <v>35</v>
      </c>
      <c r="H985" s="4" t="n">
        <v>45.36</v>
      </c>
      <c r="I985" s="4" t="n">
        <v>25.02</v>
      </c>
      <c r="J985" s="4" t="n">
        <f aca="false">G985*H985</f>
        <v>1587.6</v>
      </c>
      <c r="K985" s="4" t="n">
        <f aca="false">G985*I985</f>
        <v>875.7</v>
      </c>
      <c r="L985" s="4" t="n">
        <f aca="false">J985-K985</f>
        <v>711.9</v>
      </c>
    </row>
    <row r="986" customFormat="false" ht="15" hidden="false" customHeight="false" outlineLevel="0" collapsed="false">
      <c r="A986" s="0" t="n">
        <v>2426</v>
      </c>
      <c r="B986" s="2" t="n">
        <v>45712</v>
      </c>
      <c r="C986" s="3" t="s">
        <v>26</v>
      </c>
      <c r="D986" s="3" t="s">
        <v>13</v>
      </c>
      <c r="E986" s="3" t="s">
        <v>14</v>
      </c>
      <c r="F986" s="3" t="s">
        <v>36</v>
      </c>
      <c r="G986" s="0" t="n">
        <v>35</v>
      </c>
      <c r="H986" s="4" t="n">
        <v>7.14</v>
      </c>
      <c r="I986" s="4" t="n">
        <v>4.36</v>
      </c>
      <c r="J986" s="4" t="n">
        <f aca="false">G986*H986</f>
        <v>249.9</v>
      </c>
      <c r="K986" s="4" t="n">
        <f aca="false">G986*I986</f>
        <v>152.6</v>
      </c>
      <c r="L986" s="4" t="n">
        <f aca="false">J986-K986</f>
        <v>97.3</v>
      </c>
    </row>
    <row r="987" customFormat="false" ht="15" hidden="false" customHeight="false" outlineLevel="0" collapsed="false">
      <c r="A987" s="0" t="n">
        <v>2331</v>
      </c>
      <c r="B987" s="2" t="n">
        <v>45713</v>
      </c>
      <c r="C987" s="3" t="s">
        <v>32</v>
      </c>
      <c r="D987" s="3" t="s">
        <v>29</v>
      </c>
      <c r="E987" s="3" t="s">
        <v>41</v>
      </c>
      <c r="F987" s="3" t="s">
        <v>39</v>
      </c>
      <c r="G987" s="0" t="n">
        <v>40</v>
      </c>
      <c r="H987" s="4" t="n">
        <v>403.36</v>
      </c>
      <c r="I987" s="4" t="n">
        <v>270.97</v>
      </c>
      <c r="J987" s="4" t="n">
        <f aca="false">G987*H987</f>
        <v>16134.4</v>
      </c>
      <c r="K987" s="4" t="n">
        <f aca="false">G987*I987</f>
        <v>10838.8</v>
      </c>
      <c r="L987" s="4" t="n">
        <f aca="false">J987-K987</f>
        <v>5295.6</v>
      </c>
    </row>
    <row r="988" customFormat="false" ht="15" hidden="false" customHeight="false" outlineLevel="0" collapsed="false">
      <c r="A988" s="0" t="n">
        <v>1532</v>
      </c>
      <c r="B988" s="2" t="n">
        <v>45714</v>
      </c>
      <c r="C988" s="3" t="s">
        <v>23</v>
      </c>
      <c r="D988" s="3" t="s">
        <v>13</v>
      </c>
      <c r="E988" s="3" t="s">
        <v>14</v>
      </c>
      <c r="F988" s="3" t="s">
        <v>19</v>
      </c>
      <c r="G988" s="0" t="n">
        <v>14</v>
      </c>
      <c r="H988" s="4" t="n">
        <v>50.98</v>
      </c>
      <c r="I988" s="4" t="n">
        <v>35.93</v>
      </c>
      <c r="J988" s="4" t="n">
        <f aca="false">G988*H988</f>
        <v>713.72</v>
      </c>
      <c r="K988" s="4" t="n">
        <f aca="false">G988*I988</f>
        <v>503.02</v>
      </c>
      <c r="L988" s="4" t="n">
        <f aca="false">J988-K988</f>
        <v>210.7</v>
      </c>
    </row>
    <row r="989" customFormat="false" ht="15" hidden="false" customHeight="false" outlineLevel="0" collapsed="false">
      <c r="A989" s="0" t="n">
        <v>1664</v>
      </c>
      <c r="B989" s="2" t="n">
        <v>45714</v>
      </c>
      <c r="C989" s="3" t="s">
        <v>26</v>
      </c>
      <c r="D989" s="3" t="s">
        <v>20</v>
      </c>
      <c r="E989" s="3" t="s">
        <v>38</v>
      </c>
      <c r="F989" s="3" t="s">
        <v>33</v>
      </c>
      <c r="G989" s="0" t="n">
        <v>17</v>
      </c>
      <c r="H989" s="4" t="n">
        <v>227.34</v>
      </c>
      <c r="I989" s="4" t="n">
        <v>139.98</v>
      </c>
      <c r="J989" s="4" t="n">
        <f aca="false">G989*H989</f>
        <v>3864.78</v>
      </c>
      <c r="K989" s="4" t="n">
        <f aca="false">G989*I989</f>
        <v>2379.66</v>
      </c>
      <c r="L989" s="4" t="n">
        <f aca="false">J989-K989</f>
        <v>1485.12</v>
      </c>
    </row>
    <row r="990" customFormat="false" ht="15" hidden="false" customHeight="false" outlineLevel="0" collapsed="false">
      <c r="A990" s="0" t="n">
        <v>2297</v>
      </c>
      <c r="B990" s="2" t="n">
        <v>45714</v>
      </c>
      <c r="C990" s="3" t="s">
        <v>12</v>
      </c>
      <c r="D990" s="3" t="s">
        <v>17</v>
      </c>
      <c r="E990" s="3" t="s">
        <v>35</v>
      </c>
      <c r="F990" s="3" t="s">
        <v>22</v>
      </c>
      <c r="G990" s="0" t="n">
        <v>5</v>
      </c>
      <c r="H990" s="4" t="n">
        <v>865.92</v>
      </c>
      <c r="I990" s="4" t="n">
        <v>476.84</v>
      </c>
      <c r="J990" s="4" t="n">
        <f aca="false">G990*H990</f>
        <v>4329.6</v>
      </c>
      <c r="K990" s="4" t="n">
        <f aca="false">G990*I990</f>
        <v>2384.2</v>
      </c>
      <c r="L990" s="4" t="n">
        <f aca="false">J990-K990</f>
        <v>1945.4</v>
      </c>
    </row>
    <row r="991" customFormat="false" ht="15" hidden="false" customHeight="false" outlineLevel="0" collapsed="false">
      <c r="A991" s="0" t="n">
        <v>2768</v>
      </c>
      <c r="B991" s="2" t="n">
        <v>45714</v>
      </c>
      <c r="C991" s="3" t="s">
        <v>32</v>
      </c>
      <c r="D991" s="3" t="s">
        <v>29</v>
      </c>
      <c r="E991" s="3" t="s">
        <v>41</v>
      </c>
      <c r="F991" s="3" t="s">
        <v>19</v>
      </c>
      <c r="G991" s="0" t="n">
        <v>9</v>
      </c>
      <c r="H991" s="4" t="n">
        <v>206.74</v>
      </c>
      <c r="I991" s="4" t="n">
        <v>147.21</v>
      </c>
      <c r="J991" s="4" t="n">
        <f aca="false">G991*H991</f>
        <v>1860.66</v>
      </c>
      <c r="K991" s="4" t="n">
        <f aca="false">G991*I991</f>
        <v>1324.89</v>
      </c>
      <c r="L991" s="4" t="n">
        <f aca="false">J991-K991</f>
        <v>535.77</v>
      </c>
    </row>
    <row r="992" customFormat="false" ht="15" hidden="false" customHeight="false" outlineLevel="0" collapsed="false">
      <c r="A992" s="0" t="n">
        <v>1477</v>
      </c>
      <c r="B992" s="2" t="n">
        <v>45715</v>
      </c>
      <c r="C992" s="3" t="s">
        <v>23</v>
      </c>
      <c r="D992" s="3" t="s">
        <v>29</v>
      </c>
      <c r="E992" s="3" t="s">
        <v>41</v>
      </c>
      <c r="F992" s="3" t="s">
        <v>15</v>
      </c>
      <c r="G992" s="0" t="n">
        <v>10</v>
      </c>
      <c r="H992" s="4" t="n">
        <v>157.59</v>
      </c>
      <c r="I992" s="4" t="n">
        <v>102.91</v>
      </c>
      <c r="J992" s="4" t="n">
        <f aca="false">G992*H992</f>
        <v>1575.9</v>
      </c>
      <c r="K992" s="4" t="n">
        <f aca="false">G992*I992</f>
        <v>1029.1</v>
      </c>
      <c r="L992" s="4" t="n">
        <f aca="false">J992-K992</f>
        <v>546.8</v>
      </c>
    </row>
    <row r="993" customFormat="false" ht="15" hidden="false" customHeight="false" outlineLevel="0" collapsed="false">
      <c r="A993" s="0" t="n">
        <v>1874</v>
      </c>
      <c r="B993" s="2" t="n">
        <v>45715</v>
      </c>
      <c r="C993" s="3" t="s">
        <v>16</v>
      </c>
      <c r="D993" s="3" t="s">
        <v>29</v>
      </c>
      <c r="E993" s="3" t="s">
        <v>37</v>
      </c>
      <c r="F993" s="3" t="s">
        <v>39</v>
      </c>
      <c r="G993" s="0" t="n">
        <v>25</v>
      </c>
      <c r="H993" s="4" t="n">
        <v>304.18</v>
      </c>
      <c r="I993" s="4" t="n">
        <v>214.55</v>
      </c>
      <c r="J993" s="4" t="n">
        <f aca="false">G993*H993</f>
        <v>7604.5</v>
      </c>
      <c r="K993" s="4" t="n">
        <f aca="false">G993*I993</f>
        <v>5363.75</v>
      </c>
      <c r="L993" s="4" t="n">
        <f aca="false">J993-K993</f>
        <v>2240.75</v>
      </c>
    </row>
    <row r="994" customFormat="false" ht="15" hidden="false" customHeight="false" outlineLevel="0" collapsed="false">
      <c r="A994" s="0" t="n">
        <v>1937</v>
      </c>
      <c r="B994" s="2" t="n">
        <v>45715</v>
      </c>
      <c r="C994" s="3" t="s">
        <v>23</v>
      </c>
      <c r="D994" s="3" t="s">
        <v>17</v>
      </c>
      <c r="E994" s="3" t="s">
        <v>35</v>
      </c>
      <c r="F994" s="3" t="s">
        <v>39</v>
      </c>
      <c r="G994" s="0" t="n">
        <v>37</v>
      </c>
      <c r="H994" s="4" t="n">
        <v>461.46</v>
      </c>
      <c r="I994" s="4" t="n">
        <v>286.42</v>
      </c>
      <c r="J994" s="4" t="n">
        <f aca="false">G994*H994</f>
        <v>17074.02</v>
      </c>
      <c r="K994" s="4" t="n">
        <f aca="false">G994*I994</f>
        <v>10597.54</v>
      </c>
      <c r="L994" s="4" t="n">
        <f aca="false">J994-K994</f>
        <v>6476.48</v>
      </c>
    </row>
    <row r="995" customFormat="false" ht="15" hidden="false" customHeight="false" outlineLevel="0" collapsed="false">
      <c r="A995" s="0" t="n">
        <v>1641</v>
      </c>
      <c r="B995" s="2" t="n">
        <v>45716</v>
      </c>
      <c r="C995" s="3" t="s">
        <v>32</v>
      </c>
      <c r="D995" s="3" t="s">
        <v>13</v>
      </c>
      <c r="E995" s="3" t="s">
        <v>14</v>
      </c>
      <c r="F995" s="3" t="s">
        <v>36</v>
      </c>
      <c r="G995" s="0" t="n">
        <v>37</v>
      </c>
      <c r="H995" s="4" t="n">
        <v>57.04</v>
      </c>
      <c r="I995" s="4" t="n">
        <v>37.46</v>
      </c>
      <c r="J995" s="4" t="n">
        <f aca="false">G995*H995</f>
        <v>2110.48</v>
      </c>
      <c r="K995" s="4" t="n">
        <f aca="false">G995*I995</f>
        <v>1386.02</v>
      </c>
      <c r="L995" s="4" t="n">
        <f aca="false">J995-K995</f>
        <v>724.46</v>
      </c>
    </row>
    <row r="996" customFormat="false" ht="15" hidden="false" customHeight="false" outlineLevel="0" collapsed="false">
      <c r="A996" s="0" t="n">
        <v>1681</v>
      </c>
      <c r="B996" s="2" t="n">
        <v>45717</v>
      </c>
      <c r="C996" s="3" t="s">
        <v>26</v>
      </c>
      <c r="D996" s="3" t="s">
        <v>13</v>
      </c>
      <c r="E996" s="3" t="s">
        <v>14</v>
      </c>
      <c r="F996" s="3" t="s">
        <v>33</v>
      </c>
      <c r="G996" s="0" t="n">
        <v>19</v>
      </c>
      <c r="H996" s="4" t="n">
        <v>7.86</v>
      </c>
      <c r="I996" s="4" t="n">
        <v>4.64</v>
      </c>
      <c r="J996" s="4" t="n">
        <f aca="false">G996*H996</f>
        <v>149.34</v>
      </c>
      <c r="K996" s="4" t="n">
        <f aca="false">G996*I996</f>
        <v>88.16</v>
      </c>
      <c r="L996" s="4" t="n">
        <f aca="false">J996-K996</f>
        <v>61.18</v>
      </c>
    </row>
    <row r="997" customFormat="false" ht="15" hidden="false" customHeight="false" outlineLevel="0" collapsed="false">
      <c r="A997" s="0" t="n">
        <v>1782</v>
      </c>
      <c r="B997" s="2" t="n">
        <v>45717</v>
      </c>
      <c r="C997" s="3" t="s">
        <v>23</v>
      </c>
      <c r="D997" s="3" t="s">
        <v>29</v>
      </c>
      <c r="E997" s="3" t="s">
        <v>41</v>
      </c>
      <c r="F997" s="3" t="s">
        <v>28</v>
      </c>
      <c r="G997" s="0" t="n">
        <v>20</v>
      </c>
      <c r="H997" s="4" t="n">
        <v>251.69</v>
      </c>
      <c r="I997" s="4" t="n">
        <v>183.83</v>
      </c>
      <c r="J997" s="4" t="n">
        <f aca="false">G997*H997</f>
        <v>5033.8</v>
      </c>
      <c r="K997" s="4" t="n">
        <f aca="false">G997*I997</f>
        <v>3676.6</v>
      </c>
      <c r="L997" s="4" t="n">
        <f aca="false">J997-K997</f>
        <v>1357.2</v>
      </c>
    </row>
    <row r="998" customFormat="false" ht="15" hidden="false" customHeight="false" outlineLevel="0" collapsed="false">
      <c r="A998" s="0" t="n">
        <v>1868</v>
      </c>
      <c r="B998" s="2" t="n">
        <v>45717</v>
      </c>
      <c r="C998" s="3" t="s">
        <v>12</v>
      </c>
      <c r="D998" s="3" t="s">
        <v>17</v>
      </c>
      <c r="E998" s="3" t="s">
        <v>44</v>
      </c>
      <c r="F998" s="3" t="s">
        <v>22</v>
      </c>
      <c r="G998" s="0" t="n">
        <v>15</v>
      </c>
      <c r="H998" s="4" t="n">
        <v>418.79</v>
      </c>
      <c r="I998" s="4" t="n">
        <v>301.42</v>
      </c>
      <c r="J998" s="4" t="n">
        <f aca="false">G998*H998</f>
        <v>6281.85</v>
      </c>
      <c r="K998" s="4" t="n">
        <f aca="false">G998*I998</f>
        <v>4521.3</v>
      </c>
      <c r="L998" s="4" t="n">
        <f aca="false">J998-K998</f>
        <v>1760.55</v>
      </c>
    </row>
    <row r="999" customFormat="false" ht="15" hidden="false" customHeight="false" outlineLevel="0" collapsed="false">
      <c r="A999" s="0" t="n">
        <v>1988</v>
      </c>
      <c r="B999" s="2" t="n">
        <v>45718</v>
      </c>
      <c r="C999" s="3" t="s">
        <v>16</v>
      </c>
      <c r="D999" s="3" t="s">
        <v>17</v>
      </c>
      <c r="E999" s="3" t="s">
        <v>35</v>
      </c>
      <c r="F999" s="3" t="s">
        <v>28</v>
      </c>
      <c r="G999" s="0" t="n">
        <v>9</v>
      </c>
      <c r="H999" s="4" t="n">
        <v>287.23</v>
      </c>
      <c r="I999" s="4" t="n">
        <v>190.31</v>
      </c>
      <c r="J999" s="4" t="n">
        <f aca="false">G999*H999</f>
        <v>2585.07</v>
      </c>
      <c r="K999" s="4" t="n">
        <f aca="false">G999*I999</f>
        <v>1712.79</v>
      </c>
      <c r="L999" s="4" t="n">
        <f aca="false">J999-K999</f>
        <v>872.28</v>
      </c>
    </row>
    <row r="1000" customFormat="false" ht="15" hidden="false" customHeight="false" outlineLevel="0" collapsed="false">
      <c r="A1000" s="0" t="n">
        <v>1566</v>
      </c>
      <c r="B1000" s="2" t="n">
        <v>45719</v>
      </c>
      <c r="C1000" s="3" t="s">
        <v>26</v>
      </c>
      <c r="D1000" s="3" t="s">
        <v>17</v>
      </c>
      <c r="E1000" s="3" t="s">
        <v>18</v>
      </c>
      <c r="F1000" s="3" t="s">
        <v>22</v>
      </c>
      <c r="G1000" s="0" t="n">
        <v>28</v>
      </c>
      <c r="H1000" s="4" t="n">
        <v>506.14</v>
      </c>
      <c r="I1000" s="4" t="n">
        <v>310.32</v>
      </c>
      <c r="J1000" s="4" t="n">
        <f aca="false">G1000*H1000</f>
        <v>14171.92</v>
      </c>
      <c r="K1000" s="4" t="n">
        <f aca="false">G1000*I1000</f>
        <v>8688.96</v>
      </c>
      <c r="L1000" s="4" t="n">
        <f aca="false">J1000-K1000</f>
        <v>5482.96</v>
      </c>
    </row>
    <row r="1001" customFormat="false" ht="15" hidden="false" customHeight="false" outlineLevel="0" collapsed="false">
      <c r="A1001" s="0" t="n">
        <v>1673</v>
      </c>
      <c r="B1001" s="2" t="n">
        <v>45719</v>
      </c>
      <c r="C1001" s="3" t="s">
        <v>23</v>
      </c>
      <c r="D1001" s="3" t="s">
        <v>17</v>
      </c>
      <c r="E1001" s="3" t="s">
        <v>18</v>
      </c>
      <c r="F1001" s="3" t="s">
        <v>33</v>
      </c>
      <c r="G1001" s="0" t="n">
        <v>29</v>
      </c>
      <c r="H1001" s="4" t="n">
        <v>645.91</v>
      </c>
      <c r="I1001" s="4" t="n">
        <v>378.48</v>
      </c>
      <c r="J1001" s="4" t="n">
        <f aca="false">G1001*H1001</f>
        <v>18731.39</v>
      </c>
      <c r="K1001" s="4" t="n">
        <f aca="false">G1001*I1001</f>
        <v>10975.92</v>
      </c>
      <c r="L1001" s="4" t="n">
        <f aca="false">J1001-K1001</f>
        <v>7755.47</v>
      </c>
    </row>
    <row r="1002" customFormat="false" ht="15" hidden="false" customHeight="false" outlineLevel="0" collapsed="false">
      <c r="A1002" s="0" t="n">
        <v>2365</v>
      </c>
      <c r="B1002" s="2" t="n">
        <v>45719</v>
      </c>
      <c r="C1002" s="3" t="s">
        <v>12</v>
      </c>
      <c r="D1002" s="3" t="s">
        <v>20</v>
      </c>
      <c r="E1002" s="3" t="s">
        <v>38</v>
      </c>
      <c r="F1002" s="3" t="s">
        <v>39</v>
      </c>
      <c r="G1002" s="0" t="n">
        <v>1</v>
      </c>
      <c r="H1002" s="4" t="n">
        <v>223.63</v>
      </c>
      <c r="I1002" s="4" t="n">
        <v>155.81</v>
      </c>
      <c r="J1002" s="4" t="n">
        <f aca="false">G1002*H1002</f>
        <v>223.63</v>
      </c>
      <c r="K1002" s="4" t="n">
        <f aca="false">G1002*I1002</f>
        <v>155.81</v>
      </c>
      <c r="L1002" s="4" t="n">
        <f aca="false">J1002-K1002</f>
        <v>67.82</v>
      </c>
    </row>
    <row r="1003" customFormat="false" ht="15" hidden="false" customHeight="false" outlineLevel="0" collapsed="false">
      <c r="A1003" s="0" t="n">
        <v>2708</v>
      </c>
      <c r="B1003" s="2" t="n">
        <v>45719</v>
      </c>
      <c r="C1003" s="3" t="s">
        <v>23</v>
      </c>
      <c r="D1003" s="3" t="s">
        <v>20</v>
      </c>
      <c r="E1003" s="3" t="s">
        <v>42</v>
      </c>
      <c r="F1003" s="3" t="s">
        <v>36</v>
      </c>
      <c r="G1003" s="0" t="n">
        <v>15</v>
      </c>
      <c r="H1003" s="4" t="n">
        <v>163.4</v>
      </c>
      <c r="I1003" s="4" t="n">
        <v>97.78</v>
      </c>
      <c r="J1003" s="4" t="n">
        <f aca="false">G1003*H1003</f>
        <v>2451</v>
      </c>
      <c r="K1003" s="4" t="n">
        <f aca="false">G1003*I1003</f>
        <v>1466.7</v>
      </c>
      <c r="L1003" s="4" t="n">
        <f aca="false">J1003-K1003</f>
        <v>984.3</v>
      </c>
    </row>
    <row r="1004" customFormat="false" ht="15" hidden="false" customHeight="false" outlineLevel="0" collapsed="false">
      <c r="A1004" s="0" t="n">
        <v>1356</v>
      </c>
      <c r="B1004" s="2" t="n">
        <v>45720</v>
      </c>
      <c r="C1004" s="3" t="s">
        <v>16</v>
      </c>
      <c r="D1004" s="3" t="s">
        <v>13</v>
      </c>
      <c r="E1004" s="3" t="s">
        <v>31</v>
      </c>
      <c r="F1004" s="3" t="s">
        <v>36</v>
      </c>
      <c r="G1004" s="0" t="n">
        <v>22</v>
      </c>
      <c r="H1004" s="4" t="n">
        <v>28.81</v>
      </c>
      <c r="I1004" s="4" t="n">
        <v>19.45</v>
      </c>
      <c r="J1004" s="4" t="n">
        <f aca="false">G1004*H1004</f>
        <v>633.82</v>
      </c>
      <c r="K1004" s="4" t="n">
        <f aca="false">G1004*I1004</f>
        <v>427.9</v>
      </c>
      <c r="L1004" s="4" t="n">
        <f aca="false">J1004-K1004</f>
        <v>205.92</v>
      </c>
    </row>
    <row r="1005" customFormat="false" ht="15" hidden="false" customHeight="false" outlineLevel="0" collapsed="false">
      <c r="A1005" s="0" t="n">
        <v>1645</v>
      </c>
      <c r="B1005" s="2" t="n">
        <v>45720</v>
      </c>
      <c r="C1005" s="3" t="s">
        <v>12</v>
      </c>
      <c r="D1005" s="3" t="s">
        <v>20</v>
      </c>
      <c r="E1005" s="3" t="s">
        <v>34</v>
      </c>
      <c r="F1005" s="3" t="s">
        <v>22</v>
      </c>
      <c r="G1005" s="0" t="n">
        <v>19</v>
      </c>
      <c r="H1005" s="4" t="n">
        <v>89.53</v>
      </c>
      <c r="I1005" s="4" t="n">
        <v>57.81</v>
      </c>
      <c r="J1005" s="4" t="n">
        <f aca="false">G1005*H1005</f>
        <v>1701.07</v>
      </c>
      <c r="K1005" s="4" t="n">
        <f aca="false">G1005*I1005</f>
        <v>1098.39</v>
      </c>
      <c r="L1005" s="4" t="n">
        <f aca="false">J1005-K1005</f>
        <v>602.68</v>
      </c>
    </row>
    <row r="1006" customFormat="false" ht="15" hidden="false" customHeight="false" outlineLevel="0" collapsed="false">
      <c r="A1006" s="0" t="n">
        <v>2110</v>
      </c>
      <c r="B1006" s="2" t="n">
        <v>45720</v>
      </c>
      <c r="C1006" s="3" t="s">
        <v>23</v>
      </c>
      <c r="D1006" s="3" t="s">
        <v>13</v>
      </c>
      <c r="E1006" s="3" t="s">
        <v>45</v>
      </c>
      <c r="F1006" s="3" t="s">
        <v>39</v>
      </c>
      <c r="G1006" s="0" t="n">
        <v>9</v>
      </c>
      <c r="H1006" s="4" t="n">
        <v>31.69</v>
      </c>
      <c r="I1006" s="4" t="n">
        <v>19.08</v>
      </c>
      <c r="J1006" s="4" t="n">
        <f aca="false">G1006*H1006</f>
        <v>285.21</v>
      </c>
      <c r="K1006" s="4" t="n">
        <f aca="false">G1006*I1006</f>
        <v>171.72</v>
      </c>
      <c r="L1006" s="4" t="n">
        <f aca="false">J1006-K1006</f>
        <v>113.49</v>
      </c>
    </row>
    <row r="1007" customFormat="false" ht="15" hidden="false" customHeight="false" outlineLevel="0" collapsed="false">
      <c r="A1007" s="0" t="n">
        <v>1049</v>
      </c>
      <c r="B1007" s="2" t="n">
        <v>45721</v>
      </c>
      <c r="C1007" s="3" t="s">
        <v>16</v>
      </c>
      <c r="D1007" s="3" t="s">
        <v>13</v>
      </c>
      <c r="E1007" s="3" t="s">
        <v>14</v>
      </c>
      <c r="F1007" s="3" t="s">
        <v>39</v>
      </c>
      <c r="G1007" s="0" t="n">
        <v>18</v>
      </c>
      <c r="H1007" s="4" t="n">
        <v>4.65</v>
      </c>
      <c r="I1007" s="4" t="n">
        <v>2.8</v>
      </c>
      <c r="J1007" s="4" t="n">
        <f aca="false">G1007*H1007</f>
        <v>83.7</v>
      </c>
      <c r="K1007" s="4" t="n">
        <f aca="false">G1007*I1007</f>
        <v>50.4</v>
      </c>
      <c r="L1007" s="4" t="n">
        <f aca="false">J1007-K1007</f>
        <v>33.3</v>
      </c>
    </row>
    <row r="1008" customFormat="false" ht="15" hidden="false" customHeight="false" outlineLevel="0" collapsed="false">
      <c r="A1008" s="0" t="n">
        <v>1594</v>
      </c>
      <c r="B1008" s="2" t="n">
        <v>45721</v>
      </c>
      <c r="C1008" s="3" t="s">
        <v>32</v>
      </c>
      <c r="D1008" s="3" t="s">
        <v>17</v>
      </c>
      <c r="E1008" s="3" t="s">
        <v>40</v>
      </c>
      <c r="F1008" s="3" t="s">
        <v>15</v>
      </c>
      <c r="G1008" s="0" t="n">
        <v>34</v>
      </c>
      <c r="H1008" s="4" t="n">
        <v>596.72</v>
      </c>
      <c r="I1008" s="4" t="n">
        <v>412.44</v>
      </c>
      <c r="J1008" s="4" t="n">
        <f aca="false">G1008*H1008</f>
        <v>20288.48</v>
      </c>
      <c r="K1008" s="4" t="n">
        <f aca="false">G1008*I1008</f>
        <v>14022.96</v>
      </c>
      <c r="L1008" s="4" t="n">
        <f aca="false">J1008-K1008</f>
        <v>6265.52</v>
      </c>
    </row>
    <row r="1009" customFormat="false" ht="15" hidden="false" customHeight="false" outlineLevel="0" collapsed="false">
      <c r="A1009" s="0" t="n">
        <v>1750</v>
      </c>
      <c r="B1009" s="2" t="n">
        <v>45721</v>
      </c>
      <c r="C1009" s="3" t="s">
        <v>23</v>
      </c>
      <c r="D1009" s="3" t="s">
        <v>20</v>
      </c>
      <c r="E1009" s="3" t="s">
        <v>38</v>
      </c>
      <c r="F1009" s="3" t="s">
        <v>33</v>
      </c>
      <c r="G1009" s="0" t="n">
        <v>38</v>
      </c>
      <c r="H1009" s="4" t="n">
        <v>63.03</v>
      </c>
      <c r="I1009" s="4" t="n">
        <v>46.53</v>
      </c>
      <c r="J1009" s="4" t="n">
        <f aca="false">G1009*H1009</f>
        <v>2395.14</v>
      </c>
      <c r="K1009" s="4" t="n">
        <f aca="false">G1009*I1009</f>
        <v>1768.14</v>
      </c>
      <c r="L1009" s="4" t="n">
        <f aca="false">J1009-K1009</f>
        <v>627</v>
      </c>
    </row>
    <row r="1010" customFormat="false" ht="15" hidden="false" customHeight="false" outlineLevel="0" collapsed="false">
      <c r="A1010" s="0" t="n">
        <v>2758</v>
      </c>
      <c r="B1010" s="2" t="n">
        <v>45721</v>
      </c>
      <c r="C1010" s="3" t="s">
        <v>12</v>
      </c>
      <c r="D1010" s="3" t="s">
        <v>20</v>
      </c>
      <c r="E1010" s="3" t="s">
        <v>38</v>
      </c>
      <c r="F1010" s="3" t="s">
        <v>36</v>
      </c>
      <c r="G1010" s="0" t="n">
        <v>3</v>
      </c>
      <c r="H1010" s="4" t="n">
        <v>88.39</v>
      </c>
      <c r="I1010" s="4" t="n">
        <v>51.15</v>
      </c>
      <c r="J1010" s="4" t="n">
        <f aca="false">G1010*H1010</f>
        <v>265.17</v>
      </c>
      <c r="K1010" s="4" t="n">
        <f aca="false">G1010*I1010</f>
        <v>153.45</v>
      </c>
      <c r="L1010" s="4" t="n">
        <f aca="false">J1010-K1010</f>
        <v>111.72</v>
      </c>
    </row>
    <row r="1011" customFormat="false" ht="15" hidden="false" customHeight="false" outlineLevel="0" collapsed="false">
      <c r="A1011" s="0" t="n">
        <v>1048</v>
      </c>
      <c r="B1011" s="2" t="n">
        <v>45722</v>
      </c>
      <c r="C1011" s="3" t="s">
        <v>23</v>
      </c>
      <c r="D1011" s="3" t="s">
        <v>17</v>
      </c>
      <c r="E1011" s="3" t="s">
        <v>35</v>
      </c>
      <c r="F1011" s="3" t="s">
        <v>36</v>
      </c>
      <c r="G1011" s="0" t="n">
        <v>31</v>
      </c>
      <c r="H1011" s="4" t="n">
        <v>64.95</v>
      </c>
      <c r="I1011" s="4" t="n">
        <v>47.96</v>
      </c>
      <c r="J1011" s="4" t="n">
        <f aca="false">G1011*H1011</f>
        <v>2013.45</v>
      </c>
      <c r="K1011" s="4" t="n">
        <f aca="false">G1011*I1011</f>
        <v>1486.76</v>
      </c>
      <c r="L1011" s="4" t="n">
        <f aca="false">J1011-K1011</f>
        <v>526.69</v>
      </c>
    </row>
    <row r="1012" customFormat="false" ht="15" hidden="false" customHeight="false" outlineLevel="0" collapsed="false">
      <c r="A1012" s="0" t="n">
        <v>2407</v>
      </c>
      <c r="B1012" s="2" t="n">
        <v>45722</v>
      </c>
      <c r="C1012" s="3" t="s">
        <v>26</v>
      </c>
      <c r="D1012" s="3" t="s">
        <v>29</v>
      </c>
      <c r="E1012" s="3" t="s">
        <v>43</v>
      </c>
      <c r="F1012" s="3" t="s">
        <v>22</v>
      </c>
      <c r="G1012" s="0" t="n">
        <v>9</v>
      </c>
      <c r="H1012" s="4" t="n">
        <v>327.09</v>
      </c>
      <c r="I1012" s="4" t="n">
        <v>202.55</v>
      </c>
      <c r="J1012" s="4" t="n">
        <f aca="false">G1012*H1012</f>
        <v>2943.81</v>
      </c>
      <c r="K1012" s="4" t="n">
        <f aca="false">G1012*I1012</f>
        <v>1822.95</v>
      </c>
      <c r="L1012" s="4" t="n">
        <f aca="false">J1012-K1012</f>
        <v>1120.86</v>
      </c>
    </row>
    <row r="1013" customFormat="false" ht="15" hidden="false" customHeight="false" outlineLevel="0" collapsed="false">
      <c r="A1013" s="0" t="n">
        <v>2434</v>
      </c>
      <c r="B1013" s="2" t="n">
        <v>45722</v>
      </c>
      <c r="C1013" s="3" t="s">
        <v>26</v>
      </c>
      <c r="D1013" s="3" t="s">
        <v>17</v>
      </c>
      <c r="E1013" s="3" t="s">
        <v>44</v>
      </c>
      <c r="F1013" s="3" t="s">
        <v>39</v>
      </c>
      <c r="G1013" s="0" t="n">
        <v>5</v>
      </c>
      <c r="H1013" s="4" t="n">
        <v>189.14</v>
      </c>
      <c r="I1013" s="4" t="n">
        <v>107.15</v>
      </c>
      <c r="J1013" s="4" t="n">
        <f aca="false">G1013*H1013</f>
        <v>945.7</v>
      </c>
      <c r="K1013" s="4" t="n">
        <f aca="false">G1013*I1013</f>
        <v>535.75</v>
      </c>
      <c r="L1013" s="4" t="n">
        <f aca="false">J1013-K1013</f>
        <v>409.95</v>
      </c>
    </row>
    <row r="1014" customFormat="false" ht="15" hidden="false" customHeight="false" outlineLevel="0" collapsed="false">
      <c r="A1014" s="0" t="n">
        <v>1052</v>
      </c>
      <c r="B1014" s="2" t="n">
        <v>45723</v>
      </c>
      <c r="C1014" s="3" t="s">
        <v>32</v>
      </c>
      <c r="D1014" s="3" t="s">
        <v>17</v>
      </c>
      <c r="E1014" s="3" t="s">
        <v>18</v>
      </c>
      <c r="F1014" s="3" t="s">
        <v>22</v>
      </c>
      <c r="G1014" s="0" t="n">
        <v>35</v>
      </c>
      <c r="H1014" s="4" t="n">
        <v>103.75</v>
      </c>
      <c r="I1014" s="4" t="n">
        <v>76.7</v>
      </c>
      <c r="J1014" s="4" t="n">
        <f aca="false">G1014*H1014</f>
        <v>3631.25</v>
      </c>
      <c r="K1014" s="4" t="n">
        <f aca="false">G1014*I1014</f>
        <v>2684.5</v>
      </c>
      <c r="L1014" s="4" t="n">
        <f aca="false">J1014-K1014</f>
        <v>946.75</v>
      </c>
    </row>
    <row r="1015" customFormat="false" ht="15" hidden="false" customHeight="false" outlineLevel="0" collapsed="false">
      <c r="A1015" s="0" t="n">
        <v>1105</v>
      </c>
      <c r="B1015" s="2" t="n">
        <v>45723</v>
      </c>
      <c r="C1015" s="3" t="s">
        <v>16</v>
      </c>
      <c r="D1015" s="3" t="s">
        <v>17</v>
      </c>
      <c r="E1015" s="3" t="s">
        <v>27</v>
      </c>
      <c r="F1015" s="3" t="s">
        <v>28</v>
      </c>
      <c r="G1015" s="0" t="n">
        <v>29</v>
      </c>
      <c r="H1015" s="4" t="n">
        <v>713.53</v>
      </c>
      <c r="I1015" s="4" t="n">
        <v>525.41</v>
      </c>
      <c r="J1015" s="4" t="n">
        <f aca="false">G1015*H1015</f>
        <v>20692.37</v>
      </c>
      <c r="K1015" s="4" t="n">
        <f aca="false">G1015*I1015</f>
        <v>15236.89</v>
      </c>
      <c r="L1015" s="4" t="n">
        <f aca="false">J1015-K1015</f>
        <v>5455.48</v>
      </c>
    </row>
    <row r="1016" customFormat="false" ht="15" hidden="false" customHeight="false" outlineLevel="0" collapsed="false">
      <c r="A1016" s="0" t="n">
        <v>1619</v>
      </c>
      <c r="B1016" s="2" t="n">
        <v>45723</v>
      </c>
      <c r="C1016" s="3" t="s">
        <v>32</v>
      </c>
      <c r="D1016" s="3" t="s">
        <v>17</v>
      </c>
      <c r="E1016" s="3" t="s">
        <v>18</v>
      </c>
      <c r="F1016" s="3" t="s">
        <v>22</v>
      </c>
      <c r="G1016" s="0" t="n">
        <v>21</v>
      </c>
      <c r="H1016" s="4" t="n">
        <v>377.3</v>
      </c>
      <c r="I1016" s="4" t="n">
        <v>198.09</v>
      </c>
      <c r="J1016" s="4" t="n">
        <f aca="false">G1016*H1016</f>
        <v>7923.3</v>
      </c>
      <c r="K1016" s="4" t="n">
        <f aca="false">G1016*I1016</f>
        <v>4159.89</v>
      </c>
      <c r="L1016" s="4" t="n">
        <f aca="false">J1016-K1016</f>
        <v>3763.41</v>
      </c>
    </row>
    <row r="1017" customFormat="false" ht="15" hidden="false" customHeight="false" outlineLevel="0" collapsed="false">
      <c r="A1017" s="0" t="n">
        <v>2175</v>
      </c>
      <c r="B1017" s="2" t="n">
        <v>45723</v>
      </c>
      <c r="C1017" s="3" t="s">
        <v>23</v>
      </c>
      <c r="D1017" s="3" t="s">
        <v>20</v>
      </c>
      <c r="E1017" s="3" t="s">
        <v>38</v>
      </c>
      <c r="F1017" s="3" t="s">
        <v>19</v>
      </c>
      <c r="G1017" s="0" t="n">
        <v>20</v>
      </c>
      <c r="H1017" s="4" t="n">
        <v>107.25</v>
      </c>
      <c r="I1017" s="4" t="n">
        <v>78.37</v>
      </c>
      <c r="J1017" s="4" t="n">
        <f aca="false">G1017*H1017</f>
        <v>2145</v>
      </c>
      <c r="K1017" s="4" t="n">
        <f aca="false">G1017*I1017</f>
        <v>1567.4</v>
      </c>
      <c r="L1017" s="4" t="n">
        <f aca="false">J1017-K1017</f>
        <v>577.6</v>
      </c>
    </row>
    <row r="1018" customFormat="false" ht="15" hidden="false" customHeight="false" outlineLevel="0" collapsed="false">
      <c r="A1018" s="0" t="n">
        <v>2563</v>
      </c>
      <c r="B1018" s="2" t="n">
        <v>45724</v>
      </c>
      <c r="C1018" s="3" t="s">
        <v>26</v>
      </c>
      <c r="D1018" s="3" t="s">
        <v>29</v>
      </c>
      <c r="E1018" s="3" t="s">
        <v>37</v>
      </c>
      <c r="F1018" s="3" t="s">
        <v>28</v>
      </c>
      <c r="G1018" s="0" t="n">
        <v>15</v>
      </c>
      <c r="H1018" s="4" t="n">
        <v>149.87</v>
      </c>
      <c r="I1018" s="4" t="n">
        <v>91.54</v>
      </c>
      <c r="J1018" s="4" t="n">
        <f aca="false">G1018*H1018</f>
        <v>2248.05</v>
      </c>
      <c r="K1018" s="4" t="n">
        <f aca="false">G1018*I1018</f>
        <v>1373.1</v>
      </c>
      <c r="L1018" s="4" t="n">
        <f aca="false">J1018-K1018</f>
        <v>874.95</v>
      </c>
    </row>
    <row r="1019" customFormat="false" ht="15" hidden="false" customHeight="false" outlineLevel="0" collapsed="false">
      <c r="A1019" s="0" t="n">
        <v>1023</v>
      </c>
      <c r="B1019" s="2" t="n">
        <v>45725</v>
      </c>
      <c r="C1019" s="3" t="s">
        <v>16</v>
      </c>
      <c r="D1019" s="3" t="s">
        <v>20</v>
      </c>
      <c r="E1019" s="3" t="s">
        <v>34</v>
      </c>
      <c r="F1019" s="3" t="s">
        <v>39</v>
      </c>
      <c r="G1019" s="0" t="n">
        <v>19</v>
      </c>
      <c r="H1019" s="4" t="n">
        <v>37.07</v>
      </c>
      <c r="I1019" s="4" t="n">
        <v>21.44</v>
      </c>
      <c r="J1019" s="4" t="n">
        <f aca="false">G1019*H1019</f>
        <v>704.33</v>
      </c>
      <c r="K1019" s="4" t="n">
        <f aca="false">G1019*I1019</f>
        <v>407.36</v>
      </c>
      <c r="L1019" s="4" t="n">
        <f aca="false">J1019-K1019</f>
        <v>296.97</v>
      </c>
    </row>
    <row r="1020" customFormat="false" ht="15" hidden="false" customHeight="false" outlineLevel="0" collapsed="false">
      <c r="A1020" s="0" t="n">
        <v>1141</v>
      </c>
      <c r="B1020" s="2" t="n">
        <v>45725</v>
      </c>
      <c r="C1020" s="3" t="s">
        <v>26</v>
      </c>
      <c r="D1020" s="3" t="s">
        <v>29</v>
      </c>
      <c r="E1020" s="3" t="s">
        <v>37</v>
      </c>
      <c r="F1020" s="3" t="s">
        <v>15</v>
      </c>
      <c r="G1020" s="0" t="n">
        <v>8</v>
      </c>
      <c r="H1020" s="4" t="n">
        <v>413.44</v>
      </c>
      <c r="I1020" s="4" t="n">
        <v>218.18</v>
      </c>
      <c r="J1020" s="4" t="n">
        <f aca="false">G1020*H1020</f>
        <v>3307.52</v>
      </c>
      <c r="K1020" s="4" t="n">
        <f aca="false">G1020*I1020</f>
        <v>1745.44</v>
      </c>
      <c r="L1020" s="4" t="n">
        <f aca="false">J1020-K1020</f>
        <v>1562.08</v>
      </c>
    </row>
    <row r="1021" customFormat="false" ht="15" hidden="false" customHeight="false" outlineLevel="0" collapsed="false">
      <c r="A1021" s="0" t="n">
        <v>1647</v>
      </c>
      <c r="B1021" s="2" t="n">
        <v>45725</v>
      </c>
      <c r="C1021" s="3" t="s">
        <v>16</v>
      </c>
      <c r="D1021" s="3" t="s">
        <v>29</v>
      </c>
      <c r="E1021" s="3" t="s">
        <v>30</v>
      </c>
      <c r="F1021" s="3" t="s">
        <v>25</v>
      </c>
      <c r="G1021" s="0" t="n">
        <v>36</v>
      </c>
      <c r="H1021" s="4" t="n">
        <v>178.63</v>
      </c>
      <c r="I1021" s="4" t="n">
        <v>133.83</v>
      </c>
      <c r="J1021" s="4" t="n">
        <f aca="false">G1021*H1021</f>
        <v>6430.68</v>
      </c>
      <c r="K1021" s="4" t="n">
        <f aca="false">G1021*I1021</f>
        <v>4817.88</v>
      </c>
      <c r="L1021" s="4" t="n">
        <f aca="false">J1021-K1021</f>
        <v>1612.8</v>
      </c>
    </row>
    <row r="1022" customFormat="false" ht="15" hidden="false" customHeight="false" outlineLevel="0" collapsed="false">
      <c r="A1022" s="0" t="n">
        <v>1804</v>
      </c>
      <c r="B1022" s="2" t="n">
        <v>45725</v>
      </c>
      <c r="C1022" s="3" t="s">
        <v>32</v>
      </c>
      <c r="D1022" s="3" t="s">
        <v>29</v>
      </c>
      <c r="E1022" s="3" t="s">
        <v>37</v>
      </c>
      <c r="F1022" s="3" t="s">
        <v>39</v>
      </c>
      <c r="G1022" s="0" t="n">
        <v>7</v>
      </c>
      <c r="H1022" s="4" t="n">
        <v>273.45</v>
      </c>
      <c r="I1022" s="4" t="n">
        <v>201.18</v>
      </c>
      <c r="J1022" s="4" t="n">
        <f aca="false">G1022*H1022</f>
        <v>1914.15</v>
      </c>
      <c r="K1022" s="4" t="n">
        <f aca="false">G1022*I1022</f>
        <v>1408.26</v>
      </c>
      <c r="L1022" s="4" t="n">
        <f aca="false">J1022-K1022</f>
        <v>505.89</v>
      </c>
    </row>
    <row r="1023" customFormat="false" ht="15" hidden="false" customHeight="false" outlineLevel="0" collapsed="false">
      <c r="A1023" s="0" t="n">
        <v>1609</v>
      </c>
      <c r="B1023" s="2" t="n">
        <v>45726</v>
      </c>
      <c r="C1023" s="3" t="s">
        <v>23</v>
      </c>
      <c r="D1023" s="3" t="s">
        <v>29</v>
      </c>
      <c r="E1023" s="3" t="s">
        <v>43</v>
      </c>
      <c r="F1023" s="3" t="s">
        <v>36</v>
      </c>
      <c r="G1023" s="0" t="n">
        <v>23</v>
      </c>
      <c r="H1023" s="4" t="n">
        <v>249.87</v>
      </c>
      <c r="I1023" s="4" t="n">
        <v>142.36</v>
      </c>
      <c r="J1023" s="4" t="n">
        <f aca="false">G1023*H1023</f>
        <v>5747.01</v>
      </c>
      <c r="K1023" s="4" t="n">
        <f aca="false">G1023*I1023</f>
        <v>3274.28</v>
      </c>
      <c r="L1023" s="4" t="n">
        <f aca="false">J1023-K1023</f>
        <v>2472.73</v>
      </c>
    </row>
    <row r="1024" customFormat="false" ht="15" hidden="false" customHeight="false" outlineLevel="0" collapsed="false">
      <c r="A1024" s="0" t="n">
        <v>2062</v>
      </c>
      <c r="B1024" s="2" t="n">
        <v>45726</v>
      </c>
      <c r="C1024" s="3" t="s">
        <v>12</v>
      </c>
      <c r="D1024" s="3" t="s">
        <v>13</v>
      </c>
      <c r="E1024" s="3" t="s">
        <v>14</v>
      </c>
      <c r="F1024" s="3" t="s">
        <v>33</v>
      </c>
      <c r="G1024" s="0" t="n">
        <v>12</v>
      </c>
      <c r="H1024" s="4" t="n">
        <v>59.74</v>
      </c>
      <c r="I1024" s="4" t="n">
        <v>32.78</v>
      </c>
      <c r="J1024" s="4" t="n">
        <f aca="false">G1024*H1024</f>
        <v>716.88</v>
      </c>
      <c r="K1024" s="4" t="n">
        <f aca="false">G1024*I1024</f>
        <v>393.36</v>
      </c>
      <c r="L1024" s="4" t="n">
        <f aca="false">J1024-K1024</f>
        <v>323.52</v>
      </c>
    </row>
    <row r="1025" customFormat="false" ht="15" hidden="false" customHeight="false" outlineLevel="0" collapsed="false">
      <c r="A1025" s="0" t="n">
        <v>1284</v>
      </c>
      <c r="B1025" s="2" t="n">
        <v>45728</v>
      </c>
      <c r="C1025" s="3" t="s">
        <v>12</v>
      </c>
      <c r="D1025" s="3" t="s">
        <v>29</v>
      </c>
      <c r="E1025" s="3" t="s">
        <v>37</v>
      </c>
      <c r="F1025" s="3" t="s">
        <v>19</v>
      </c>
      <c r="G1025" s="0" t="n">
        <v>18</v>
      </c>
      <c r="H1025" s="4" t="n">
        <v>94.55</v>
      </c>
      <c r="I1025" s="4" t="n">
        <v>53.08</v>
      </c>
      <c r="J1025" s="4" t="n">
        <f aca="false">G1025*H1025</f>
        <v>1701.9</v>
      </c>
      <c r="K1025" s="4" t="n">
        <f aca="false">G1025*I1025</f>
        <v>955.44</v>
      </c>
      <c r="L1025" s="4" t="n">
        <f aca="false">J1025-K1025</f>
        <v>746.46</v>
      </c>
    </row>
    <row r="1026" customFormat="false" ht="15" hidden="false" customHeight="false" outlineLevel="0" collapsed="false">
      <c r="A1026" s="0" t="n">
        <v>2022</v>
      </c>
      <c r="B1026" s="2" t="n">
        <v>45728</v>
      </c>
      <c r="C1026" s="3" t="s">
        <v>32</v>
      </c>
      <c r="D1026" s="3" t="s">
        <v>29</v>
      </c>
      <c r="E1026" s="3" t="s">
        <v>41</v>
      </c>
      <c r="F1026" s="3" t="s">
        <v>33</v>
      </c>
      <c r="G1026" s="0" t="n">
        <v>12</v>
      </c>
      <c r="H1026" s="4" t="n">
        <v>476.92</v>
      </c>
      <c r="I1026" s="4" t="n">
        <v>325.62</v>
      </c>
      <c r="J1026" s="4" t="n">
        <f aca="false">G1026*H1026</f>
        <v>5723.04</v>
      </c>
      <c r="K1026" s="4" t="n">
        <f aca="false">G1026*I1026</f>
        <v>3907.44</v>
      </c>
      <c r="L1026" s="4" t="n">
        <f aca="false">J1026-K1026</f>
        <v>1815.6</v>
      </c>
    </row>
    <row r="1027" customFormat="false" ht="15" hidden="false" customHeight="false" outlineLevel="0" collapsed="false">
      <c r="A1027" s="0" t="n">
        <v>2469</v>
      </c>
      <c r="B1027" s="2" t="n">
        <v>45728</v>
      </c>
      <c r="C1027" s="3" t="s">
        <v>26</v>
      </c>
      <c r="D1027" s="3" t="s">
        <v>17</v>
      </c>
      <c r="E1027" s="3" t="s">
        <v>44</v>
      </c>
      <c r="F1027" s="3" t="s">
        <v>22</v>
      </c>
      <c r="G1027" s="0" t="n">
        <v>34</v>
      </c>
      <c r="H1027" s="4" t="n">
        <v>803.35</v>
      </c>
      <c r="I1027" s="4" t="n">
        <v>565.99</v>
      </c>
      <c r="J1027" s="4" t="n">
        <f aca="false">G1027*H1027</f>
        <v>27313.9</v>
      </c>
      <c r="K1027" s="4" t="n">
        <f aca="false">G1027*I1027</f>
        <v>19243.66</v>
      </c>
      <c r="L1027" s="4" t="n">
        <f aca="false">J1027-K1027</f>
        <v>8070.24</v>
      </c>
    </row>
    <row r="1028" customFormat="false" ht="15" hidden="false" customHeight="false" outlineLevel="0" collapsed="false">
      <c r="A1028" s="0" t="n">
        <v>1303</v>
      </c>
      <c r="B1028" s="2" t="n">
        <v>45729</v>
      </c>
      <c r="C1028" s="3" t="s">
        <v>26</v>
      </c>
      <c r="D1028" s="3" t="s">
        <v>29</v>
      </c>
      <c r="E1028" s="3" t="s">
        <v>41</v>
      </c>
      <c r="F1028" s="3" t="s">
        <v>39</v>
      </c>
      <c r="G1028" s="0" t="n">
        <v>7</v>
      </c>
      <c r="H1028" s="4" t="n">
        <v>202.56</v>
      </c>
      <c r="I1028" s="4" t="n">
        <v>144.01</v>
      </c>
      <c r="J1028" s="4" t="n">
        <f aca="false">G1028*H1028</f>
        <v>1417.92</v>
      </c>
      <c r="K1028" s="4" t="n">
        <f aca="false">G1028*I1028</f>
        <v>1008.07</v>
      </c>
      <c r="L1028" s="4" t="n">
        <f aca="false">J1028-K1028</f>
        <v>409.85</v>
      </c>
    </row>
    <row r="1029" customFormat="false" ht="15" hidden="false" customHeight="false" outlineLevel="0" collapsed="false">
      <c r="A1029" s="0" t="n">
        <v>1873</v>
      </c>
      <c r="B1029" s="2" t="n">
        <v>45729</v>
      </c>
      <c r="C1029" s="3" t="s">
        <v>32</v>
      </c>
      <c r="D1029" s="3" t="s">
        <v>13</v>
      </c>
      <c r="E1029" s="3" t="s">
        <v>45</v>
      </c>
      <c r="F1029" s="3" t="s">
        <v>33</v>
      </c>
      <c r="G1029" s="0" t="n">
        <v>9</v>
      </c>
      <c r="H1029" s="4" t="n">
        <v>24.95</v>
      </c>
      <c r="I1029" s="4" t="n">
        <v>16.8</v>
      </c>
      <c r="J1029" s="4" t="n">
        <f aca="false">G1029*H1029</f>
        <v>224.55</v>
      </c>
      <c r="K1029" s="4" t="n">
        <f aca="false">G1029*I1029</f>
        <v>151.2</v>
      </c>
      <c r="L1029" s="4" t="n">
        <f aca="false">J1029-K1029</f>
        <v>73.35</v>
      </c>
    </row>
    <row r="1030" customFormat="false" ht="15" hidden="false" customHeight="false" outlineLevel="0" collapsed="false">
      <c r="A1030" s="0" t="n">
        <v>2797</v>
      </c>
      <c r="B1030" s="2" t="n">
        <v>45729</v>
      </c>
      <c r="C1030" s="3" t="s">
        <v>12</v>
      </c>
      <c r="D1030" s="3" t="s">
        <v>13</v>
      </c>
      <c r="E1030" s="3" t="s">
        <v>46</v>
      </c>
      <c r="F1030" s="3" t="s">
        <v>33</v>
      </c>
      <c r="G1030" s="0" t="n">
        <v>27</v>
      </c>
      <c r="H1030" s="4" t="n">
        <v>13.54</v>
      </c>
      <c r="I1030" s="4" t="n">
        <v>9.46</v>
      </c>
      <c r="J1030" s="4" t="n">
        <f aca="false">G1030*H1030</f>
        <v>365.58</v>
      </c>
      <c r="K1030" s="4" t="n">
        <f aca="false">G1030*I1030</f>
        <v>255.42</v>
      </c>
      <c r="L1030" s="4" t="n">
        <f aca="false">J1030-K1030</f>
        <v>110.16</v>
      </c>
    </row>
    <row r="1031" customFormat="false" ht="15" hidden="false" customHeight="false" outlineLevel="0" collapsed="false">
      <c r="A1031" s="0" t="n">
        <v>1565</v>
      </c>
      <c r="B1031" s="2" t="n">
        <v>45730</v>
      </c>
      <c r="C1031" s="3" t="s">
        <v>12</v>
      </c>
      <c r="D1031" s="3" t="s">
        <v>13</v>
      </c>
      <c r="E1031" s="3" t="s">
        <v>31</v>
      </c>
      <c r="F1031" s="3" t="s">
        <v>36</v>
      </c>
      <c r="G1031" s="0" t="n">
        <v>38</v>
      </c>
      <c r="H1031" s="4" t="n">
        <v>55.87</v>
      </c>
      <c r="I1031" s="4" t="n">
        <v>40.48</v>
      </c>
      <c r="J1031" s="4" t="n">
        <f aca="false">G1031*H1031</f>
        <v>2123.06</v>
      </c>
      <c r="K1031" s="4" t="n">
        <f aca="false">G1031*I1031</f>
        <v>1538.24</v>
      </c>
      <c r="L1031" s="4" t="n">
        <f aca="false">J1031-K1031</f>
        <v>584.82</v>
      </c>
    </row>
    <row r="1032" customFormat="false" ht="15" hidden="false" customHeight="false" outlineLevel="0" collapsed="false">
      <c r="A1032" s="0" t="n">
        <v>1726</v>
      </c>
      <c r="B1032" s="2" t="n">
        <v>45730</v>
      </c>
      <c r="C1032" s="3" t="s">
        <v>16</v>
      </c>
      <c r="D1032" s="3" t="s">
        <v>17</v>
      </c>
      <c r="E1032" s="3" t="s">
        <v>40</v>
      </c>
      <c r="F1032" s="3" t="s">
        <v>22</v>
      </c>
      <c r="G1032" s="0" t="n">
        <v>30</v>
      </c>
      <c r="H1032" s="4" t="n">
        <v>494.46</v>
      </c>
      <c r="I1032" s="4" t="n">
        <v>335.4</v>
      </c>
      <c r="J1032" s="4" t="n">
        <f aca="false">G1032*H1032</f>
        <v>14833.8</v>
      </c>
      <c r="K1032" s="4" t="n">
        <f aca="false">G1032*I1032</f>
        <v>10062</v>
      </c>
      <c r="L1032" s="4" t="n">
        <f aca="false">J1032-K1032</f>
        <v>4771.8</v>
      </c>
    </row>
    <row r="1033" customFormat="false" ht="15" hidden="false" customHeight="false" outlineLevel="0" collapsed="false">
      <c r="A1033" s="0" t="n">
        <v>1259</v>
      </c>
      <c r="B1033" s="2" t="n">
        <v>45731</v>
      </c>
      <c r="C1033" s="3" t="s">
        <v>32</v>
      </c>
      <c r="D1033" s="3" t="s">
        <v>13</v>
      </c>
      <c r="E1033" s="3" t="s">
        <v>24</v>
      </c>
      <c r="F1033" s="3" t="s">
        <v>15</v>
      </c>
      <c r="G1033" s="0" t="n">
        <v>6</v>
      </c>
      <c r="H1033" s="4" t="n">
        <v>37.26</v>
      </c>
      <c r="I1033" s="4" t="n">
        <v>27.4</v>
      </c>
      <c r="J1033" s="4" t="n">
        <f aca="false">G1033*H1033</f>
        <v>223.56</v>
      </c>
      <c r="K1033" s="4" t="n">
        <f aca="false">G1033*I1033</f>
        <v>164.4</v>
      </c>
      <c r="L1033" s="4" t="n">
        <f aca="false">J1033-K1033</f>
        <v>59.16</v>
      </c>
    </row>
    <row r="1034" customFormat="false" ht="15" hidden="false" customHeight="false" outlineLevel="0" collapsed="false">
      <c r="A1034" s="0" t="n">
        <v>1231</v>
      </c>
      <c r="B1034" s="2" t="n">
        <v>45732</v>
      </c>
      <c r="C1034" s="3" t="s">
        <v>26</v>
      </c>
      <c r="D1034" s="3" t="s">
        <v>17</v>
      </c>
      <c r="E1034" s="3" t="s">
        <v>27</v>
      </c>
      <c r="F1034" s="3" t="s">
        <v>15</v>
      </c>
      <c r="G1034" s="0" t="n">
        <v>15</v>
      </c>
      <c r="H1034" s="4" t="n">
        <v>488.97</v>
      </c>
      <c r="I1034" s="4" t="n">
        <v>298.98</v>
      </c>
      <c r="J1034" s="4" t="n">
        <f aca="false">G1034*H1034</f>
        <v>7334.55</v>
      </c>
      <c r="K1034" s="4" t="n">
        <f aca="false">G1034*I1034</f>
        <v>4484.7</v>
      </c>
      <c r="L1034" s="4" t="n">
        <f aca="false">J1034-K1034</f>
        <v>2849.85</v>
      </c>
    </row>
    <row r="1035" customFormat="false" ht="15" hidden="false" customHeight="false" outlineLevel="0" collapsed="false">
      <c r="A1035" s="0" t="n">
        <v>1651</v>
      </c>
      <c r="B1035" s="2" t="n">
        <v>45732</v>
      </c>
      <c r="C1035" s="3" t="s">
        <v>32</v>
      </c>
      <c r="D1035" s="3" t="s">
        <v>29</v>
      </c>
      <c r="E1035" s="3" t="s">
        <v>43</v>
      </c>
      <c r="F1035" s="3" t="s">
        <v>33</v>
      </c>
      <c r="G1035" s="0" t="n">
        <v>28</v>
      </c>
      <c r="H1035" s="4" t="n">
        <v>497.72</v>
      </c>
      <c r="I1035" s="4" t="n">
        <v>267.68</v>
      </c>
      <c r="J1035" s="4" t="n">
        <f aca="false">G1035*H1035</f>
        <v>13936.16</v>
      </c>
      <c r="K1035" s="4" t="n">
        <f aca="false">G1035*I1035</f>
        <v>7495.04</v>
      </c>
      <c r="L1035" s="4" t="n">
        <f aca="false">J1035-K1035</f>
        <v>6441.12</v>
      </c>
    </row>
    <row r="1036" customFormat="false" ht="15" hidden="false" customHeight="false" outlineLevel="0" collapsed="false">
      <c r="A1036" s="0" t="n">
        <v>2023</v>
      </c>
      <c r="B1036" s="2" t="n">
        <v>45732</v>
      </c>
      <c r="C1036" s="3" t="s">
        <v>16</v>
      </c>
      <c r="D1036" s="3" t="s">
        <v>29</v>
      </c>
      <c r="E1036" s="3" t="s">
        <v>43</v>
      </c>
      <c r="F1036" s="3" t="s">
        <v>25</v>
      </c>
      <c r="G1036" s="0" t="n">
        <v>23</v>
      </c>
      <c r="H1036" s="4" t="n">
        <v>195.02</v>
      </c>
      <c r="I1036" s="4" t="n">
        <v>140.68</v>
      </c>
      <c r="J1036" s="4" t="n">
        <f aca="false">G1036*H1036</f>
        <v>4485.46</v>
      </c>
      <c r="K1036" s="4" t="n">
        <f aca="false">G1036*I1036</f>
        <v>3235.64</v>
      </c>
      <c r="L1036" s="4" t="n">
        <f aca="false">J1036-K1036</f>
        <v>1249.82</v>
      </c>
    </row>
    <row r="1037" customFormat="false" ht="15" hidden="false" customHeight="false" outlineLevel="0" collapsed="false">
      <c r="A1037" s="0" t="n">
        <v>2479</v>
      </c>
      <c r="B1037" s="2" t="n">
        <v>45732</v>
      </c>
      <c r="C1037" s="3" t="s">
        <v>23</v>
      </c>
      <c r="D1037" s="3" t="s">
        <v>17</v>
      </c>
      <c r="E1037" s="3" t="s">
        <v>18</v>
      </c>
      <c r="F1037" s="3" t="s">
        <v>22</v>
      </c>
      <c r="G1037" s="0" t="n">
        <v>36</v>
      </c>
      <c r="H1037" s="4" t="n">
        <v>457.3</v>
      </c>
      <c r="I1037" s="4" t="n">
        <v>339.81</v>
      </c>
      <c r="J1037" s="4" t="n">
        <f aca="false">G1037*H1037</f>
        <v>16462.8</v>
      </c>
      <c r="K1037" s="4" t="n">
        <f aca="false">G1037*I1037</f>
        <v>12233.16</v>
      </c>
      <c r="L1037" s="4" t="n">
        <f aca="false">J1037-K1037</f>
        <v>4229.64</v>
      </c>
    </row>
    <row r="1038" customFormat="false" ht="15" hidden="false" customHeight="false" outlineLevel="0" collapsed="false">
      <c r="A1038" s="0" t="n">
        <v>1789</v>
      </c>
      <c r="B1038" s="2" t="n">
        <v>45733</v>
      </c>
      <c r="C1038" s="3" t="s">
        <v>12</v>
      </c>
      <c r="D1038" s="3" t="s">
        <v>13</v>
      </c>
      <c r="E1038" s="3" t="s">
        <v>31</v>
      </c>
      <c r="F1038" s="3" t="s">
        <v>19</v>
      </c>
      <c r="G1038" s="0" t="n">
        <v>9</v>
      </c>
      <c r="H1038" s="4" t="n">
        <v>13.37</v>
      </c>
      <c r="I1038" s="4" t="n">
        <v>9.41</v>
      </c>
      <c r="J1038" s="4" t="n">
        <f aca="false">G1038*H1038</f>
        <v>120.33</v>
      </c>
      <c r="K1038" s="4" t="n">
        <f aca="false">G1038*I1038</f>
        <v>84.69</v>
      </c>
      <c r="L1038" s="4" t="n">
        <f aca="false">J1038-K1038</f>
        <v>35.64</v>
      </c>
    </row>
    <row r="1039" customFormat="false" ht="15" hidden="false" customHeight="false" outlineLevel="0" collapsed="false">
      <c r="A1039" s="0" t="n">
        <v>1954</v>
      </c>
      <c r="B1039" s="2" t="n">
        <v>45733</v>
      </c>
      <c r="C1039" s="3" t="s">
        <v>32</v>
      </c>
      <c r="D1039" s="3" t="s">
        <v>13</v>
      </c>
      <c r="E1039" s="3" t="s">
        <v>45</v>
      </c>
      <c r="F1039" s="3" t="s">
        <v>39</v>
      </c>
      <c r="G1039" s="0" t="n">
        <v>25</v>
      </c>
      <c r="H1039" s="4" t="n">
        <v>58.03</v>
      </c>
      <c r="I1039" s="4" t="n">
        <v>42.06</v>
      </c>
      <c r="J1039" s="4" t="n">
        <f aca="false">G1039*H1039</f>
        <v>1450.75</v>
      </c>
      <c r="K1039" s="4" t="n">
        <f aca="false">G1039*I1039</f>
        <v>1051.5</v>
      </c>
      <c r="L1039" s="4" t="n">
        <f aca="false">J1039-K1039</f>
        <v>399.25</v>
      </c>
    </row>
    <row r="1040" customFormat="false" ht="15" hidden="false" customHeight="false" outlineLevel="0" collapsed="false">
      <c r="A1040" s="0" t="n">
        <v>1989</v>
      </c>
      <c r="B1040" s="2" t="n">
        <v>45733</v>
      </c>
      <c r="C1040" s="3" t="s">
        <v>23</v>
      </c>
      <c r="D1040" s="3" t="s">
        <v>29</v>
      </c>
      <c r="E1040" s="3" t="s">
        <v>37</v>
      </c>
      <c r="F1040" s="3" t="s">
        <v>22</v>
      </c>
      <c r="G1040" s="0" t="n">
        <v>4</v>
      </c>
      <c r="H1040" s="4" t="n">
        <v>162.39</v>
      </c>
      <c r="I1040" s="4" t="n">
        <v>96.6</v>
      </c>
      <c r="J1040" s="4" t="n">
        <f aca="false">G1040*H1040</f>
        <v>649.56</v>
      </c>
      <c r="K1040" s="4" t="n">
        <f aca="false">G1040*I1040</f>
        <v>386.4</v>
      </c>
      <c r="L1040" s="4" t="n">
        <f aca="false">J1040-K1040</f>
        <v>263.16</v>
      </c>
    </row>
    <row r="1041" customFormat="false" ht="15" hidden="false" customHeight="false" outlineLevel="0" collapsed="false">
      <c r="A1041" s="0" t="n">
        <v>2557</v>
      </c>
      <c r="B1041" s="2" t="n">
        <v>45733</v>
      </c>
      <c r="C1041" s="3" t="s">
        <v>23</v>
      </c>
      <c r="D1041" s="3" t="s">
        <v>29</v>
      </c>
      <c r="E1041" s="3" t="s">
        <v>37</v>
      </c>
      <c r="F1041" s="3" t="s">
        <v>22</v>
      </c>
      <c r="G1041" s="0" t="n">
        <v>12</v>
      </c>
      <c r="H1041" s="4" t="n">
        <v>420.73</v>
      </c>
      <c r="I1041" s="4" t="n">
        <v>221.27</v>
      </c>
      <c r="J1041" s="4" t="n">
        <f aca="false">G1041*H1041</f>
        <v>5048.76</v>
      </c>
      <c r="K1041" s="4" t="n">
        <f aca="false">G1041*I1041</f>
        <v>2655.24</v>
      </c>
      <c r="L1041" s="4" t="n">
        <f aca="false">J1041-K1041</f>
        <v>2393.52</v>
      </c>
    </row>
    <row r="1042" customFormat="false" ht="15" hidden="false" customHeight="false" outlineLevel="0" collapsed="false">
      <c r="A1042" s="0" t="n">
        <v>1711</v>
      </c>
      <c r="B1042" s="2" t="n">
        <v>45734</v>
      </c>
      <c r="C1042" s="3" t="s">
        <v>12</v>
      </c>
      <c r="D1042" s="3" t="s">
        <v>29</v>
      </c>
      <c r="E1042" s="3" t="s">
        <v>43</v>
      </c>
      <c r="F1042" s="3" t="s">
        <v>15</v>
      </c>
      <c r="G1042" s="0" t="n">
        <v>29</v>
      </c>
      <c r="H1042" s="4" t="n">
        <v>215.09</v>
      </c>
      <c r="I1042" s="4" t="n">
        <v>159.11</v>
      </c>
      <c r="J1042" s="4" t="n">
        <f aca="false">G1042*H1042</f>
        <v>6237.61</v>
      </c>
      <c r="K1042" s="4" t="n">
        <f aca="false">G1042*I1042</f>
        <v>4614.19</v>
      </c>
      <c r="L1042" s="4" t="n">
        <f aca="false">J1042-K1042</f>
        <v>1623.42</v>
      </c>
    </row>
    <row r="1043" customFormat="false" ht="15" hidden="false" customHeight="false" outlineLevel="0" collapsed="false">
      <c r="A1043" s="0" t="n">
        <v>1355</v>
      </c>
      <c r="B1043" s="2" t="n">
        <v>45735</v>
      </c>
      <c r="C1043" s="3" t="s">
        <v>16</v>
      </c>
      <c r="D1043" s="3" t="s">
        <v>20</v>
      </c>
      <c r="E1043" s="3" t="s">
        <v>34</v>
      </c>
      <c r="F1043" s="3" t="s">
        <v>19</v>
      </c>
      <c r="G1043" s="0" t="n">
        <v>9</v>
      </c>
      <c r="H1043" s="4" t="n">
        <v>110.12</v>
      </c>
      <c r="I1043" s="4" t="n">
        <v>79.32</v>
      </c>
      <c r="J1043" s="4" t="n">
        <f aca="false">G1043*H1043</f>
        <v>991.08</v>
      </c>
      <c r="K1043" s="4" t="n">
        <f aca="false">G1043*I1043</f>
        <v>713.88</v>
      </c>
      <c r="L1043" s="4" t="n">
        <f aca="false">J1043-K1043</f>
        <v>277.2</v>
      </c>
    </row>
    <row r="1044" customFormat="false" ht="15" hidden="false" customHeight="false" outlineLevel="0" collapsed="false">
      <c r="A1044" s="0" t="n">
        <v>1650</v>
      </c>
      <c r="B1044" s="2" t="n">
        <v>45735</v>
      </c>
      <c r="C1044" s="3" t="s">
        <v>12</v>
      </c>
      <c r="D1044" s="3" t="s">
        <v>29</v>
      </c>
      <c r="E1044" s="3" t="s">
        <v>30</v>
      </c>
      <c r="F1044" s="3" t="s">
        <v>33</v>
      </c>
      <c r="G1044" s="0" t="n">
        <v>3</v>
      </c>
      <c r="H1044" s="4" t="n">
        <v>488.82</v>
      </c>
      <c r="I1044" s="4" t="n">
        <v>288.48</v>
      </c>
      <c r="J1044" s="4" t="n">
        <f aca="false">G1044*H1044</f>
        <v>1466.46</v>
      </c>
      <c r="K1044" s="4" t="n">
        <f aca="false">G1044*I1044</f>
        <v>865.44</v>
      </c>
      <c r="L1044" s="4" t="n">
        <f aca="false">J1044-K1044</f>
        <v>601.02</v>
      </c>
    </row>
    <row r="1045" customFormat="false" ht="15" hidden="false" customHeight="false" outlineLevel="0" collapsed="false">
      <c r="A1045" s="0" t="n">
        <v>2255</v>
      </c>
      <c r="B1045" s="2" t="n">
        <v>45735</v>
      </c>
      <c r="C1045" s="3" t="s">
        <v>12</v>
      </c>
      <c r="D1045" s="3" t="s">
        <v>13</v>
      </c>
      <c r="E1045" s="3" t="s">
        <v>45</v>
      </c>
      <c r="F1045" s="3" t="s">
        <v>25</v>
      </c>
      <c r="G1045" s="0" t="n">
        <v>25</v>
      </c>
      <c r="H1045" s="4" t="n">
        <v>33.17</v>
      </c>
      <c r="I1045" s="4" t="n">
        <v>24.78</v>
      </c>
      <c r="J1045" s="4" t="n">
        <f aca="false">G1045*H1045</f>
        <v>829.25</v>
      </c>
      <c r="K1045" s="4" t="n">
        <f aca="false">G1045*I1045</f>
        <v>619.5</v>
      </c>
      <c r="L1045" s="4" t="n">
        <f aca="false">J1045-K1045</f>
        <v>209.75</v>
      </c>
    </row>
    <row r="1046" customFormat="false" ht="15" hidden="false" customHeight="false" outlineLevel="0" collapsed="false">
      <c r="A1046" s="0" t="n">
        <v>1214</v>
      </c>
      <c r="B1046" s="2" t="n">
        <v>45736</v>
      </c>
      <c r="C1046" s="3" t="s">
        <v>32</v>
      </c>
      <c r="D1046" s="3" t="s">
        <v>17</v>
      </c>
      <c r="E1046" s="3" t="s">
        <v>35</v>
      </c>
      <c r="F1046" s="3" t="s">
        <v>22</v>
      </c>
      <c r="G1046" s="0" t="n">
        <v>15</v>
      </c>
      <c r="H1046" s="4" t="n">
        <v>237.59</v>
      </c>
      <c r="I1046" s="4" t="n">
        <v>121.56</v>
      </c>
      <c r="J1046" s="4" t="n">
        <f aca="false">G1046*H1046</f>
        <v>3563.85</v>
      </c>
      <c r="K1046" s="4" t="n">
        <f aca="false">G1046*I1046</f>
        <v>1823.4</v>
      </c>
      <c r="L1046" s="4" t="n">
        <f aca="false">J1046-K1046</f>
        <v>1740.45</v>
      </c>
    </row>
    <row r="1047" customFormat="false" ht="15" hidden="false" customHeight="false" outlineLevel="0" collapsed="false">
      <c r="A1047" s="0" t="n">
        <v>1265</v>
      </c>
      <c r="B1047" s="2" t="n">
        <v>45736</v>
      </c>
      <c r="C1047" s="3" t="s">
        <v>26</v>
      </c>
      <c r="D1047" s="3" t="s">
        <v>20</v>
      </c>
      <c r="E1047" s="3" t="s">
        <v>42</v>
      </c>
      <c r="F1047" s="3" t="s">
        <v>15</v>
      </c>
      <c r="G1047" s="0" t="n">
        <v>12</v>
      </c>
      <c r="H1047" s="4" t="n">
        <v>65.87</v>
      </c>
      <c r="I1047" s="4" t="n">
        <v>48.63</v>
      </c>
      <c r="J1047" s="4" t="n">
        <f aca="false">G1047*H1047</f>
        <v>790.44</v>
      </c>
      <c r="K1047" s="4" t="n">
        <f aca="false">G1047*I1047</f>
        <v>583.56</v>
      </c>
      <c r="L1047" s="4" t="n">
        <f aca="false">J1047-K1047</f>
        <v>206.88</v>
      </c>
    </row>
    <row r="1048" customFormat="false" ht="15" hidden="false" customHeight="false" outlineLevel="0" collapsed="false">
      <c r="A1048" s="0" t="n">
        <v>1862</v>
      </c>
      <c r="B1048" s="2" t="n">
        <v>45736</v>
      </c>
      <c r="C1048" s="3" t="s">
        <v>32</v>
      </c>
      <c r="D1048" s="3" t="s">
        <v>13</v>
      </c>
      <c r="E1048" s="3" t="s">
        <v>14</v>
      </c>
      <c r="F1048" s="3" t="s">
        <v>25</v>
      </c>
      <c r="G1048" s="0" t="n">
        <v>32</v>
      </c>
      <c r="H1048" s="4" t="n">
        <v>13.55</v>
      </c>
      <c r="I1048" s="4" t="n">
        <v>8.44</v>
      </c>
      <c r="J1048" s="4" t="n">
        <f aca="false">G1048*H1048</f>
        <v>433.6</v>
      </c>
      <c r="K1048" s="4" t="n">
        <f aca="false">G1048*I1048</f>
        <v>270.08</v>
      </c>
      <c r="L1048" s="4" t="n">
        <f aca="false">J1048-K1048</f>
        <v>163.52</v>
      </c>
    </row>
    <row r="1049" customFormat="false" ht="15" hidden="false" customHeight="false" outlineLevel="0" collapsed="false">
      <c r="A1049" s="0" t="n">
        <v>2184</v>
      </c>
      <c r="B1049" s="2" t="n">
        <v>45736</v>
      </c>
      <c r="C1049" s="3" t="s">
        <v>32</v>
      </c>
      <c r="D1049" s="3" t="s">
        <v>17</v>
      </c>
      <c r="E1049" s="3" t="s">
        <v>18</v>
      </c>
      <c r="F1049" s="3" t="s">
        <v>36</v>
      </c>
      <c r="G1049" s="0" t="n">
        <v>39</v>
      </c>
      <c r="H1049" s="4" t="n">
        <v>495.93</v>
      </c>
      <c r="I1049" s="4" t="n">
        <v>321.16</v>
      </c>
      <c r="J1049" s="4" t="n">
        <f aca="false">G1049*H1049</f>
        <v>19341.27</v>
      </c>
      <c r="K1049" s="4" t="n">
        <f aca="false">G1049*I1049</f>
        <v>12525.24</v>
      </c>
      <c r="L1049" s="4" t="n">
        <f aca="false">J1049-K1049</f>
        <v>6816.03</v>
      </c>
    </row>
    <row r="1050" customFormat="false" ht="15" hidden="false" customHeight="false" outlineLevel="0" collapsed="false">
      <c r="A1050" s="0" t="n">
        <v>1371</v>
      </c>
      <c r="B1050" s="2" t="n">
        <v>45737</v>
      </c>
      <c r="C1050" s="3" t="s">
        <v>26</v>
      </c>
      <c r="D1050" s="3" t="s">
        <v>13</v>
      </c>
      <c r="E1050" s="3" t="s">
        <v>45</v>
      </c>
      <c r="F1050" s="3" t="s">
        <v>28</v>
      </c>
      <c r="G1050" s="0" t="n">
        <v>22</v>
      </c>
      <c r="H1050" s="4" t="n">
        <v>7.18</v>
      </c>
      <c r="I1050" s="4" t="n">
        <v>3.72</v>
      </c>
      <c r="J1050" s="4" t="n">
        <f aca="false">G1050*H1050</f>
        <v>157.96</v>
      </c>
      <c r="K1050" s="4" t="n">
        <f aca="false">G1050*I1050</f>
        <v>81.84</v>
      </c>
      <c r="L1050" s="4" t="n">
        <f aca="false">J1050-K1050</f>
        <v>76.12</v>
      </c>
    </row>
    <row r="1051" customFormat="false" ht="15" hidden="false" customHeight="false" outlineLevel="0" collapsed="false">
      <c r="A1051" s="0" t="n">
        <v>1058</v>
      </c>
      <c r="B1051" s="2" t="n">
        <v>45738</v>
      </c>
      <c r="C1051" s="3" t="s">
        <v>16</v>
      </c>
      <c r="D1051" s="3" t="s">
        <v>29</v>
      </c>
      <c r="E1051" s="3" t="s">
        <v>43</v>
      </c>
      <c r="F1051" s="3" t="s">
        <v>39</v>
      </c>
      <c r="G1051" s="0" t="n">
        <v>6</v>
      </c>
      <c r="H1051" s="4" t="n">
        <v>395.2</v>
      </c>
      <c r="I1051" s="4" t="n">
        <v>263.62</v>
      </c>
      <c r="J1051" s="4" t="n">
        <f aca="false">G1051*H1051</f>
        <v>2371.2</v>
      </c>
      <c r="K1051" s="4" t="n">
        <f aca="false">G1051*I1051</f>
        <v>1581.72</v>
      </c>
      <c r="L1051" s="4" t="n">
        <f aca="false">J1051-K1051</f>
        <v>789.48</v>
      </c>
    </row>
    <row r="1052" customFormat="false" ht="15" hidden="false" customHeight="false" outlineLevel="0" collapsed="false">
      <c r="A1052" s="0" t="n">
        <v>1374</v>
      </c>
      <c r="B1052" s="2" t="n">
        <v>45740</v>
      </c>
      <c r="C1052" s="3" t="s">
        <v>23</v>
      </c>
      <c r="D1052" s="3" t="s">
        <v>20</v>
      </c>
      <c r="E1052" s="3" t="s">
        <v>42</v>
      </c>
      <c r="F1052" s="3" t="s">
        <v>28</v>
      </c>
      <c r="G1052" s="0" t="n">
        <v>11</v>
      </c>
      <c r="H1052" s="4" t="n">
        <v>243.3</v>
      </c>
      <c r="I1052" s="4" t="n">
        <v>154.84</v>
      </c>
      <c r="J1052" s="4" t="n">
        <f aca="false">G1052*H1052</f>
        <v>2676.3</v>
      </c>
      <c r="K1052" s="4" t="n">
        <f aca="false">G1052*I1052</f>
        <v>1703.24</v>
      </c>
      <c r="L1052" s="4" t="n">
        <f aca="false">J1052-K1052</f>
        <v>973.06</v>
      </c>
    </row>
    <row r="1053" customFormat="false" ht="15" hidden="false" customHeight="false" outlineLevel="0" collapsed="false">
      <c r="A1053" s="0" t="n">
        <v>1679</v>
      </c>
      <c r="B1053" s="2" t="n">
        <v>45740</v>
      </c>
      <c r="C1053" s="3" t="s">
        <v>23</v>
      </c>
      <c r="D1053" s="3" t="s">
        <v>17</v>
      </c>
      <c r="E1053" s="3" t="s">
        <v>27</v>
      </c>
      <c r="F1053" s="3" t="s">
        <v>25</v>
      </c>
      <c r="G1053" s="0" t="n">
        <v>36</v>
      </c>
      <c r="H1053" s="4" t="n">
        <v>95.25</v>
      </c>
      <c r="I1053" s="4" t="n">
        <v>69.32</v>
      </c>
      <c r="J1053" s="4" t="n">
        <f aca="false">G1053*H1053</f>
        <v>3429</v>
      </c>
      <c r="K1053" s="4" t="n">
        <f aca="false">G1053*I1053</f>
        <v>2495.52</v>
      </c>
      <c r="L1053" s="4" t="n">
        <f aca="false">J1053-K1053</f>
        <v>933.480000000001</v>
      </c>
    </row>
    <row r="1054" customFormat="false" ht="15" hidden="false" customHeight="false" outlineLevel="0" collapsed="false">
      <c r="A1054" s="0" t="n">
        <v>1980</v>
      </c>
      <c r="B1054" s="2" t="n">
        <v>45740</v>
      </c>
      <c r="C1054" s="3" t="s">
        <v>32</v>
      </c>
      <c r="D1054" s="3" t="s">
        <v>13</v>
      </c>
      <c r="E1054" s="3" t="s">
        <v>24</v>
      </c>
      <c r="F1054" s="3" t="s">
        <v>19</v>
      </c>
      <c r="G1054" s="0" t="n">
        <v>28</v>
      </c>
      <c r="H1054" s="4" t="n">
        <v>49.09</v>
      </c>
      <c r="I1054" s="4" t="n">
        <v>32.27</v>
      </c>
      <c r="J1054" s="4" t="n">
        <f aca="false">G1054*H1054</f>
        <v>1374.52</v>
      </c>
      <c r="K1054" s="4" t="n">
        <f aca="false">G1054*I1054</f>
        <v>903.56</v>
      </c>
      <c r="L1054" s="4" t="n">
        <f aca="false">J1054-K1054</f>
        <v>470.96</v>
      </c>
    </row>
    <row r="1055" customFormat="false" ht="15" hidden="false" customHeight="false" outlineLevel="0" collapsed="false">
      <c r="A1055" s="0" t="n">
        <v>2050</v>
      </c>
      <c r="B1055" s="2" t="n">
        <v>45740</v>
      </c>
      <c r="C1055" s="3" t="s">
        <v>26</v>
      </c>
      <c r="D1055" s="3" t="s">
        <v>17</v>
      </c>
      <c r="E1055" s="3" t="s">
        <v>18</v>
      </c>
      <c r="F1055" s="3" t="s">
        <v>28</v>
      </c>
      <c r="G1055" s="0" t="n">
        <v>11</v>
      </c>
      <c r="H1055" s="4" t="n">
        <v>585.98</v>
      </c>
      <c r="I1055" s="4" t="n">
        <v>354.25</v>
      </c>
      <c r="J1055" s="4" t="n">
        <f aca="false">G1055*H1055</f>
        <v>6445.78</v>
      </c>
      <c r="K1055" s="4" t="n">
        <f aca="false">G1055*I1055</f>
        <v>3896.75</v>
      </c>
      <c r="L1055" s="4" t="n">
        <f aca="false">J1055-K1055</f>
        <v>2549.03</v>
      </c>
    </row>
    <row r="1056" customFormat="false" ht="15" hidden="false" customHeight="false" outlineLevel="0" collapsed="false">
      <c r="A1056" s="0" t="n">
        <v>2143</v>
      </c>
      <c r="B1056" s="2" t="n">
        <v>45740</v>
      </c>
      <c r="C1056" s="3" t="s">
        <v>12</v>
      </c>
      <c r="D1056" s="3" t="s">
        <v>29</v>
      </c>
      <c r="E1056" s="3" t="s">
        <v>43</v>
      </c>
      <c r="F1056" s="3" t="s">
        <v>15</v>
      </c>
      <c r="G1056" s="0" t="n">
        <v>2</v>
      </c>
      <c r="H1056" s="4" t="n">
        <v>445.7</v>
      </c>
      <c r="I1056" s="4" t="n">
        <v>305.2</v>
      </c>
      <c r="J1056" s="4" t="n">
        <f aca="false">G1056*H1056</f>
        <v>891.4</v>
      </c>
      <c r="K1056" s="4" t="n">
        <f aca="false">G1056*I1056</f>
        <v>610.4</v>
      </c>
      <c r="L1056" s="4" t="n">
        <f aca="false">J1056-K1056</f>
        <v>281</v>
      </c>
    </row>
    <row r="1057" customFormat="false" ht="15" hidden="false" customHeight="false" outlineLevel="0" collapsed="false">
      <c r="A1057" s="0" t="n">
        <v>2501</v>
      </c>
      <c r="B1057" s="2" t="n">
        <v>45740</v>
      </c>
      <c r="C1057" s="3" t="s">
        <v>12</v>
      </c>
      <c r="D1057" s="3" t="s">
        <v>20</v>
      </c>
      <c r="E1057" s="3" t="s">
        <v>34</v>
      </c>
      <c r="F1057" s="3" t="s">
        <v>39</v>
      </c>
      <c r="G1057" s="0" t="n">
        <v>8</v>
      </c>
      <c r="H1057" s="4" t="n">
        <v>109.16</v>
      </c>
      <c r="I1057" s="4" t="n">
        <v>55.38</v>
      </c>
      <c r="J1057" s="4" t="n">
        <f aca="false">G1057*H1057</f>
        <v>873.28</v>
      </c>
      <c r="K1057" s="4" t="n">
        <f aca="false">G1057*I1057</f>
        <v>443.04</v>
      </c>
      <c r="L1057" s="4" t="n">
        <f aca="false">J1057-K1057</f>
        <v>430.24</v>
      </c>
    </row>
    <row r="1058" customFormat="false" ht="15" hidden="false" customHeight="false" outlineLevel="0" collapsed="false">
      <c r="A1058" s="0" t="n">
        <v>2642</v>
      </c>
      <c r="B1058" s="2" t="n">
        <v>45740</v>
      </c>
      <c r="C1058" s="3" t="s">
        <v>26</v>
      </c>
      <c r="D1058" s="3" t="s">
        <v>29</v>
      </c>
      <c r="E1058" s="3" t="s">
        <v>30</v>
      </c>
      <c r="F1058" s="3" t="s">
        <v>22</v>
      </c>
      <c r="G1058" s="0" t="n">
        <v>28</v>
      </c>
      <c r="H1058" s="4" t="n">
        <v>243.77</v>
      </c>
      <c r="I1058" s="4" t="n">
        <v>126.38</v>
      </c>
      <c r="J1058" s="4" t="n">
        <f aca="false">G1058*H1058</f>
        <v>6825.56</v>
      </c>
      <c r="K1058" s="4" t="n">
        <f aca="false">G1058*I1058</f>
        <v>3538.64</v>
      </c>
      <c r="L1058" s="4" t="n">
        <f aca="false">J1058-K1058</f>
        <v>3286.92</v>
      </c>
    </row>
    <row r="1059" customFormat="false" ht="15" hidden="false" customHeight="false" outlineLevel="0" collapsed="false">
      <c r="A1059" s="0" t="n">
        <v>1072</v>
      </c>
      <c r="B1059" s="2" t="n">
        <v>45741</v>
      </c>
      <c r="C1059" s="3" t="s">
        <v>26</v>
      </c>
      <c r="D1059" s="3" t="s">
        <v>20</v>
      </c>
      <c r="E1059" s="3" t="s">
        <v>38</v>
      </c>
      <c r="F1059" s="3" t="s">
        <v>36</v>
      </c>
      <c r="G1059" s="0" t="n">
        <v>18</v>
      </c>
      <c r="H1059" s="4" t="n">
        <v>31.16</v>
      </c>
      <c r="I1059" s="4" t="n">
        <v>18.95</v>
      </c>
      <c r="J1059" s="4" t="n">
        <f aca="false">G1059*H1059</f>
        <v>560.88</v>
      </c>
      <c r="K1059" s="4" t="n">
        <f aca="false">G1059*I1059</f>
        <v>341.1</v>
      </c>
      <c r="L1059" s="4" t="n">
        <f aca="false">J1059-K1059</f>
        <v>219.78</v>
      </c>
    </row>
    <row r="1060" customFormat="false" ht="15" hidden="false" customHeight="false" outlineLevel="0" collapsed="false">
      <c r="A1060" s="0" t="n">
        <v>2196</v>
      </c>
      <c r="B1060" s="2" t="n">
        <v>45741</v>
      </c>
      <c r="C1060" s="3" t="s">
        <v>23</v>
      </c>
      <c r="D1060" s="3" t="s">
        <v>13</v>
      </c>
      <c r="E1060" s="3" t="s">
        <v>14</v>
      </c>
      <c r="F1060" s="3" t="s">
        <v>19</v>
      </c>
      <c r="G1060" s="0" t="n">
        <v>34</v>
      </c>
      <c r="H1060" s="4" t="n">
        <v>38.75</v>
      </c>
      <c r="I1060" s="4" t="n">
        <v>26.61</v>
      </c>
      <c r="J1060" s="4" t="n">
        <f aca="false">G1060*H1060</f>
        <v>1317.5</v>
      </c>
      <c r="K1060" s="4" t="n">
        <f aca="false">G1060*I1060</f>
        <v>904.74</v>
      </c>
      <c r="L1060" s="4" t="n">
        <f aca="false">J1060-K1060</f>
        <v>412.76</v>
      </c>
    </row>
    <row r="1061" customFormat="false" ht="15" hidden="false" customHeight="false" outlineLevel="0" collapsed="false">
      <c r="A1061" s="0" t="n">
        <v>2730</v>
      </c>
      <c r="B1061" s="2" t="n">
        <v>45741</v>
      </c>
      <c r="C1061" s="3" t="s">
        <v>16</v>
      </c>
      <c r="D1061" s="3" t="s">
        <v>17</v>
      </c>
      <c r="E1061" s="3" t="s">
        <v>27</v>
      </c>
      <c r="F1061" s="3" t="s">
        <v>33</v>
      </c>
      <c r="G1061" s="0" t="n">
        <v>21</v>
      </c>
      <c r="H1061" s="4" t="n">
        <v>605.22</v>
      </c>
      <c r="I1061" s="4" t="n">
        <v>325.61</v>
      </c>
      <c r="J1061" s="4" t="n">
        <f aca="false">G1061*H1061</f>
        <v>12709.62</v>
      </c>
      <c r="K1061" s="4" t="n">
        <f aca="false">G1061*I1061</f>
        <v>6837.81</v>
      </c>
      <c r="L1061" s="4" t="n">
        <f aca="false">J1061-K1061</f>
        <v>5871.81</v>
      </c>
    </row>
    <row r="1062" customFormat="false" ht="15" hidden="false" customHeight="false" outlineLevel="0" collapsed="false">
      <c r="A1062" s="0" t="n">
        <v>2704</v>
      </c>
      <c r="B1062" s="2" t="n">
        <v>45742</v>
      </c>
      <c r="C1062" s="3" t="s">
        <v>23</v>
      </c>
      <c r="D1062" s="3" t="s">
        <v>20</v>
      </c>
      <c r="E1062" s="3" t="s">
        <v>38</v>
      </c>
      <c r="F1062" s="3" t="s">
        <v>36</v>
      </c>
      <c r="G1062" s="0" t="n">
        <v>38</v>
      </c>
      <c r="H1062" s="4" t="n">
        <v>39.89</v>
      </c>
      <c r="I1062" s="4" t="n">
        <v>20.17</v>
      </c>
      <c r="J1062" s="4" t="n">
        <f aca="false">G1062*H1062</f>
        <v>1515.82</v>
      </c>
      <c r="K1062" s="4" t="n">
        <f aca="false">G1062*I1062</f>
        <v>766.46</v>
      </c>
      <c r="L1062" s="4" t="n">
        <f aca="false">J1062-K1062</f>
        <v>749.36</v>
      </c>
    </row>
    <row r="1063" customFormat="false" ht="15" hidden="false" customHeight="false" outlineLevel="0" collapsed="false">
      <c r="A1063" s="0" t="n">
        <v>1466</v>
      </c>
      <c r="B1063" s="2" t="n">
        <v>45743</v>
      </c>
      <c r="C1063" s="3" t="s">
        <v>26</v>
      </c>
      <c r="D1063" s="3" t="s">
        <v>13</v>
      </c>
      <c r="E1063" s="3" t="s">
        <v>24</v>
      </c>
      <c r="F1063" s="3" t="s">
        <v>33</v>
      </c>
      <c r="G1063" s="0" t="n">
        <v>10</v>
      </c>
      <c r="H1063" s="4" t="n">
        <v>51.61</v>
      </c>
      <c r="I1063" s="4" t="n">
        <v>38.05</v>
      </c>
      <c r="J1063" s="4" t="n">
        <f aca="false">G1063*H1063</f>
        <v>516.1</v>
      </c>
      <c r="K1063" s="4" t="n">
        <f aca="false">G1063*I1063</f>
        <v>380.5</v>
      </c>
      <c r="L1063" s="4" t="n">
        <f aca="false">J1063-K1063</f>
        <v>135.6</v>
      </c>
    </row>
    <row r="1064" customFormat="false" ht="15" hidden="false" customHeight="false" outlineLevel="0" collapsed="false">
      <c r="A1064" s="0" t="n">
        <v>1541</v>
      </c>
      <c r="B1064" s="2" t="n">
        <v>45743</v>
      </c>
      <c r="C1064" s="3" t="s">
        <v>26</v>
      </c>
      <c r="D1064" s="3" t="s">
        <v>20</v>
      </c>
      <c r="E1064" s="3" t="s">
        <v>34</v>
      </c>
      <c r="F1064" s="3" t="s">
        <v>36</v>
      </c>
      <c r="G1064" s="0" t="n">
        <v>12</v>
      </c>
      <c r="H1064" s="4" t="n">
        <v>140.75</v>
      </c>
      <c r="I1064" s="4" t="n">
        <v>91.98</v>
      </c>
      <c r="J1064" s="4" t="n">
        <f aca="false">G1064*H1064</f>
        <v>1689</v>
      </c>
      <c r="K1064" s="4" t="n">
        <f aca="false">G1064*I1064</f>
        <v>1103.76</v>
      </c>
      <c r="L1064" s="4" t="n">
        <f aca="false">J1064-K1064</f>
        <v>585.24</v>
      </c>
    </row>
    <row r="1065" customFormat="false" ht="15" hidden="false" customHeight="false" outlineLevel="0" collapsed="false">
      <c r="A1065" s="0" t="n">
        <v>2661</v>
      </c>
      <c r="B1065" s="2" t="n">
        <v>45743</v>
      </c>
      <c r="C1065" s="3" t="s">
        <v>26</v>
      </c>
      <c r="D1065" s="3" t="s">
        <v>13</v>
      </c>
      <c r="E1065" s="3" t="s">
        <v>24</v>
      </c>
      <c r="F1065" s="3" t="s">
        <v>22</v>
      </c>
      <c r="G1065" s="0" t="n">
        <v>3</v>
      </c>
      <c r="H1065" s="4" t="n">
        <v>49.15</v>
      </c>
      <c r="I1065" s="4" t="n">
        <v>24.63</v>
      </c>
      <c r="J1065" s="4" t="n">
        <f aca="false">G1065*H1065</f>
        <v>147.45</v>
      </c>
      <c r="K1065" s="4" t="n">
        <f aca="false">G1065*I1065</f>
        <v>73.89</v>
      </c>
      <c r="L1065" s="4" t="n">
        <f aca="false">J1065-K1065</f>
        <v>73.56</v>
      </c>
    </row>
    <row r="1066" customFormat="false" ht="15" hidden="false" customHeight="false" outlineLevel="0" collapsed="false">
      <c r="A1066" s="0" t="n">
        <v>1041</v>
      </c>
      <c r="B1066" s="2" t="n">
        <v>45744</v>
      </c>
      <c r="C1066" s="3" t="s">
        <v>12</v>
      </c>
      <c r="D1066" s="3" t="s">
        <v>20</v>
      </c>
      <c r="E1066" s="3" t="s">
        <v>34</v>
      </c>
      <c r="F1066" s="3" t="s">
        <v>25</v>
      </c>
      <c r="G1066" s="0" t="n">
        <v>19</v>
      </c>
      <c r="H1066" s="4" t="n">
        <v>249.16</v>
      </c>
      <c r="I1066" s="4" t="n">
        <v>171.37</v>
      </c>
      <c r="J1066" s="4" t="n">
        <f aca="false">G1066*H1066</f>
        <v>4734.04</v>
      </c>
      <c r="K1066" s="4" t="n">
        <f aca="false">G1066*I1066</f>
        <v>3256.03</v>
      </c>
      <c r="L1066" s="4" t="n">
        <f aca="false">J1066-K1066</f>
        <v>1478.01</v>
      </c>
    </row>
    <row r="1067" customFormat="false" ht="15" hidden="false" customHeight="false" outlineLevel="0" collapsed="false">
      <c r="A1067" s="0" t="n">
        <v>1861</v>
      </c>
      <c r="B1067" s="2" t="n">
        <v>45744</v>
      </c>
      <c r="C1067" s="3" t="s">
        <v>12</v>
      </c>
      <c r="D1067" s="3" t="s">
        <v>29</v>
      </c>
      <c r="E1067" s="3" t="s">
        <v>43</v>
      </c>
      <c r="F1067" s="3" t="s">
        <v>39</v>
      </c>
      <c r="G1067" s="0" t="n">
        <v>38</v>
      </c>
      <c r="H1067" s="4" t="n">
        <v>246.09</v>
      </c>
      <c r="I1067" s="4" t="n">
        <v>167.94</v>
      </c>
      <c r="J1067" s="4" t="n">
        <f aca="false">G1067*H1067</f>
        <v>9351.42</v>
      </c>
      <c r="K1067" s="4" t="n">
        <f aca="false">G1067*I1067</f>
        <v>6381.72</v>
      </c>
      <c r="L1067" s="4" t="n">
        <f aca="false">J1067-K1067</f>
        <v>2969.7</v>
      </c>
    </row>
    <row r="1068" customFormat="false" ht="15" hidden="false" customHeight="false" outlineLevel="0" collapsed="false">
      <c r="A1068" s="0" t="n">
        <v>2238</v>
      </c>
      <c r="B1068" s="2" t="n">
        <v>45745</v>
      </c>
      <c r="C1068" s="3" t="s">
        <v>26</v>
      </c>
      <c r="D1068" s="3" t="s">
        <v>13</v>
      </c>
      <c r="E1068" s="3" t="s">
        <v>14</v>
      </c>
      <c r="F1068" s="3" t="s">
        <v>19</v>
      </c>
      <c r="G1068" s="0" t="n">
        <v>18</v>
      </c>
      <c r="H1068" s="4" t="n">
        <v>41.8</v>
      </c>
      <c r="I1068" s="4" t="n">
        <v>26.91</v>
      </c>
      <c r="J1068" s="4" t="n">
        <f aca="false">G1068*H1068</f>
        <v>752.4</v>
      </c>
      <c r="K1068" s="4" t="n">
        <f aca="false">G1068*I1068</f>
        <v>484.38</v>
      </c>
      <c r="L1068" s="4" t="n">
        <f aca="false">J1068-K1068</f>
        <v>268.02</v>
      </c>
    </row>
    <row r="1069" customFormat="false" ht="15" hidden="false" customHeight="false" outlineLevel="0" collapsed="false">
      <c r="A1069" s="0" t="n">
        <v>1107</v>
      </c>
      <c r="B1069" s="2" t="n">
        <v>45746</v>
      </c>
      <c r="C1069" s="3" t="s">
        <v>26</v>
      </c>
      <c r="D1069" s="3" t="s">
        <v>17</v>
      </c>
      <c r="E1069" s="3" t="s">
        <v>40</v>
      </c>
      <c r="F1069" s="3" t="s">
        <v>19</v>
      </c>
      <c r="G1069" s="0" t="n">
        <v>5</v>
      </c>
      <c r="H1069" s="4" t="n">
        <v>166</v>
      </c>
      <c r="I1069" s="4" t="n">
        <v>98.81</v>
      </c>
      <c r="J1069" s="4" t="n">
        <f aca="false">G1069*H1069</f>
        <v>830</v>
      </c>
      <c r="K1069" s="4" t="n">
        <f aca="false">G1069*I1069</f>
        <v>494.05</v>
      </c>
      <c r="L1069" s="4" t="n">
        <f aca="false">J1069-K1069</f>
        <v>335.95</v>
      </c>
    </row>
    <row r="1070" customFormat="false" ht="15" hidden="false" customHeight="false" outlineLevel="0" collapsed="false">
      <c r="A1070" s="0" t="n">
        <v>1504</v>
      </c>
      <c r="B1070" s="2" t="n">
        <v>45746</v>
      </c>
      <c r="C1070" s="3" t="s">
        <v>16</v>
      </c>
      <c r="D1070" s="3" t="s">
        <v>17</v>
      </c>
      <c r="E1070" s="3" t="s">
        <v>18</v>
      </c>
      <c r="F1070" s="3" t="s">
        <v>19</v>
      </c>
      <c r="G1070" s="0" t="n">
        <v>13</v>
      </c>
      <c r="H1070" s="4" t="n">
        <v>345.7</v>
      </c>
      <c r="I1070" s="4" t="n">
        <v>201.14</v>
      </c>
      <c r="J1070" s="4" t="n">
        <f aca="false">G1070*H1070</f>
        <v>4494.1</v>
      </c>
      <c r="K1070" s="4" t="n">
        <f aca="false">G1070*I1070</f>
        <v>2614.82</v>
      </c>
      <c r="L1070" s="4" t="n">
        <f aca="false">J1070-K1070</f>
        <v>1879.28</v>
      </c>
    </row>
    <row r="1071" customFormat="false" ht="15" hidden="false" customHeight="false" outlineLevel="0" collapsed="false">
      <c r="A1071" s="0" t="n">
        <v>1774</v>
      </c>
      <c r="B1071" s="2" t="n">
        <v>45746</v>
      </c>
      <c r="C1071" s="3" t="s">
        <v>32</v>
      </c>
      <c r="D1071" s="3" t="s">
        <v>13</v>
      </c>
      <c r="E1071" s="3" t="s">
        <v>31</v>
      </c>
      <c r="F1071" s="3" t="s">
        <v>33</v>
      </c>
      <c r="G1071" s="0" t="n">
        <v>3</v>
      </c>
      <c r="H1071" s="4" t="n">
        <v>58.72</v>
      </c>
      <c r="I1071" s="4" t="n">
        <v>29.71</v>
      </c>
      <c r="J1071" s="4" t="n">
        <f aca="false">G1071*H1071</f>
        <v>176.16</v>
      </c>
      <c r="K1071" s="4" t="n">
        <f aca="false">G1071*I1071</f>
        <v>89.13</v>
      </c>
      <c r="L1071" s="4" t="n">
        <f aca="false">J1071-K1071</f>
        <v>87.03</v>
      </c>
    </row>
    <row r="1072" customFormat="false" ht="15" hidden="false" customHeight="false" outlineLevel="0" collapsed="false">
      <c r="A1072" s="0" t="n">
        <v>2313</v>
      </c>
      <c r="B1072" s="2" t="n">
        <v>45747</v>
      </c>
      <c r="C1072" s="3" t="s">
        <v>26</v>
      </c>
      <c r="D1072" s="3" t="s">
        <v>13</v>
      </c>
      <c r="E1072" s="3" t="s">
        <v>14</v>
      </c>
      <c r="F1072" s="3" t="s">
        <v>15</v>
      </c>
      <c r="G1072" s="0" t="n">
        <v>37</v>
      </c>
      <c r="H1072" s="4" t="n">
        <v>55.72</v>
      </c>
      <c r="I1072" s="4" t="n">
        <v>36.02</v>
      </c>
      <c r="J1072" s="4" t="n">
        <f aca="false">G1072*H1072</f>
        <v>2061.64</v>
      </c>
      <c r="K1072" s="4" t="n">
        <f aca="false">G1072*I1072</f>
        <v>1332.74</v>
      </c>
      <c r="L1072" s="4" t="n">
        <f aca="false">J1072-K1072</f>
        <v>728.9</v>
      </c>
    </row>
    <row r="1073" customFormat="false" ht="15" hidden="false" customHeight="false" outlineLevel="0" collapsed="false">
      <c r="A1073" s="0" t="n">
        <v>2436</v>
      </c>
      <c r="B1073" s="2" t="n">
        <v>45747</v>
      </c>
      <c r="C1073" s="3" t="s">
        <v>32</v>
      </c>
      <c r="D1073" s="3" t="s">
        <v>29</v>
      </c>
      <c r="E1073" s="3" t="s">
        <v>43</v>
      </c>
      <c r="F1073" s="3" t="s">
        <v>39</v>
      </c>
      <c r="G1073" s="0" t="n">
        <v>2</v>
      </c>
      <c r="H1073" s="4" t="n">
        <v>404.47</v>
      </c>
      <c r="I1073" s="4" t="n">
        <v>211.44</v>
      </c>
      <c r="J1073" s="4" t="n">
        <f aca="false">G1073*H1073</f>
        <v>808.94</v>
      </c>
      <c r="K1073" s="4" t="n">
        <f aca="false">G1073*I1073</f>
        <v>422.88</v>
      </c>
      <c r="L1073" s="4" t="n">
        <f aca="false">J1073-K1073</f>
        <v>386.06</v>
      </c>
    </row>
    <row r="1074" customFormat="false" ht="15" hidden="false" customHeight="false" outlineLevel="0" collapsed="false">
      <c r="A1074" s="0" t="n">
        <v>1799</v>
      </c>
      <c r="B1074" s="2" t="n">
        <v>45748</v>
      </c>
      <c r="C1074" s="3" t="s">
        <v>26</v>
      </c>
      <c r="D1074" s="3" t="s">
        <v>20</v>
      </c>
      <c r="E1074" s="3" t="s">
        <v>34</v>
      </c>
      <c r="F1074" s="3" t="s">
        <v>39</v>
      </c>
      <c r="G1074" s="0" t="n">
        <v>14</v>
      </c>
      <c r="H1074" s="4" t="n">
        <v>49.53</v>
      </c>
      <c r="I1074" s="4" t="n">
        <v>37.07</v>
      </c>
      <c r="J1074" s="4" t="n">
        <f aca="false">G1074*H1074</f>
        <v>693.42</v>
      </c>
      <c r="K1074" s="4" t="n">
        <f aca="false">G1074*I1074</f>
        <v>518.98</v>
      </c>
      <c r="L1074" s="4" t="n">
        <f aca="false">J1074-K1074</f>
        <v>174.44</v>
      </c>
    </row>
    <row r="1075" customFormat="false" ht="15" hidden="false" customHeight="false" outlineLevel="0" collapsed="false">
      <c r="A1075" s="0" t="n">
        <v>2094</v>
      </c>
      <c r="B1075" s="2" t="n">
        <v>45749</v>
      </c>
      <c r="C1075" s="3" t="s">
        <v>32</v>
      </c>
      <c r="D1075" s="3" t="s">
        <v>29</v>
      </c>
      <c r="E1075" s="3" t="s">
        <v>30</v>
      </c>
      <c r="F1075" s="3" t="s">
        <v>25</v>
      </c>
      <c r="G1075" s="0" t="n">
        <v>23</v>
      </c>
      <c r="H1075" s="4" t="n">
        <v>246.41</v>
      </c>
      <c r="I1075" s="4" t="n">
        <v>156.16</v>
      </c>
      <c r="J1075" s="4" t="n">
        <f aca="false">G1075*H1075</f>
        <v>5667.43</v>
      </c>
      <c r="K1075" s="4" t="n">
        <f aca="false">G1075*I1075</f>
        <v>3591.68</v>
      </c>
      <c r="L1075" s="4" t="n">
        <f aca="false">J1075-K1075</f>
        <v>2075.75</v>
      </c>
    </row>
    <row r="1076" customFormat="false" ht="15" hidden="false" customHeight="false" outlineLevel="0" collapsed="false">
      <c r="A1076" s="0" t="n">
        <v>2644</v>
      </c>
      <c r="B1076" s="2" t="n">
        <v>45749</v>
      </c>
      <c r="C1076" s="3" t="s">
        <v>16</v>
      </c>
      <c r="D1076" s="3" t="s">
        <v>29</v>
      </c>
      <c r="E1076" s="3" t="s">
        <v>30</v>
      </c>
      <c r="F1076" s="3" t="s">
        <v>36</v>
      </c>
      <c r="G1076" s="0" t="n">
        <v>40</v>
      </c>
      <c r="H1076" s="4" t="n">
        <v>192.92</v>
      </c>
      <c r="I1076" s="4" t="n">
        <v>98.48</v>
      </c>
      <c r="J1076" s="4" t="n">
        <f aca="false">G1076*H1076</f>
        <v>7716.8</v>
      </c>
      <c r="K1076" s="4" t="n">
        <f aca="false">G1076*I1076</f>
        <v>3939.2</v>
      </c>
      <c r="L1076" s="4" t="n">
        <f aca="false">J1076-K1076</f>
        <v>3777.6</v>
      </c>
    </row>
    <row r="1077" customFormat="false" ht="15" hidden="false" customHeight="false" outlineLevel="0" collapsed="false">
      <c r="A1077" s="0" t="n">
        <v>1349</v>
      </c>
      <c r="B1077" s="2" t="n">
        <v>45750</v>
      </c>
      <c r="C1077" s="3" t="s">
        <v>26</v>
      </c>
      <c r="D1077" s="3" t="s">
        <v>20</v>
      </c>
      <c r="E1077" s="3" t="s">
        <v>21</v>
      </c>
      <c r="F1077" s="3" t="s">
        <v>33</v>
      </c>
      <c r="G1077" s="0" t="n">
        <v>8</v>
      </c>
      <c r="H1077" s="4" t="n">
        <v>132.96</v>
      </c>
      <c r="I1077" s="4" t="n">
        <v>67.67</v>
      </c>
      <c r="J1077" s="4" t="n">
        <f aca="false">G1077*H1077</f>
        <v>1063.68</v>
      </c>
      <c r="K1077" s="4" t="n">
        <f aca="false">G1077*I1077</f>
        <v>541.36</v>
      </c>
      <c r="L1077" s="4" t="n">
        <f aca="false">J1077-K1077</f>
        <v>522.32</v>
      </c>
    </row>
    <row r="1078" customFormat="false" ht="15" hidden="false" customHeight="false" outlineLevel="0" collapsed="false">
      <c r="A1078" s="0" t="n">
        <v>2245</v>
      </c>
      <c r="B1078" s="2" t="n">
        <v>45750</v>
      </c>
      <c r="C1078" s="3" t="s">
        <v>26</v>
      </c>
      <c r="D1078" s="3" t="s">
        <v>20</v>
      </c>
      <c r="E1078" s="3" t="s">
        <v>38</v>
      </c>
      <c r="F1078" s="3" t="s">
        <v>33</v>
      </c>
      <c r="G1078" s="0" t="n">
        <v>6</v>
      </c>
      <c r="H1078" s="4" t="n">
        <v>104.03</v>
      </c>
      <c r="I1078" s="4" t="n">
        <v>62.25</v>
      </c>
      <c r="J1078" s="4" t="n">
        <f aca="false">G1078*H1078</f>
        <v>624.18</v>
      </c>
      <c r="K1078" s="4" t="n">
        <f aca="false">G1078*I1078</f>
        <v>373.5</v>
      </c>
      <c r="L1078" s="4" t="n">
        <f aca="false">J1078-K1078</f>
        <v>250.68</v>
      </c>
    </row>
    <row r="1079" customFormat="false" ht="15" hidden="false" customHeight="false" outlineLevel="0" collapsed="false">
      <c r="A1079" s="0" t="n">
        <v>1003</v>
      </c>
      <c r="B1079" s="2" t="n">
        <v>45751</v>
      </c>
      <c r="C1079" s="3" t="s">
        <v>16</v>
      </c>
      <c r="D1079" s="3" t="s">
        <v>29</v>
      </c>
      <c r="E1079" s="3" t="s">
        <v>30</v>
      </c>
      <c r="F1079" s="3" t="s">
        <v>19</v>
      </c>
      <c r="G1079" s="0" t="n">
        <v>28</v>
      </c>
      <c r="H1079" s="4" t="n">
        <v>482.03</v>
      </c>
      <c r="I1079" s="4" t="n">
        <v>252.19</v>
      </c>
      <c r="J1079" s="4" t="n">
        <f aca="false">G1079*H1079</f>
        <v>13496.84</v>
      </c>
      <c r="K1079" s="4" t="n">
        <f aca="false">G1079*I1079</f>
        <v>7061.32</v>
      </c>
      <c r="L1079" s="4" t="n">
        <f aca="false">J1079-K1079</f>
        <v>6435.52</v>
      </c>
    </row>
    <row r="1080" customFormat="false" ht="15" hidden="false" customHeight="false" outlineLevel="0" collapsed="false">
      <c r="A1080" s="0" t="n">
        <v>2380</v>
      </c>
      <c r="B1080" s="2" t="n">
        <v>45751</v>
      </c>
      <c r="C1080" s="3" t="s">
        <v>12</v>
      </c>
      <c r="D1080" s="3" t="s">
        <v>13</v>
      </c>
      <c r="E1080" s="3" t="s">
        <v>45</v>
      </c>
      <c r="F1080" s="3" t="s">
        <v>15</v>
      </c>
      <c r="G1080" s="0" t="n">
        <v>22</v>
      </c>
      <c r="H1080" s="4" t="n">
        <v>36.02</v>
      </c>
      <c r="I1080" s="4" t="n">
        <v>19.11</v>
      </c>
      <c r="J1080" s="4" t="n">
        <f aca="false">G1080*H1080</f>
        <v>792.44</v>
      </c>
      <c r="K1080" s="4" t="n">
        <f aca="false">G1080*I1080</f>
        <v>420.42</v>
      </c>
      <c r="L1080" s="4" t="n">
        <f aca="false">J1080-K1080</f>
        <v>372.02</v>
      </c>
    </row>
    <row r="1081" customFormat="false" ht="15" hidden="false" customHeight="false" outlineLevel="0" collapsed="false">
      <c r="A1081" s="0" t="n">
        <v>1955</v>
      </c>
      <c r="B1081" s="2" t="n">
        <v>45752</v>
      </c>
      <c r="C1081" s="3" t="s">
        <v>16</v>
      </c>
      <c r="D1081" s="3" t="s">
        <v>13</v>
      </c>
      <c r="E1081" s="3" t="s">
        <v>31</v>
      </c>
      <c r="F1081" s="3" t="s">
        <v>33</v>
      </c>
      <c r="G1081" s="0" t="n">
        <v>22</v>
      </c>
      <c r="H1081" s="4" t="n">
        <v>26.79</v>
      </c>
      <c r="I1081" s="4" t="n">
        <v>13.67</v>
      </c>
      <c r="J1081" s="4" t="n">
        <f aca="false">G1081*H1081</f>
        <v>589.38</v>
      </c>
      <c r="K1081" s="4" t="n">
        <f aca="false">G1081*I1081</f>
        <v>300.74</v>
      </c>
      <c r="L1081" s="4" t="n">
        <f aca="false">J1081-K1081</f>
        <v>288.64</v>
      </c>
    </row>
    <row r="1082" customFormat="false" ht="15" hidden="false" customHeight="false" outlineLevel="0" collapsed="false">
      <c r="A1082" s="0" t="n">
        <v>2569</v>
      </c>
      <c r="B1082" s="2" t="n">
        <v>45752</v>
      </c>
      <c r="C1082" s="3" t="s">
        <v>23</v>
      </c>
      <c r="D1082" s="3" t="s">
        <v>29</v>
      </c>
      <c r="E1082" s="3" t="s">
        <v>30</v>
      </c>
      <c r="F1082" s="3" t="s">
        <v>28</v>
      </c>
      <c r="G1082" s="0" t="n">
        <v>11</v>
      </c>
      <c r="H1082" s="4" t="n">
        <v>85.51</v>
      </c>
      <c r="I1082" s="4" t="n">
        <v>58.29</v>
      </c>
      <c r="J1082" s="4" t="n">
        <f aca="false">G1082*H1082</f>
        <v>940.61</v>
      </c>
      <c r="K1082" s="4" t="n">
        <f aca="false">G1082*I1082</f>
        <v>641.19</v>
      </c>
      <c r="L1082" s="4" t="n">
        <f aca="false">J1082-K1082</f>
        <v>299.42</v>
      </c>
    </row>
    <row r="1083" customFormat="false" ht="15" hidden="false" customHeight="false" outlineLevel="0" collapsed="false">
      <c r="A1083" s="0" t="n">
        <v>1941</v>
      </c>
      <c r="B1083" s="2" t="n">
        <v>45755</v>
      </c>
      <c r="C1083" s="3" t="s">
        <v>16</v>
      </c>
      <c r="D1083" s="3" t="s">
        <v>13</v>
      </c>
      <c r="E1083" s="3" t="s">
        <v>14</v>
      </c>
      <c r="F1083" s="3" t="s">
        <v>39</v>
      </c>
      <c r="G1083" s="0" t="n">
        <v>5</v>
      </c>
      <c r="H1083" s="4" t="n">
        <v>12.36</v>
      </c>
      <c r="I1083" s="4" t="n">
        <v>8.18</v>
      </c>
      <c r="J1083" s="4" t="n">
        <f aca="false">G1083*H1083</f>
        <v>61.8</v>
      </c>
      <c r="K1083" s="4" t="n">
        <f aca="false">G1083*I1083</f>
        <v>40.9</v>
      </c>
      <c r="L1083" s="4" t="n">
        <f aca="false">J1083-K1083</f>
        <v>20.9</v>
      </c>
    </row>
    <row r="1084" customFormat="false" ht="15" hidden="false" customHeight="false" outlineLevel="0" collapsed="false">
      <c r="A1084" s="0" t="n">
        <v>2308</v>
      </c>
      <c r="B1084" s="2" t="n">
        <v>45755</v>
      </c>
      <c r="C1084" s="3" t="s">
        <v>26</v>
      </c>
      <c r="D1084" s="3" t="s">
        <v>20</v>
      </c>
      <c r="E1084" s="3" t="s">
        <v>38</v>
      </c>
      <c r="F1084" s="3" t="s">
        <v>36</v>
      </c>
      <c r="G1084" s="0" t="n">
        <v>1</v>
      </c>
      <c r="H1084" s="4" t="n">
        <v>78.37</v>
      </c>
      <c r="I1084" s="4" t="n">
        <v>47.58</v>
      </c>
      <c r="J1084" s="4" t="n">
        <f aca="false">G1084*H1084</f>
        <v>78.37</v>
      </c>
      <c r="K1084" s="4" t="n">
        <f aca="false">G1084*I1084</f>
        <v>47.58</v>
      </c>
      <c r="L1084" s="4" t="n">
        <f aca="false">J1084-K1084</f>
        <v>30.79</v>
      </c>
    </row>
    <row r="1085" customFormat="false" ht="15" hidden="false" customHeight="false" outlineLevel="0" collapsed="false">
      <c r="A1085" s="0" t="n">
        <v>2400</v>
      </c>
      <c r="B1085" s="2" t="n">
        <v>45755</v>
      </c>
      <c r="C1085" s="3" t="s">
        <v>12</v>
      </c>
      <c r="D1085" s="3" t="s">
        <v>17</v>
      </c>
      <c r="E1085" s="3" t="s">
        <v>35</v>
      </c>
      <c r="F1085" s="3" t="s">
        <v>33</v>
      </c>
      <c r="G1085" s="0" t="n">
        <v>2</v>
      </c>
      <c r="H1085" s="4" t="n">
        <v>889.64</v>
      </c>
      <c r="I1085" s="4" t="n">
        <v>631.09</v>
      </c>
      <c r="J1085" s="4" t="n">
        <f aca="false">G1085*H1085</f>
        <v>1779.28</v>
      </c>
      <c r="K1085" s="4" t="n">
        <f aca="false">G1085*I1085</f>
        <v>1262.18</v>
      </c>
      <c r="L1085" s="4" t="n">
        <f aca="false">J1085-K1085</f>
        <v>517.1</v>
      </c>
    </row>
    <row r="1086" customFormat="false" ht="15" hidden="false" customHeight="false" outlineLevel="0" collapsed="false">
      <c r="A1086" s="0" t="n">
        <v>2571</v>
      </c>
      <c r="B1086" s="2" t="n">
        <v>45755</v>
      </c>
      <c r="C1086" s="3" t="s">
        <v>26</v>
      </c>
      <c r="D1086" s="3" t="s">
        <v>13</v>
      </c>
      <c r="E1086" s="3" t="s">
        <v>45</v>
      </c>
      <c r="F1086" s="3" t="s">
        <v>28</v>
      </c>
      <c r="G1086" s="0" t="n">
        <v>15</v>
      </c>
      <c r="H1086" s="4" t="n">
        <v>58.22</v>
      </c>
      <c r="I1086" s="4" t="n">
        <v>43.23</v>
      </c>
      <c r="J1086" s="4" t="n">
        <f aca="false">G1086*H1086</f>
        <v>873.3</v>
      </c>
      <c r="K1086" s="4" t="n">
        <f aca="false">G1086*I1086</f>
        <v>648.45</v>
      </c>
      <c r="L1086" s="4" t="n">
        <f aca="false">J1086-K1086</f>
        <v>224.85</v>
      </c>
    </row>
    <row r="1087" customFormat="false" ht="15" hidden="false" customHeight="false" outlineLevel="0" collapsed="false">
      <c r="A1087" s="0" t="n">
        <v>2658</v>
      </c>
      <c r="B1087" s="2" t="n">
        <v>45755</v>
      </c>
      <c r="C1087" s="3" t="s">
        <v>12</v>
      </c>
      <c r="D1087" s="3" t="s">
        <v>17</v>
      </c>
      <c r="E1087" s="3" t="s">
        <v>44</v>
      </c>
      <c r="F1087" s="3" t="s">
        <v>36</v>
      </c>
      <c r="G1087" s="0" t="n">
        <v>5</v>
      </c>
      <c r="H1087" s="4" t="n">
        <v>387.17</v>
      </c>
      <c r="I1087" s="4" t="n">
        <v>229.7</v>
      </c>
      <c r="J1087" s="4" t="n">
        <f aca="false">G1087*H1087</f>
        <v>1935.85</v>
      </c>
      <c r="K1087" s="4" t="n">
        <f aca="false">G1087*I1087</f>
        <v>1148.5</v>
      </c>
      <c r="L1087" s="4" t="n">
        <f aca="false">J1087-K1087</f>
        <v>787.35</v>
      </c>
    </row>
    <row r="1088" customFormat="false" ht="15" hidden="false" customHeight="false" outlineLevel="0" collapsed="false">
      <c r="A1088" s="0" t="n">
        <v>1006</v>
      </c>
      <c r="B1088" s="2" t="n">
        <v>45756</v>
      </c>
      <c r="C1088" s="3" t="s">
        <v>32</v>
      </c>
      <c r="D1088" s="3" t="s">
        <v>13</v>
      </c>
      <c r="E1088" s="3" t="s">
        <v>31</v>
      </c>
      <c r="F1088" s="3" t="s">
        <v>33</v>
      </c>
      <c r="G1088" s="0" t="n">
        <v>14</v>
      </c>
      <c r="H1088" s="4" t="n">
        <v>43</v>
      </c>
      <c r="I1088" s="4" t="n">
        <v>28.33</v>
      </c>
      <c r="J1088" s="4" t="n">
        <f aca="false">G1088*H1088</f>
        <v>602</v>
      </c>
      <c r="K1088" s="4" t="n">
        <f aca="false">G1088*I1088</f>
        <v>396.62</v>
      </c>
      <c r="L1088" s="4" t="n">
        <f aca="false">J1088-K1088</f>
        <v>205.38</v>
      </c>
    </row>
    <row r="1089" customFormat="false" ht="15" hidden="false" customHeight="false" outlineLevel="0" collapsed="false">
      <c r="A1089" s="0" t="n">
        <v>1958</v>
      </c>
      <c r="B1089" s="2" t="n">
        <v>45756</v>
      </c>
      <c r="C1089" s="3" t="s">
        <v>26</v>
      </c>
      <c r="D1089" s="3" t="s">
        <v>13</v>
      </c>
      <c r="E1089" s="3" t="s">
        <v>31</v>
      </c>
      <c r="F1089" s="3" t="s">
        <v>25</v>
      </c>
      <c r="G1089" s="0" t="n">
        <v>4</v>
      </c>
      <c r="H1089" s="4" t="n">
        <v>3.29</v>
      </c>
      <c r="I1089" s="4" t="n">
        <v>1.69</v>
      </c>
      <c r="J1089" s="4" t="n">
        <f aca="false">G1089*H1089</f>
        <v>13.16</v>
      </c>
      <c r="K1089" s="4" t="n">
        <f aca="false">G1089*I1089</f>
        <v>6.76</v>
      </c>
      <c r="L1089" s="4" t="n">
        <f aca="false">J1089-K1089</f>
        <v>6.4</v>
      </c>
    </row>
    <row r="1090" customFormat="false" ht="15" hidden="false" customHeight="false" outlineLevel="0" collapsed="false">
      <c r="A1090" s="0" t="n">
        <v>1997</v>
      </c>
      <c r="B1090" s="2" t="n">
        <v>45756</v>
      </c>
      <c r="C1090" s="3" t="s">
        <v>26</v>
      </c>
      <c r="D1090" s="3" t="s">
        <v>17</v>
      </c>
      <c r="E1090" s="3" t="s">
        <v>18</v>
      </c>
      <c r="F1090" s="3" t="s">
        <v>22</v>
      </c>
      <c r="G1090" s="0" t="n">
        <v>18</v>
      </c>
      <c r="H1090" s="4" t="n">
        <v>293.49</v>
      </c>
      <c r="I1090" s="4" t="n">
        <v>167.22</v>
      </c>
      <c r="J1090" s="4" t="n">
        <f aca="false">G1090*H1090</f>
        <v>5282.82</v>
      </c>
      <c r="K1090" s="4" t="n">
        <f aca="false">G1090*I1090</f>
        <v>3009.96</v>
      </c>
      <c r="L1090" s="4" t="n">
        <f aca="false">J1090-K1090</f>
        <v>2272.86</v>
      </c>
    </row>
    <row r="1091" customFormat="false" ht="15" hidden="false" customHeight="false" outlineLevel="0" collapsed="false">
      <c r="A1091" s="0" t="n">
        <v>1486</v>
      </c>
      <c r="B1091" s="2" t="n">
        <v>45757</v>
      </c>
      <c r="C1091" s="3" t="s">
        <v>26</v>
      </c>
      <c r="D1091" s="3" t="s">
        <v>29</v>
      </c>
      <c r="E1091" s="3" t="s">
        <v>43</v>
      </c>
      <c r="F1091" s="3" t="s">
        <v>19</v>
      </c>
      <c r="G1091" s="0" t="n">
        <v>8</v>
      </c>
      <c r="H1091" s="4" t="n">
        <v>346.31</v>
      </c>
      <c r="I1091" s="4" t="n">
        <v>234.39</v>
      </c>
      <c r="J1091" s="4" t="n">
        <f aca="false">G1091*H1091</f>
        <v>2770.48</v>
      </c>
      <c r="K1091" s="4" t="n">
        <f aca="false">G1091*I1091</f>
        <v>1875.12</v>
      </c>
      <c r="L1091" s="4" t="n">
        <f aca="false">J1091-K1091</f>
        <v>895.36</v>
      </c>
    </row>
    <row r="1092" customFormat="false" ht="15" hidden="false" customHeight="false" outlineLevel="0" collapsed="false">
      <c r="A1092" s="0" t="n">
        <v>1610</v>
      </c>
      <c r="B1092" s="2" t="n">
        <v>45757</v>
      </c>
      <c r="C1092" s="3" t="s">
        <v>26</v>
      </c>
      <c r="D1092" s="3" t="s">
        <v>17</v>
      </c>
      <c r="E1092" s="3" t="s">
        <v>40</v>
      </c>
      <c r="F1092" s="3" t="s">
        <v>28</v>
      </c>
      <c r="G1092" s="0" t="n">
        <v>32</v>
      </c>
      <c r="H1092" s="4" t="n">
        <v>253.89</v>
      </c>
      <c r="I1092" s="4" t="n">
        <v>179.65</v>
      </c>
      <c r="J1092" s="4" t="n">
        <f aca="false">G1092*H1092</f>
        <v>8124.48</v>
      </c>
      <c r="K1092" s="4" t="n">
        <f aca="false">G1092*I1092</f>
        <v>5748.8</v>
      </c>
      <c r="L1092" s="4" t="n">
        <f aca="false">J1092-K1092</f>
        <v>2375.68</v>
      </c>
    </row>
    <row r="1093" customFormat="false" ht="15" hidden="false" customHeight="false" outlineLevel="0" collapsed="false">
      <c r="A1093" s="0" t="n">
        <v>1864</v>
      </c>
      <c r="B1093" s="2" t="n">
        <v>45757</v>
      </c>
      <c r="C1093" s="3" t="s">
        <v>23</v>
      </c>
      <c r="D1093" s="3" t="s">
        <v>17</v>
      </c>
      <c r="E1093" s="3" t="s">
        <v>35</v>
      </c>
      <c r="F1093" s="3" t="s">
        <v>19</v>
      </c>
      <c r="G1093" s="0" t="n">
        <v>1</v>
      </c>
      <c r="H1093" s="4" t="n">
        <v>566.77</v>
      </c>
      <c r="I1093" s="4" t="n">
        <v>391.56</v>
      </c>
      <c r="J1093" s="4" t="n">
        <f aca="false">G1093*H1093</f>
        <v>566.77</v>
      </c>
      <c r="K1093" s="4" t="n">
        <f aca="false">G1093*I1093</f>
        <v>391.56</v>
      </c>
      <c r="L1093" s="4" t="n">
        <f aca="false">J1093-K1093</f>
        <v>175.21</v>
      </c>
    </row>
    <row r="1094" customFormat="false" ht="15" hidden="false" customHeight="false" outlineLevel="0" collapsed="false">
      <c r="A1094" s="0" t="n">
        <v>2648</v>
      </c>
      <c r="B1094" s="2" t="n">
        <v>45757</v>
      </c>
      <c r="C1094" s="3" t="s">
        <v>23</v>
      </c>
      <c r="D1094" s="3" t="s">
        <v>17</v>
      </c>
      <c r="E1094" s="3" t="s">
        <v>35</v>
      </c>
      <c r="F1094" s="3" t="s">
        <v>39</v>
      </c>
      <c r="G1094" s="0" t="n">
        <v>9</v>
      </c>
      <c r="H1094" s="4" t="n">
        <v>78.71</v>
      </c>
      <c r="I1094" s="4" t="n">
        <v>58.8</v>
      </c>
      <c r="J1094" s="4" t="n">
        <f aca="false">G1094*H1094</f>
        <v>708.39</v>
      </c>
      <c r="K1094" s="4" t="n">
        <f aca="false">G1094*I1094</f>
        <v>529.2</v>
      </c>
      <c r="L1094" s="4" t="n">
        <f aca="false">J1094-K1094</f>
        <v>179.19</v>
      </c>
    </row>
    <row r="1095" customFormat="false" ht="15" hidden="false" customHeight="false" outlineLevel="0" collapsed="false">
      <c r="A1095" s="0" t="n">
        <v>2649</v>
      </c>
      <c r="B1095" s="2" t="n">
        <v>45757</v>
      </c>
      <c r="C1095" s="3" t="s">
        <v>16</v>
      </c>
      <c r="D1095" s="3" t="s">
        <v>13</v>
      </c>
      <c r="E1095" s="3" t="s">
        <v>14</v>
      </c>
      <c r="F1095" s="3" t="s">
        <v>22</v>
      </c>
      <c r="G1095" s="0" t="n">
        <v>20</v>
      </c>
      <c r="H1095" s="4" t="n">
        <v>34.54</v>
      </c>
      <c r="I1095" s="4" t="n">
        <v>25.02</v>
      </c>
      <c r="J1095" s="4" t="n">
        <f aca="false">G1095*H1095</f>
        <v>690.8</v>
      </c>
      <c r="K1095" s="4" t="n">
        <f aca="false">G1095*I1095</f>
        <v>500.4</v>
      </c>
      <c r="L1095" s="4" t="n">
        <f aca="false">J1095-K1095</f>
        <v>190.4</v>
      </c>
    </row>
    <row r="1096" customFormat="false" ht="15" hidden="false" customHeight="false" outlineLevel="0" collapsed="false">
      <c r="A1096" s="0" t="n">
        <v>1333</v>
      </c>
      <c r="B1096" s="2" t="n">
        <v>45758</v>
      </c>
      <c r="C1096" s="3" t="s">
        <v>16</v>
      </c>
      <c r="D1096" s="3" t="s">
        <v>29</v>
      </c>
      <c r="E1096" s="3" t="s">
        <v>41</v>
      </c>
      <c r="F1096" s="3" t="s">
        <v>19</v>
      </c>
      <c r="G1096" s="0" t="n">
        <v>22</v>
      </c>
      <c r="H1096" s="4" t="n">
        <v>395.05</v>
      </c>
      <c r="I1096" s="4" t="n">
        <v>287.09</v>
      </c>
      <c r="J1096" s="4" t="n">
        <f aca="false">G1096*H1096</f>
        <v>8691.1</v>
      </c>
      <c r="K1096" s="4" t="n">
        <f aca="false">G1096*I1096</f>
        <v>6315.98</v>
      </c>
      <c r="L1096" s="4" t="n">
        <f aca="false">J1096-K1096</f>
        <v>2375.12</v>
      </c>
    </row>
    <row r="1097" customFormat="false" ht="15" hidden="false" customHeight="false" outlineLevel="0" collapsed="false">
      <c r="A1097" s="0" t="n">
        <v>1085</v>
      </c>
      <c r="B1097" s="2" t="n">
        <v>45759</v>
      </c>
      <c r="C1097" s="3" t="s">
        <v>26</v>
      </c>
      <c r="D1097" s="3" t="s">
        <v>13</v>
      </c>
      <c r="E1097" s="3" t="s">
        <v>14</v>
      </c>
      <c r="F1097" s="3" t="s">
        <v>19</v>
      </c>
      <c r="G1097" s="0" t="n">
        <v>5</v>
      </c>
      <c r="H1097" s="4" t="n">
        <v>58.24</v>
      </c>
      <c r="I1097" s="4" t="n">
        <v>38.58</v>
      </c>
      <c r="J1097" s="4" t="n">
        <f aca="false">G1097*H1097</f>
        <v>291.2</v>
      </c>
      <c r="K1097" s="4" t="n">
        <f aca="false">G1097*I1097</f>
        <v>192.9</v>
      </c>
      <c r="L1097" s="4" t="n">
        <f aca="false">J1097-K1097</f>
        <v>98.3</v>
      </c>
    </row>
    <row r="1098" customFormat="false" ht="15" hidden="false" customHeight="false" outlineLevel="0" collapsed="false">
      <c r="A1098" s="0" t="n">
        <v>2131</v>
      </c>
      <c r="B1098" s="2" t="n">
        <v>45759</v>
      </c>
      <c r="C1098" s="3" t="s">
        <v>26</v>
      </c>
      <c r="D1098" s="3" t="s">
        <v>29</v>
      </c>
      <c r="E1098" s="3" t="s">
        <v>41</v>
      </c>
      <c r="F1098" s="3" t="s">
        <v>15</v>
      </c>
      <c r="G1098" s="0" t="n">
        <v>32</v>
      </c>
      <c r="H1098" s="4" t="n">
        <v>282.98</v>
      </c>
      <c r="I1098" s="4" t="n">
        <v>187.14</v>
      </c>
      <c r="J1098" s="4" t="n">
        <f aca="false">G1098*H1098</f>
        <v>9055.36</v>
      </c>
      <c r="K1098" s="4" t="n">
        <f aca="false">G1098*I1098</f>
        <v>5988.48</v>
      </c>
      <c r="L1098" s="4" t="n">
        <f aca="false">J1098-K1098</f>
        <v>3066.88</v>
      </c>
    </row>
    <row r="1099" customFormat="false" ht="15" hidden="false" customHeight="false" outlineLevel="0" collapsed="false">
      <c r="A1099" s="0" t="n">
        <v>2477</v>
      </c>
      <c r="B1099" s="2" t="n">
        <v>45759</v>
      </c>
      <c r="C1099" s="3" t="s">
        <v>26</v>
      </c>
      <c r="D1099" s="3" t="s">
        <v>29</v>
      </c>
      <c r="E1099" s="3" t="s">
        <v>37</v>
      </c>
      <c r="F1099" s="3" t="s">
        <v>33</v>
      </c>
      <c r="G1099" s="0" t="n">
        <v>38</v>
      </c>
      <c r="H1099" s="4" t="n">
        <v>184.24</v>
      </c>
      <c r="I1099" s="4" t="n">
        <v>96.86</v>
      </c>
      <c r="J1099" s="4" t="n">
        <f aca="false">G1099*H1099</f>
        <v>7001.12</v>
      </c>
      <c r="K1099" s="4" t="n">
        <f aca="false">G1099*I1099</f>
        <v>3680.68</v>
      </c>
      <c r="L1099" s="4" t="n">
        <f aca="false">J1099-K1099</f>
        <v>3320.44</v>
      </c>
    </row>
    <row r="1100" customFormat="false" ht="15" hidden="false" customHeight="false" outlineLevel="0" collapsed="false">
      <c r="A1100" s="0" t="n">
        <v>1329</v>
      </c>
      <c r="B1100" s="2" t="n">
        <v>45760</v>
      </c>
      <c r="C1100" s="3" t="s">
        <v>12</v>
      </c>
      <c r="D1100" s="3" t="s">
        <v>29</v>
      </c>
      <c r="E1100" s="3" t="s">
        <v>37</v>
      </c>
      <c r="F1100" s="3" t="s">
        <v>25</v>
      </c>
      <c r="G1100" s="0" t="n">
        <v>32</v>
      </c>
      <c r="H1100" s="4" t="n">
        <v>211.63</v>
      </c>
      <c r="I1100" s="4" t="n">
        <v>129.73</v>
      </c>
      <c r="J1100" s="4" t="n">
        <f aca="false">G1100*H1100</f>
        <v>6772.16</v>
      </c>
      <c r="K1100" s="4" t="n">
        <f aca="false">G1100*I1100</f>
        <v>4151.36</v>
      </c>
      <c r="L1100" s="4" t="n">
        <f aca="false">J1100-K1100</f>
        <v>2620.8</v>
      </c>
    </row>
    <row r="1101" customFormat="false" ht="15" hidden="false" customHeight="false" outlineLevel="0" collapsed="false">
      <c r="A1101" s="0" t="n">
        <v>1481</v>
      </c>
      <c r="B1101" s="2" t="n">
        <v>45760</v>
      </c>
      <c r="C1101" s="3" t="s">
        <v>12</v>
      </c>
      <c r="D1101" s="3" t="s">
        <v>20</v>
      </c>
      <c r="E1101" s="3" t="s">
        <v>21</v>
      </c>
      <c r="F1101" s="3" t="s">
        <v>22</v>
      </c>
      <c r="G1101" s="0" t="n">
        <v>39</v>
      </c>
      <c r="H1101" s="4" t="n">
        <v>191.22</v>
      </c>
      <c r="I1101" s="4" t="n">
        <v>131.1</v>
      </c>
      <c r="J1101" s="4" t="n">
        <f aca="false">G1101*H1101</f>
        <v>7457.58</v>
      </c>
      <c r="K1101" s="4" t="n">
        <f aca="false">G1101*I1101</f>
        <v>5112.9</v>
      </c>
      <c r="L1101" s="4" t="n">
        <f aca="false">J1101-K1101</f>
        <v>2344.68</v>
      </c>
    </row>
    <row r="1102" customFormat="false" ht="15" hidden="false" customHeight="false" outlineLevel="0" collapsed="false">
      <c r="A1102" s="0" t="n">
        <v>1027</v>
      </c>
      <c r="B1102" s="2" t="n">
        <v>45761</v>
      </c>
      <c r="C1102" s="3" t="s">
        <v>16</v>
      </c>
      <c r="D1102" s="3" t="s">
        <v>17</v>
      </c>
      <c r="E1102" s="3" t="s">
        <v>27</v>
      </c>
      <c r="F1102" s="3" t="s">
        <v>39</v>
      </c>
      <c r="G1102" s="0" t="n">
        <v>33</v>
      </c>
      <c r="H1102" s="4" t="n">
        <v>282.77</v>
      </c>
      <c r="I1102" s="4" t="n">
        <v>167.51</v>
      </c>
      <c r="J1102" s="4" t="n">
        <f aca="false">G1102*H1102</f>
        <v>9331.41</v>
      </c>
      <c r="K1102" s="4" t="n">
        <f aca="false">G1102*I1102</f>
        <v>5527.83</v>
      </c>
      <c r="L1102" s="4" t="n">
        <f aca="false">J1102-K1102</f>
        <v>3803.58</v>
      </c>
    </row>
    <row r="1103" customFormat="false" ht="15" hidden="false" customHeight="false" outlineLevel="0" collapsed="false">
      <c r="A1103" s="0" t="n">
        <v>1582</v>
      </c>
      <c r="B1103" s="2" t="n">
        <v>45761</v>
      </c>
      <c r="C1103" s="3" t="s">
        <v>32</v>
      </c>
      <c r="D1103" s="3" t="s">
        <v>13</v>
      </c>
      <c r="E1103" s="3" t="s">
        <v>45</v>
      </c>
      <c r="F1103" s="3" t="s">
        <v>33</v>
      </c>
      <c r="G1103" s="0" t="n">
        <v>19</v>
      </c>
      <c r="H1103" s="4" t="n">
        <v>19.52</v>
      </c>
      <c r="I1103" s="4" t="n">
        <v>12.56</v>
      </c>
      <c r="J1103" s="4" t="n">
        <f aca="false">G1103*H1103</f>
        <v>370.88</v>
      </c>
      <c r="K1103" s="4" t="n">
        <f aca="false">G1103*I1103</f>
        <v>238.64</v>
      </c>
      <c r="L1103" s="4" t="n">
        <f aca="false">J1103-K1103</f>
        <v>132.24</v>
      </c>
    </row>
    <row r="1104" customFormat="false" ht="15" hidden="false" customHeight="false" outlineLevel="0" collapsed="false">
      <c r="A1104" s="0" t="n">
        <v>1952</v>
      </c>
      <c r="B1104" s="2" t="n">
        <v>45761</v>
      </c>
      <c r="C1104" s="3" t="s">
        <v>26</v>
      </c>
      <c r="D1104" s="3" t="s">
        <v>29</v>
      </c>
      <c r="E1104" s="3" t="s">
        <v>43</v>
      </c>
      <c r="F1104" s="3" t="s">
        <v>33</v>
      </c>
      <c r="G1104" s="0" t="n">
        <v>34</v>
      </c>
      <c r="H1104" s="4" t="n">
        <v>458.91</v>
      </c>
      <c r="I1104" s="4" t="n">
        <v>242.39</v>
      </c>
      <c r="J1104" s="4" t="n">
        <f aca="false">G1104*H1104</f>
        <v>15602.94</v>
      </c>
      <c r="K1104" s="4" t="n">
        <f aca="false">G1104*I1104</f>
        <v>8241.26</v>
      </c>
      <c r="L1104" s="4" t="n">
        <f aca="false">J1104-K1104</f>
        <v>7361.68</v>
      </c>
    </row>
    <row r="1105" customFormat="false" ht="15" hidden="false" customHeight="false" outlineLevel="0" collapsed="false">
      <c r="A1105" s="0" t="n">
        <v>2686</v>
      </c>
      <c r="B1105" s="2" t="n">
        <v>45762</v>
      </c>
      <c r="C1105" s="3" t="s">
        <v>16</v>
      </c>
      <c r="D1105" s="3" t="s">
        <v>29</v>
      </c>
      <c r="E1105" s="3" t="s">
        <v>37</v>
      </c>
      <c r="F1105" s="3" t="s">
        <v>22</v>
      </c>
      <c r="G1105" s="0" t="n">
        <v>12</v>
      </c>
      <c r="H1105" s="4" t="n">
        <v>407.22</v>
      </c>
      <c r="I1105" s="4" t="n">
        <v>226.14</v>
      </c>
      <c r="J1105" s="4" t="n">
        <f aca="false">G1105*H1105</f>
        <v>4886.64</v>
      </c>
      <c r="K1105" s="4" t="n">
        <f aca="false">G1105*I1105</f>
        <v>2713.68</v>
      </c>
      <c r="L1105" s="4" t="n">
        <f aca="false">J1105-K1105</f>
        <v>2172.96</v>
      </c>
    </row>
    <row r="1106" customFormat="false" ht="15" hidden="false" customHeight="false" outlineLevel="0" collapsed="false">
      <c r="A1106" s="0" t="n">
        <v>2362</v>
      </c>
      <c r="B1106" s="2" t="n">
        <v>45763</v>
      </c>
      <c r="C1106" s="3" t="s">
        <v>32</v>
      </c>
      <c r="D1106" s="3" t="s">
        <v>29</v>
      </c>
      <c r="E1106" s="3" t="s">
        <v>43</v>
      </c>
      <c r="F1106" s="3" t="s">
        <v>33</v>
      </c>
      <c r="G1106" s="0" t="n">
        <v>4</v>
      </c>
      <c r="H1106" s="4" t="n">
        <v>451.08</v>
      </c>
      <c r="I1106" s="4" t="n">
        <v>274.42</v>
      </c>
      <c r="J1106" s="4" t="n">
        <f aca="false">G1106*H1106</f>
        <v>1804.32</v>
      </c>
      <c r="K1106" s="4" t="n">
        <f aca="false">G1106*I1106</f>
        <v>1097.68</v>
      </c>
      <c r="L1106" s="4" t="n">
        <f aca="false">J1106-K1106</f>
        <v>706.64</v>
      </c>
    </row>
    <row r="1107" customFormat="false" ht="15" hidden="false" customHeight="false" outlineLevel="0" collapsed="false">
      <c r="A1107" s="0" t="n">
        <v>2441</v>
      </c>
      <c r="B1107" s="2" t="n">
        <v>45763</v>
      </c>
      <c r="C1107" s="3" t="s">
        <v>12</v>
      </c>
      <c r="D1107" s="3" t="s">
        <v>29</v>
      </c>
      <c r="E1107" s="3" t="s">
        <v>43</v>
      </c>
      <c r="F1107" s="3" t="s">
        <v>22</v>
      </c>
      <c r="G1107" s="0" t="n">
        <v>3</v>
      </c>
      <c r="H1107" s="4" t="n">
        <v>405.63</v>
      </c>
      <c r="I1107" s="4" t="n">
        <v>290.32</v>
      </c>
      <c r="J1107" s="4" t="n">
        <f aca="false">G1107*H1107</f>
        <v>1216.89</v>
      </c>
      <c r="K1107" s="4" t="n">
        <f aca="false">G1107*I1107</f>
        <v>870.96</v>
      </c>
      <c r="L1107" s="4" t="n">
        <f aca="false">J1107-K1107</f>
        <v>345.93</v>
      </c>
    </row>
    <row r="1108" customFormat="false" ht="15" hidden="false" customHeight="false" outlineLevel="0" collapsed="false">
      <c r="A1108" s="0" t="n">
        <v>2715</v>
      </c>
      <c r="B1108" s="2" t="n">
        <v>45763</v>
      </c>
      <c r="C1108" s="3" t="s">
        <v>12</v>
      </c>
      <c r="D1108" s="3" t="s">
        <v>29</v>
      </c>
      <c r="E1108" s="3" t="s">
        <v>30</v>
      </c>
      <c r="F1108" s="3" t="s">
        <v>33</v>
      </c>
      <c r="G1108" s="0" t="n">
        <v>35</v>
      </c>
      <c r="H1108" s="4" t="n">
        <v>478.68</v>
      </c>
      <c r="I1108" s="4" t="n">
        <v>243.5</v>
      </c>
      <c r="J1108" s="4" t="n">
        <f aca="false">G1108*H1108</f>
        <v>16753.8</v>
      </c>
      <c r="K1108" s="4" t="n">
        <f aca="false">G1108*I1108</f>
        <v>8522.5</v>
      </c>
      <c r="L1108" s="4" t="n">
        <f aca="false">J1108-K1108</f>
        <v>8231.3</v>
      </c>
    </row>
    <row r="1109" customFormat="false" ht="15" hidden="false" customHeight="false" outlineLevel="0" collapsed="false">
      <c r="A1109" s="0" t="n">
        <v>1757</v>
      </c>
      <c r="B1109" s="2" t="n">
        <v>45765</v>
      </c>
      <c r="C1109" s="3" t="s">
        <v>16</v>
      </c>
      <c r="D1109" s="3" t="s">
        <v>17</v>
      </c>
      <c r="E1109" s="3" t="s">
        <v>27</v>
      </c>
      <c r="F1109" s="3" t="s">
        <v>15</v>
      </c>
      <c r="G1109" s="0" t="n">
        <v>30</v>
      </c>
      <c r="H1109" s="4" t="n">
        <v>351.3</v>
      </c>
      <c r="I1109" s="4" t="n">
        <v>247.97</v>
      </c>
      <c r="J1109" s="4" t="n">
        <f aca="false">G1109*H1109</f>
        <v>10539</v>
      </c>
      <c r="K1109" s="4" t="n">
        <f aca="false">G1109*I1109</f>
        <v>7439.1</v>
      </c>
      <c r="L1109" s="4" t="n">
        <f aca="false">J1109-K1109</f>
        <v>3099.9</v>
      </c>
    </row>
    <row r="1110" customFormat="false" ht="15" hidden="false" customHeight="false" outlineLevel="0" collapsed="false">
      <c r="A1110" s="0" t="n">
        <v>1761</v>
      </c>
      <c r="B1110" s="2" t="n">
        <v>45765</v>
      </c>
      <c r="C1110" s="3" t="s">
        <v>26</v>
      </c>
      <c r="D1110" s="3" t="s">
        <v>17</v>
      </c>
      <c r="E1110" s="3" t="s">
        <v>18</v>
      </c>
      <c r="F1110" s="3" t="s">
        <v>36</v>
      </c>
      <c r="G1110" s="0" t="n">
        <v>22</v>
      </c>
      <c r="H1110" s="4" t="n">
        <v>686.6</v>
      </c>
      <c r="I1110" s="4" t="n">
        <v>362.99</v>
      </c>
      <c r="J1110" s="4" t="n">
        <f aca="false">G1110*H1110</f>
        <v>15105.2</v>
      </c>
      <c r="K1110" s="4" t="n">
        <f aca="false">G1110*I1110</f>
        <v>7985.78</v>
      </c>
      <c r="L1110" s="4" t="n">
        <f aca="false">J1110-K1110</f>
        <v>7119.42</v>
      </c>
    </row>
    <row r="1111" customFormat="false" ht="15" hidden="false" customHeight="false" outlineLevel="0" collapsed="false">
      <c r="A1111" s="0" t="n">
        <v>1662</v>
      </c>
      <c r="B1111" s="2" t="n">
        <v>45766</v>
      </c>
      <c r="C1111" s="3" t="s">
        <v>12</v>
      </c>
      <c r="D1111" s="3" t="s">
        <v>13</v>
      </c>
      <c r="E1111" s="3" t="s">
        <v>14</v>
      </c>
      <c r="F1111" s="3" t="s">
        <v>25</v>
      </c>
      <c r="G1111" s="0" t="n">
        <v>19</v>
      </c>
      <c r="H1111" s="4" t="n">
        <v>7.51</v>
      </c>
      <c r="I1111" s="4" t="n">
        <v>5.6</v>
      </c>
      <c r="J1111" s="4" t="n">
        <f aca="false">G1111*H1111</f>
        <v>142.69</v>
      </c>
      <c r="K1111" s="4" t="n">
        <f aca="false">G1111*I1111</f>
        <v>106.4</v>
      </c>
      <c r="L1111" s="4" t="n">
        <f aca="false">J1111-K1111</f>
        <v>36.29</v>
      </c>
    </row>
    <row r="1112" customFormat="false" ht="15" hidden="false" customHeight="false" outlineLevel="0" collapsed="false">
      <c r="A1112" s="0" t="n">
        <v>2263</v>
      </c>
      <c r="B1112" s="2" t="n">
        <v>45766</v>
      </c>
      <c r="C1112" s="3" t="s">
        <v>23</v>
      </c>
      <c r="D1112" s="3" t="s">
        <v>20</v>
      </c>
      <c r="E1112" s="3" t="s">
        <v>34</v>
      </c>
      <c r="F1112" s="3" t="s">
        <v>19</v>
      </c>
      <c r="G1112" s="0" t="n">
        <v>25</v>
      </c>
      <c r="H1112" s="4" t="n">
        <v>108.68</v>
      </c>
      <c r="I1112" s="4" t="n">
        <v>81.23</v>
      </c>
      <c r="J1112" s="4" t="n">
        <f aca="false">G1112*H1112</f>
        <v>2717</v>
      </c>
      <c r="K1112" s="4" t="n">
        <f aca="false">G1112*I1112</f>
        <v>2030.75</v>
      </c>
      <c r="L1112" s="4" t="n">
        <f aca="false">J1112-K1112</f>
        <v>686.25</v>
      </c>
    </row>
    <row r="1113" customFormat="false" ht="15" hidden="false" customHeight="false" outlineLevel="0" collapsed="false">
      <c r="A1113" s="0" t="n">
        <v>2163</v>
      </c>
      <c r="B1113" s="2" t="n">
        <v>45767</v>
      </c>
      <c r="C1113" s="3" t="s">
        <v>23</v>
      </c>
      <c r="D1113" s="3" t="s">
        <v>20</v>
      </c>
      <c r="E1113" s="3" t="s">
        <v>34</v>
      </c>
      <c r="F1113" s="3" t="s">
        <v>22</v>
      </c>
      <c r="G1113" s="0" t="n">
        <v>20</v>
      </c>
      <c r="H1113" s="4" t="n">
        <v>110.41</v>
      </c>
      <c r="I1113" s="4" t="n">
        <v>70.11</v>
      </c>
      <c r="J1113" s="4" t="n">
        <f aca="false">G1113*H1113</f>
        <v>2208.2</v>
      </c>
      <c r="K1113" s="4" t="n">
        <f aca="false">G1113*I1113</f>
        <v>1402.2</v>
      </c>
      <c r="L1113" s="4" t="n">
        <f aca="false">J1113-K1113</f>
        <v>806</v>
      </c>
    </row>
    <row r="1114" customFormat="false" ht="15" hidden="false" customHeight="false" outlineLevel="0" collapsed="false">
      <c r="A1114" s="0" t="n">
        <v>2538</v>
      </c>
      <c r="B1114" s="2" t="n">
        <v>45767</v>
      </c>
      <c r="C1114" s="3" t="s">
        <v>32</v>
      </c>
      <c r="D1114" s="3" t="s">
        <v>29</v>
      </c>
      <c r="E1114" s="3" t="s">
        <v>43</v>
      </c>
      <c r="F1114" s="3" t="s">
        <v>15</v>
      </c>
      <c r="G1114" s="0" t="n">
        <v>31</v>
      </c>
      <c r="H1114" s="4" t="n">
        <v>319.91</v>
      </c>
      <c r="I1114" s="4" t="n">
        <v>171.35</v>
      </c>
      <c r="J1114" s="4" t="n">
        <f aca="false">G1114*H1114</f>
        <v>9917.21</v>
      </c>
      <c r="K1114" s="4" t="n">
        <f aca="false">G1114*I1114</f>
        <v>5311.85</v>
      </c>
      <c r="L1114" s="4" t="n">
        <f aca="false">J1114-K1114</f>
        <v>4605.36</v>
      </c>
    </row>
    <row r="1115" customFormat="false" ht="15" hidden="false" customHeight="false" outlineLevel="0" collapsed="false">
      <c r="A1115" s="0" t="n">
        <v>1497</v>
      </c>
      <c r="B1115" s="2" t="n">
        <v>45768</v>
      </c>
      <c r="C1115" s="3" t="s">
        <v>26</v>
      </c>
      <c r="D1115" s="3" t="s">
        <v>13</v>
      </c>
      <c r="E1115" s="3" t="s">
        <v>46</v>
      </c>
      <c r="F1115" s="3" t="s">
        <v>36</v>
      </c>
      <c r="G1115" s="0" t="n">
        <v>27</v>
      </c>
      <c r="H1115" s="4" t="n">
        <v>22.93</v>
      </c>
      <c r="I1115" s="4" t="n">
        <v>15.14</v>
      </c>
      <c r="J1115" s="4" t="n">
        <f aca="false">G1115*H1115</f>
        <v>619.11</v>
      </c>
      <c r="K1115" s="4" t="n">
        <f aca="false">G1115*I1115</f>
        <v>408.78</v>
      </c>
      <c r="L1115" s="4" t="n">
        <f aca="false">J1115-K1115</f>
        <v>210.33</v>
      </c>
    </row>
    <row r="1116" customFormat="false" ht="15" hidden="false" customHeight="false" outlineLevel="0" collapsed="false">
      <c r="A1116" s="0" t="n">
        <v>1511</v>
      </c>
      <c r="B1116" s="2" t="n">
        <v>45768</v>
      </c>
      <c r="C1116" s="3" t="s">
        <v>16</v>
      </c>
      <c r="D1116" s="3" t="s">
        <v>13</v>
      </c>
      <c r="E1116" s="3" t="s">
        <v>45</v>
      </c>
      <c r="F1116" s="3" t="s">
        <v>28</v>
      </c>
      <c r="G1116" s="0" t="n">
        <v>7</v>
      </c>
      <c r="H1116" s="4" t="n">
        <v>42.02</v>
      </c>
      <c r="I1116" s="4" t="n">
        <v>23.44</v>
      </c>
      <c r="J1116" s="4" t="n">
        <f aca="false">G1116*H1116</f>
        <v>294.14</v>
      </c>
      <c r="K1116" s="4" t="n">
        <f aca="false">G1116*I1116</f>
        <v>164.08</v>
      </c>
      <c r="L1116" s="4" t="n">
        <f aca="false">J1116-K1116</f>
        <v>130.06</v>
      </c>
    </row>
    <row r="1117" customFormat="false" ht="15" hidden="false" customHeight="false" outlineLevel="0" collapsed="false">
      <c r="A1117" s="0" t="n">
        <v>1605</v>
      </c>
      <c r="B1117" s="2" t="n">
        <v>45769</v>
      </c>
      <c r="C1117" s="3" t="s">
        <v>26</v>
      </c>
      <c r="D1117" s="3" t="s">
        <v>13</v>
      </c>
      <c r="E1117" s="3" t="s">
        <v>14</v>
      </c>
      <c r="F1117" s="3" t="s">
        <v>33</v>
      </c>
      <c r="G1117" s="0" t="n">
        <v>19</v>
      </c>
      <c r="H1117" s="4" t="n">
        <v>5.31</v>
      </c>
      <c r="I1117" s="4" t="n">
        <v>3.03</v>
      </c>
      <c r="J1117" s="4" t="n">
        <f aca="false">G1117*H1117</f>
        <v>100.89</v>
      </c>
      <c r="K1117" s="4" t="n">
        <f aca="false">G1117*I1117</f>
        <v>57.57</v>
      </c>
      <c r="L1117" s="4" t="n">
        <f aca="false">J1117-K1117</f>
        <v>43.32</v>
      </c>
    </row>
    <row r="1118" customFormat="false" ht="15" hidden="false" customHeight="false" outlineLevel="0" collapsed="false">
      <c r="A1118" s="0" t="n">
        <v>2078</v>
      </c>
      <c r="B1118" s="2" t="n">
        <v>45770</v>
      </c>
      <c r="C1118" s="3" t="s">
        <v>16</v>
      </c>
      <c r="D1118" s="3" t="s">
        <v>13</v>
      </c>
      <c r="E1118" s="3" t="s">
        <v>45</v>
      </c>
      <c r="F1118" s="3" t="s">
        <v>28</v>
      </c>
      <c r="G1118" s="0" t="n">
        <v>40</v>
      </c>
      <c r="H1118" s="4" t="n">
        <v>35.83</v>
      </c>
      <c r="I1118" s="4" t="n">
        <v>25.39</v>
      </c>
      <c r="J1118" s="4" t="n">
        <f aca="false">G1118*H1118</f>
        <v>1433.2</v>
      </c>
      <c r="K1118" s="4" t="n">
        <f aca="false">G1118*I1118</f>
        <v>1015.6</v>
      </c>
      <c r="L1118" s="4" t="n">
        <f aca="false">J1118-K1118</f>
        <v>417.6</v>
      </c>
    </row>
    <row r="1119" customFormat="false" ht="15" hidden="false" customHeight="false" outlineLevel="0" collapsed="false">
      <c r="A1119" s="0" t="n">
        <v>2583</v>
      </c>
      <c r="B1119" s="2" t="n">
        <v>45770</v>
      </c>
      <c r="C1119" s="3" t="s">
        <v>26</v>
      </c>
      <c r="D1119" s="3" t="s">
        <v>20</v>
      </c>
      <c r="E1119" s="3" t="s">
        <v>34</v>
      </c>
      <c r="F1119" s="3" t="s">
        <v>25</v>
      </c>
      <c r="G1119" s="0" t="n">
        <v>6</v>
      </c>
      <c r="H1119" s="4" t="n">
        <v>204.59</v>
      </c>
      <c r="I1119" s="4" t="n">
        <v>134.56</v>
      </c>
      <c r="J1119" s="4" t="n">
        <f aca="false">G1119*H1119</f>
        <v>1227.54</v>
      </c>
      <c r="K1119" s="4" t="n">
        <f aca="false">G1119*I1119</f>
        <v>807.36</v>
      </c>
      <c r="L1119" s="4" t="n">
        <f aca="false">J1119-K1119</f>
        <v>420.18</v>
      </c>
    </row>
    <row r="1120" customFormat="false" ht="15" hidden="false" customHeight="false" outlineLevel="0" collapsed="false">
      <c r="A1120" s="0" t="n">
        <v>1748</v>
      </c>
      <c r="B1120" s="2" t="n">
        <v>45771</v>
      </c>
      <c r="C1120" s="3" t="s">
        <v>23</v>
      </c>
      <c r="D1120" s="3" t="s">
        <v>29</v>
      </c>
      <c r="E1120" s="3" t="s">
        <v>30</v>
      </c>
      <c r="F1120" s="3" t="s">
        <v>33</v>
      </c>
      <c r="G1120" s="0" t="n">
        <v>13</v>
      </c>
      <c r="H1120" s="4" t="n">
        <v>255.43</v>
      </c>
      <c r="I1120" s="4" t="n">
        <v>182.18</v>
      </c>
      <c r="J1120" s="4" t="n">
        <f aca="false">G1120*H1120</f>
        <v>3320.59</v>
      </c>
      <c r="K1120" s="4" t="n">
        <f aca="false">G1120*I1120</f>
        <v>2368.34</v>
      </c>
      <c r="L1120" s="4" t="n">
        <f aca="false">J1120-K1120</f>
        <v>952.25</v>
      </c>
    </row>
    <row r="1121" customFormat="false" ht="15" hidden="false" customHeight="false" outlineLevel="0" collapsed="false">
      <c r="A1121" s="0" t="n">
        <v>1829</v>
      </c>
      <c r="B1121" s="2" t="n">
        <v>45771</v>
      </c>
      <c r="C1121" s="3" t="s">
        <v>16</v>
      </c>
      <c r="D1121" s="3" t="s">
        <v>29</v>
      </c>
      <c r="E1121" s="3" t="s">
        <v>43</v>
      </c>
      <c r="F1121" s="3" t="s">
        <v>36</v>
      </c>
      <c r="G1121" s="0" t="n">
        <v>34</v>
      </c>
      <c r="H1121" s="4" t="n">
        <v>421.89</v>
      </c>
      <c r="I1121" s="4" t="n">
        <v>301.43</v>
      </c>
      <c r="J1121" s="4" t="n">
        <f aca="false">G1121*H1121</f>
        <v>14344.26</v>
      </c>
      <c r="K1121" s="4" t="n">
        <f aca="false">G1121*I1121</f>
        <v>10248.62</v>
      </c>
      <c r="L1121" s="4" t="n">
        <f aca="false">J1121-K1121</f>
        <v>4095.64</v>
      </c>
    </row>
    <row r="1122" customFormat="false" ht="15" hidden="false" customHeight="false" outlineLevel="0" collapsed="false">
      <c r="A1122" s="0" t="n">
        <v>1883</v>
      </c>
      <c r="B1122" s="2" t="n">
        <v>45771</v>
      </c>
      <c r="C1122" s="3" t="s">
        <v>23</v>
      </c>
      <c r="D1122" s="3" t="s">
        <v>29</v>
      </c>
      <c r="E1122" s="3" t="s">
        <v>41</v>
      </c>
      <c r="F1122" s="3" t="s">
        <v>36</v>
      </c>
      <c r="G1122" s="0" t="n">
        <v>11</v>
      </c>
      <c r="H1122" s="4" t="n">
        <v>258.17</v>
      </c>
      <c r="I1122" s="4" t="n">
        <v>135.82</v>
      </c>
      <c r="J1122" s="4" t="n">
        <f aca="false">G1122*H1122</f>
        <v>2839.87</v>
      </c>
      <c r="K1122" s="4" t="n">
        <f aca="false">G1122*I1122</f>
        <v>1494.02</v>
      </c>
      <c r="L1122" s="4" t="n">
        <f aca="false">J1122-K1122</f>
        <v>1345.85</v>
      </c>
    </row>
    <row r="1123" customFormat="false" ht="15" hidden="false" customHeight="false" outlineLevel="0" collapsed="false">
      <c r="A1123" s="0" t="n">
        <v>1963</v>
      </c>
      <c r="B1123" s="2" t="n">
        <v>45771</v>
      </c>
      <c r="C1123" s="3" t="s">
        <v>32</v>
      </c>
      <c r="D1123" s="3" t="s">
        <v>20</v>
      </c>
      <c r="E1123" s="3" t="s">
        <v>21</v>
      </c>
      <c r="F1123" s="3" t="s">
        <v>36</v>
      </c>
      <c r="G1123" s="0" t="n">
        <v>27</v>
      </c>
      <c r="H1123" s="4" t="n">
        <v>234.7</v>
      </c>
      <c r="I1123" s="4" t="n">
        <v>122.54</v>
      </c>
      <c r="J1123" s="4" t="n">
        <f aca="false">G1123*H1123</f>
        <v>6336.9</v>
      </c>
      <c r="K1123" s="4" t="n">
        <f aca="false">G1123*I1123</f>
        <v>3308.58</v>
      </c>
      <c r="L1123" s="4" t="n">
        <f aca="false">J1123-K1123</f>
        <v>3028.32</v>
      </c>
    </row>
    <row r="1124" customFormat="false" ht="15" hidden="false" customHeight="false" outlineLevel="0" collapsed="false">
      <c r="A1124" s="0" t="n">
        <v>2148</v>
      </c>
      <c r="B1124" s="2" t="n">
        <v>45771</v>
      </c>
      <c r="C1124" s="3" t="s">
        <v>16</v>
      </c>
      <c r="D1124" s="3" t="s">
        <v>13</v>
      </c>
      <c r="E1124" s="3" t="s">
        <v>45</v>
      </c>
      <c r="F1124" s="3" t="s">
        <v>36</v>
      </c>
      <c r="G1124" s="0" t="n">
        <v>18</v>
      </c>
      <c r="H1124" s="4" t="n">
        <v>53.69</v>
      </c>
      <c r="I1124" s="4" t="n">
        <v>31.28</v>
      </c>
      <c r="J1124" s="4" t="n">
        <f aca="false">G1124*H1124</f>
        <v>966.42</v>
      </c>
      <c r="K1124" s="4" t="n">
        <f aca="false">G1124*I1124</f>
        <v>563.04</v>
      </c>
      <c r="L1124" s="4" t="n">
        <f aca="false">J1124-K1124</f>
        <v>403.38</v>
      </c>
    </row>
    <row r="1125" customFormat="false" ht="15" hidden="false" customHeight="false" outlineLevel="0" collapsed="false">
      <c r="A1125" s="0" t="n">
        <v>1910</v>
      </c>
      <c r="B1125" s="2" t="n">
        <v>45772</v>
      </c>
      <c r="C1125" s="3" t="s">
        <v>26</v>
      </c>
      <c r="D1125" s="3" t="s">
        <v>29</v>
      </c>
      <c r="E1125" s="3" t="s">
        <v>41</v>
      </c>
      <c r="F1125" s="3" t="s">
        <v>36</v>
      </c>
      <c r="G1125" s="0" t="n">
        <v>26</v>
      </c>
      <c r="H1125" s="4" t="n">
        <v>174.05</v>
      </c>
      <c r="I1125" s="4" t="n">
        <v>125.3</v>
      </c>
      <c r="J1125" s="4" t="n">
        <f aca="false">G1125*H1125</f>
        <v>4525.3</v>
      </c>
      <c r="K1125" s="4" t="n">
        <f aca="false">G1125*I1125</f>
        <v>3257.8</v>
      </c>
      <c r="L1125" s="4" t="n">
        <f aca="false">J1125-K1125</f>
        <v>1267.5</v>
      </c>
    </row>
    <row r="1126" customFormat="false" ht="15" hidden="false" customHeight="false" outlineLevel="0" collapsed="false">
      <c r="A1126" s="0" t="n">
        <v>2329</v>
      </c>
      <c r="B1126" s="2" t="n">
        <v>45772</v>
      </c>
      <c r="C1126" s="3" t="s">
        <v>32</v>
      </c>
      <c r="D1126" s="3" t="s">
        <v>17</v>
      </c>
      <c r="E1126" s="3" t="s">
        <v>18</v>
      </c>
      <c r="F1126" s="3" t="s">
        <v>33</v>
      </c>
      <c r="G1126" s="0" t="n">
        <v>35</v>
      </c>
      <c r="H1126" s="4" t="n">
        <v>494.28</v>
      </c>
      <c r="I1126" s="4" t="n">
        <v>280.66</v>
      </c>
      <c r="J1126" s="4" t="n">
        <f aca="false">G1126*H1126</f>
        <v>17299.8</v>
      </c>
      <c r="K1126" s="4" t="n">
        <f aca="false">G1126*I1126</f>
        <v>9823.1</v>
      </c>
      <c r="L1126" s="4" t="n">
        <f aca="false">J1126-K1126</f>
        <v>7476.7</v>
      </c>
    </row>
    <row r="1127" customFormat="false" ht="15" hidden="false" customHeight="false" outlineLevel="0" collapsed="false">
      <c r="A1127" s="0" t="n">
        <v>2367</v>
      </c>
      <c r="B1127" s="2" t="n">
        <v>45772</v>
      </c>
      <c r="C1127" s="3" t="s">
        <v>32</v>
      </c>
      <c r="D1127" s="3" t="s">
        <v>29</v>
      </c>
      <c r="E1127" s="3" t="s">
        <v>43</v>
      </c>
      <c r="F1127" s="3" t="s">
        <v>19</v>
      </c>
      <c r="G1127" s="0" t="n">
        <v>38</v>
      </c>
      <c r="H1127" s="4" t="n">
        <v>329.42</v>
      </c>
      <c r="I1127" s="4" t="n">
        <v>183.34</v>
      </c>
      <c r="J1127" s="4" t="n">
        <f aca="false">G1127*H1127</f>
        <v>12517.96</v>
      </c>
      <c r="K1127" s="4" t="n">
        <f aca="false">G1127*I1127</f>
        <v>6966.92</v>
      </c>
      <c r="L1127" s="4" t="n">
        <f aca="false">J1127-K1127</f>
        <v>5551.04</v>
      </c>
    </row>
    <row r="1128" customFormat="false" ht="15" hidden="false" customHeight="false" outlineLevel="0" collapsed="false">
      <c r="A1128" s="0" t="n">
        <v>2408</v>
      </c>
      <c r="B1128" s="2" t="n">
        <v>45772</v>
      </c>
      <c r="C1128" s="3" t="s">
        <v>32</v>
      </c>
      <c r="D1128" s="3" t="s">
        <v>20</v>
      </c>
      <c r="E1128" s="3" t="s">
        <v>42</v>
      </c>
      <c r="F1128" s="3" t="s">
        <v>15</v>
      </c>
      <c r="G1128" s="0" t="n">
        <v>11</v>
      </c>
      <c r="H1128" s="4" t="n">
        <v>42.96</v>
      </c>
      <c r="I1128" s="4" t="n">
        <v>23.29</v>
      </c>
      <c r="J1128" s="4" t="n">
        <f aca="false">G1128*H1128</f>
        <v>472.56</v>
      </c>
      <c r="K1128" s="4" t="n">
        <f aca="false">G1128*I1128</f>
        <v>256.19</v>
      </c>
      <c r="L1128" s="4" t="n">
        <f aca="false">J1128-K1128</f>
        <v>216.37</v>
      </c>
    </row>
    <row r="1129" customFormat="false" ht="15" hidden="false" customHeight="false" outlineLevel="0" collapsed="false">
      <c r="A1129" s="0" t="n">
        <v>2540</v>
      </c>
      <c r="B1129" s="2" t="n">
        <v>45772</v>
      </c>
      <c r="C1129" s="3" t="s">
        <v>12</v>
      </c>
      <c r="D1129" s="3" t="s">
        <v>17</v>
      </c>
      <c r="E1129" s="3" t="s">
        <v>18</v>
      </c>
      <c r="F1129" s="3" t="s">
        <v>39</v>
      </c>
      <c r="G1129" s="0" t="n">
        <v>13</v>
      </c>
      <c r="H1129" s="4" t="n">
        <v>432.03</v>
      </c>
      <c r="I1129" s="4" t="n">
        <v>278.94</v>
      </c>
      <c r="J1129" s="4" t="n">
        <f aca="false">G1129*H1129</f>
        <v>5616.39</v>
      </c>
      <c r="K1129" s="4" t="n">
        <f aca="false">G1129*I1129</f>
        <v>3626.22</v>
      </c>
      <c r="L1129" s="4" t="n">
        <f aca="false">J1129-K1129</f>
        <v>1990.17</v>
      </c>
    </row>
    <row r="1130" customFormat="false" ht="15" hidden="false" customHeight="false" outlineLevel="0" collapsed="false">
      <c r="A1130" s="0" t="n">
        <v>1779</v>
      </c>
      <c r="B1130" s="2" t="n">
        <v>45774</v>
      </c>
      <c r="C1130" s="3" t="s">
        <v>23</v>
      </c>
      <c r="D1130" s="3" t="s">
        <v>20</v>
      </c>
      <c r="E1130" s="3" t="s">
        <v>21</v>
      </c>
      <c r="F1130" s="3" t="s">
        <v>19</v>
      </c>
      <c r="G1130" s="0" t="n">
        <v>31</v>
      </c>
      <c r="H1130" s="4" t="n">
        <v>232.48</v>
      </c>
      <c r="I1130" s="4" t="n">
        <v>169.8</v>
      </c>
      <c r="J1130" s="4" t="n">
        <f aca="false">G1130*H1130</f>
        <v>7206.88</v>
      </c>
      <c r="K1130" s="4" t="n">
        <f aca="false">G1130*I1130</f>
        <v>5263.8</v>
      </c>
      <c r="L1130" s="4" t="n">
        <f aca="false">J1130-K1130</f>
        <v>1943.08</v>
      </c>
    </row>
    <row r="1131" customFormat="false" ht="15" hidden="false" customHeight="false" outlineLevel="0" collapsed="false">
      <c r="A1131" s="0" t="n">
        <v>2771</v>
      </c>
      <c r="B1131" s="2" t="n">
        <v>45774</v>
      </c>
      <c r="C1131" s="3" t="s">
        <v>26</v>
      </c>
      <c r="D1131" s="3" t="s">
        <v>20</v>
      </c>
      <c r="E1131" s="3" t="s">
        <v>42</v>
      </c>
      <c r="F1131" s="3" t="s">
        <v>39</v>
      </c>
      <c r="G1131" s="0" t="n">
        <v>5</v>
      </c>
      <c r="H1131" s="4" t="n">
        <v>92.62</v>
      </c>
      <c r="I1131" s="4" t="n">
        <v>53.89</v>
      </c>
      <c r="J1131" s="4" t="n">
        <f aca="false">G1131*H1131</f>
        <v>463.1</v>
      </c>
      <c r="K1131" s="4" t="n">
        <f aca="false">G1131*I1131</f>
        <v>269.45</v>
      </c>
      <c r="L1131" s="4" t="n">
        <f aca="false">J1131-K1131</f>
        <v>193.65</v>
      </c>
    </row>
    <row r="1132" customFormat="false" ht="15" hidden="false" customHeight="false" outlineLevel="0" collapsed="false">
      <c r="A1132" s="0" t="n">
        <v>1140</v>
      </c>
      <c r="B1132" s="2" t="n">
        <v>45775</v>
      </c>
      <c r="C1132" s="3" t="s">
        <v>12</v>
      </c>
      <c r="D1132" s="3" t="s">
        <v>20</v>
      </c>
      <c r="E1132" s="3" t="s">
        <v>21</v>
      </c>
      <c r="F1132" s="3" t="s">
        <v>22</v>
      </c>
      <c r="G1132" s="0" t="n">
        <v>6</v>
      </c>
      <c r="H1132" s="4" t="n">
        <v>283.26</v>
      </c>
      <c r="I1132" s="4" t="n">
        <v>184.75</v>
      </c>
      <c r="J1132" s="4" t="n">
        <f aca="false">G1132*H1132</f>
        <v>1699.56</v>
      </c>
      <c r="K1132" s="4" t="n">
        <f aca="false">G1132*I1132</f>
        <v>1108.5</v>
      </c>
      <c r="L1132" s="4" t="n">
        <f aca="false">J1132-K1132</f>
        <v>591.06</v>
      </c>
    </row>
    <row r="1133" customFormat="false" ht="15" hidden="false" customHeight="false" outlineLevel="0" collapsed="false">
      <c r="A1133" s="0" t="n">
        <v>2059</v>
      </c>
      <c r="B1133" s="2" t="n">
        <v>45775</v>
      </c>
      <c r="C1133" s="3" t="s">
        <v>32</v>
      </c>
      <c r="D1133" s="3" t="s">
        <v>29</v>
      </c>
      <c r="E1133" s="3" t="s">
        <v>30</v>
      </c>
      <c r="F1133" s="3" t="s">
        <v>39</v>
      </c>
      <c r="G1133" s="0" t="n">
        <v>36</v>
      </c>
      <c r="H1133" s="4" t="n">
        <v>376.62</v>
      </c>
      <c r="I1133" s="4" t="n">
        <v>267.27</v>
      </c>
      <c r="J1133" s="4" t="n">
        <f aca="false">G1133*H1133</f>
        <v>13558.32</v>
      </c>
      <c r="K1133" s="4" t="n">
        <f aca="false">G1133*I1133</f>
        <v>9621.72</v>
      </c>
      <c r="L1133" s="4" t="n">
        <f aca="false">J1133-K1133</f>
        <v>3936.6</v>
      </c>
    </row>
    <row r="1134" customFormat="false" ht="15" hidden="false" customHeight="false" outlineLevel="0" collapsed="false">
      <c r="A1134" s="0" t="n">
        <v>1019</v>
      </c>
      <c r="B1134" s="2" t="n">
        <v>45776</v>
      </c>
      <c r="C1134" s="3" t="s">
        <v>23</v>
      </c>
      <c r="D1134" s="3" t="s">
        <v>13</v>
      </c>
      <c r="E1134" s="3" t="s">
        <v>45</v>
      </c>
      <c r="F1134" s="3" t="s">
        <v>25</v>
      </c>
      <c r="G1134" s="0" t="n">
        <v>28</v>
      </c>
      <c r="H1134" s="4" t="n">
        <v>26.43</v>
      </c>
      <c r="I1134" s="4" t="n">
        <v>17.53</v>
      </c>
      <c r="J1134" s="4" t="n">
        <f aca="false">G1134*H1134</f>
        <v>740.04</v>
      </c>
      <c r="K1134" s="4" t="n">
        <f aca="false">G1134*I1134</f>
        <v>490.84</v>
      </c>
      <c r="L1134" s="4" t="n">
        <f aca="false">J1134-K1134</f>
        <v>249.2</v>
      </c>
    </row>
    <row r="1135" customFormat="false" ht="15" hidden="false" customHeight="false" outlineLevel="0" collapsed="false">
      <c r="A1135" s="0" t="n">
        <v>1420</v>
      </c>
      <c r="B1135" s="2" t="n">
        <v>45776</v>
      </c>
      <c r="C1135" s="3" t="s">
        <v>26</v>
      </c>
      <c r="D1135" s="3" t="s">
        <v>13</v>
      </c>
      <c r="E1135" s="3" t="s">
        <v>14</v>
      </c>
      <c r="F1135" s="3" t="s">
        <v>28</v>
      </c>
      <c r="G1135" s="0" t="n">
        <v>9</v>
      </c>
      <c r="H1135" s="4" t="n">
        <v>51.42</v>
      </c>
      <c r="I1135" s="4" t="n">
        <v>35.81</v>
      </c>
      <c r="J1135" s="4" t="n">
        <f aca="false">G1135*H1135</f>
        <v>462.78</v>
      </c>
      <c r="K1135" s="4" t="n">
        <f aca="false">G1135*I1135</f>
        <v>322.29</v>
      </c>
      <c r="L1135" s="4" t="n">
        <f aca="false">J1135-K1135</f>
        <v>140.49</v>
      </c>
    </row>
    <row r="1136" customFormat="false" ht="15" hidden="false" customHeight="false" outlineLevel="0" collapsed="false">
      <c r="A1136" s="0" t="n">
        <v>2047</v>
      </c>
      <c r="B1136" s="2" t="n">
        <v>45776</v>
      </c>
      <c r="C1136" s="3" t="s">
        <v>16</v>
      </c>
      <c r="D1136" s="3" t="s">
        <v>13</v>
      </c>
      <c r="E1136" s="3" t="s">
        <v>45</v>
      </c>
      <c r="F1136" s="3" t="s">
        <v>28</v>
      </c>
      <c r="G1136" s="0" t="n">
        <v>17</v>
      </c>
      <c r="H1136" s="4" t="n">
        <v>45.21</v>
      </c>
      <c r="I1136" s="4" t="n">
        <v>30.39</v>
      </c>
      <c r="J1136" s="4" t="n">
        <f aca="false">G1136*H1136</f>
        <v>768.57</v>
      </c>
      <c r="K1136" s="4" t="n">
        <f aca="false">G1136*I1136</f>
        <v>516.63</v>
      </c>
      <c r="L1136" s="4" t="n">
        <f aca="false">J1136-K1136</f>
        <v>251.94</v>
      </c>
    </row>
    <row r="1137" customFormat="false" ht="15" hidden="false" customHeight="false" outlineLevel="0" collapsed="false">
      <c r="A1137" s="0" t="n">
        <v>2091</v>
      </c>
      <c r="B1137" s="2" t="n">
        <v>45776</v>
      </c>
      <c r="C1137" s="3" t="s">
        <v>32</v>
      </c>
      <c r="D1137" s="3" t="s">
        <v>29</v>
      </c>
      <c r="E1137" s="3" t="s">
        <v>30</v>
      </c>
      <c r="F1137" s="3" t="s">
        <v>19</v>
      </c>
      <c r="G1137" s="0" t="n">
        <v>28</v>
      </c>
      <c r="H1137" s="4" t="n">
        <v>363.38</v>
      </c>
      <c r="I1137" s="4" t="n">
        <v>212.32</v>
      </c>
      <c r="J1137" s="4" t="n">
        <f aca="false">G1137*H1137</f>
        <v>10174.64</v>
      </c>
      <c r="K1137" s="4" t="n">
        <f aca="false">G1137*I1137</f>
        <v>5944.96</v>
      </c>
      <c r="L1137" s="4" t="n">
        <f aca="false">J1137-K1137</f>
        <v>4229.68</v>
      </c>
    </row>
    <row r="1138" customFormat="false" ht="15" hidden="false" customHeight="false" outlineLevel="0" collapsed="false">
      <c r="A1138" s="0" t="n">
        <v>1576</v>
      </c>
      <c r="B1138" s="2" t="n">
        <v>45777</v>
      </c>
      <c r="C1138" s="3" t="s">
        <v>32</v>
      </c>
      <c r="D1138" s="3" t="s">
        <v>20</v>
      </c>
      <c r="E1138" s="3" t="s">
        <v>21</v>
      </c>
      <c r="F1138" s="3" t="s">
        <v>22</v>
      </c>
      <c r="G1138" s="0" t="n">
        <v>19</v>
      </c>
      <c r="H1138" s="4" t="n">
        <v>253.79</v>
      </c>
      <c r="I1138" s="4" t="n">
        <v>159.86</v>
      </c>
      <c r="J1138" s="4" t="n">
        <f aca="false">G1138*H1138</f>
        <v>4822.01</v>
      </c>
      <c r="K1138" s="4" t="n">
        <f aca="false">G1138*I1138</f>
        <v>3037.34</v>
      </c>
      <c r="L1138" s="4" t="n">
        <f aca="false">J1138-K1138</f>
        <v>1784.67</v>
      </c>
    </row>
    <row r="1139" customFormat="false" ht="15" hidden="false" customHeight="false" outlineLevel="0" collapsed="false">
      <c r="A1139" s="0" t="n">
        <v>2492</v>
      </c>
      <c r="B1139" s="2" t="n">
        <v>45777</v>
      </c>
      <c r="C1139" s="3" t="s">
        <v>23</v>
      </c>
      <c r="D1139" s="3" t="s">
        <v>17</v>
      </c>
      <c r="E1139" s="3" t="s">
        <v>44</v>
      </c>
      <c r="F1139" s="3" t="s">
        <v>25</v>
      </c>
      <c r="G1139" s="0" t="n">
        <v>17</v>
      </c>
      <c r="H1139" s="4" t="n">
        <v>79.1</v>
      </c>
      <c r="I1139" s="4" t="n">
        <v>58.74</v>
      </c>
      <c r="J1139" s="4" t="n">
        <f aca="false">G1139*H1139</f>
        <v>1344.7</v>
      </c>
      <c r="K1139" s="4" t="n">
        <f aca="false">G1139*I1139</f>
        <v>998.58</v>
      </c>
      <c r="L1139" s="4" t="n">
        <f aca="false">J1139-K1139</f>
        <v>346.12</v>
      </c>
    </row>
    <row r="1140" customFormat="false" ht="15" hidden="false" customHeight="false" outlineLevel="0" collapsed="false">
      <c r="A1140" s="0" t="n">
        <v>2626</v>
      </c>
      <c r="B1140" s="2" t="n">
        <v>45778</v>
      </c>
      <c r="C1140" s="3" t="s">
        <v>32</v>
      </c>
      <c r="D1140" s="3" t="s">
        <v>17</v>
      </c>
      <c r="E1140" s="3" t="s">
        <v>35</v>
      </c>
      <c r="F1140" s="3" t="s">
        <v>22</v>
      </c>
      <c r="G1140" s="0" t="n">
        <v>5</v>
      </c>
      <c r="H1140" s="4" t="n">
        <v>569.66</v>
      </c>
      <c r="I1140" s="4" t="n">
        <v>331.68</v>
      </c>
      <c r="J1140" s="4" t="n">
        <f aca="false">G1140*H1140</f>
        <v>2848.3</v>
      </c>
      <c r="K1140" s="4" t="n">
        <f aca="false">G1140*I1140</f>
        <v>1658.4</v>
      </c>
      <c r="L1140" s="4" t="n">
        <f aca="false">J1140-K1140</f>
        <v>1189.9</v>
      </c>
    </row>
    <row r="1141" customFormat="false" ht="15" hidden="false" customHeight="false" outlineLevel="0" collapsed="false">
      <c r="A1141" s="0" t="n">
        <v>1395</v>
      </c>
      <c r="B1141" s="2" t="n">
        <v>45779</v>
      </c>
      <c r="C1141" s="3" t="s">
        <v>16</v>
      </c>
      <c r="D1141" s="3" t="s">
        <v>17</v>
      </c>
      <c r="E1141" s="3" t="s">
        <v>35</v>
      </c>
      <c r="F1141" s="3" t="s">
        <v>25</v>
      </c>
      <c r="G1141" s="0" t="n">
        <v>6</v>
      </c>
      <c r="H1141" s="4" t="n">
        <v>465.08</v>
      </c>
      <c r="I1141" s="4" t="n">
        <v>336.83</v>
      </c>
      <c r="J1141" s="4" t="n">
        <f aca="false">G1141*H1141</f>
        <v>2790.48</v>
      </c>
      <c r="K1141" s="4" t="n">
        <f aca="false">G1141*I1141</f>
        <v>2020.98</v>
      </c>
      <c r="L1141" s="4" t="n">
        <f aca="false">J1141-K1141</f>
        <v>769.5</v>
      </c>
    </row>
    <row r="1142" customFormat="false" ht="15" hidden="false" customHeight="false" outlineLevel="0" collapsed="false">
      <c r="A1142" s="0" t="n">
        <v>1412</v>
      </c>
      <c r="B1142" s="2" t="n">
        <v>45779</v>
      </c>
      <c r="C1142" s="3" t="s">
        <v>32</v>
      </c>
      <c r="D1142" s="3" t="s">
        <v>29</v>
      </c>
      <c r="E1142" s="3" t="s">
        <v>37</v>
      </c>
      <c r="F1142" s="3" t="s">
        <v>15</v>
      </c>
      <c r="G1142" s="0" t="n">
        <v>12</v>
      </c>
      <c r="H1142" s="4" t="n">
        <v>462.17</v>
      </c>
      <c r="I1142" s="4" t="n">
        <v>254.15</v>
      </c>
      <c r="J1142" s="4" t="n">
        <f aca="false">G1142*H1142</f>
        <v>5546.04</v>
      </c>
      <c r="K1142" s="4" t="n">
        <f aca="false">G1142*I1142</f>
        <v>3049.8</v>
      </c>
      <c r="L1142" s="4" t="n">
        <f aca="false">J1142-K1142</f>
        <v>2496.24</v>
      </c>
    </row>
    <row r="1143" customFormat="false" ht="15" hidden="false" customHeight="false" outlineLevel="0" collapsed="false">
      <c r="A1143" s="0" t="n">
        <v>1555</v>
      </c>
      <c r="B1143" s="2" t="n">
        <v>45779</v>
      </c>
      <c r="C1143" s="3" t="s">
        <v>12</v>
      </c>
      <c r="D1143" s="3" t="s">
        <v>13</v>
      </c>
      <c r="E1143" s="3" t="s">
        <v>24</v>
      </c>
      <c r="F1143" s="3" t="s">
        <v>15</v>
      </c>
      <c r="G1143" s="0" t="n">
        <v>34</v>
      </c>
      <c r="H1143" s="4" t="n">
        <v>16.64</v>
      </c>
      <c r="I1143" s="4" t="n">
        <v>10.8</v>
      </c>
      <c r="J1143" s="4" t="n">
        <f aca="false">G1143*H1143</f>
        <v>565.76</v>
      </c>
      <c r="K1143" s="4" t="n">
        <f aca="false">G1143*I1143</f>
        <v>367.2</v>
      </c>
      <c r="L1143" s="4" t="n">
        <f aca="false">J1143-K1143</f>
        <v>198.56</v>
      </c>
    </row>
    <row r="1144" customFormat="false" ht="15" hidden="false" customHeight="false" outlineLevel="0" collapsed="false">
      <c r="A1144" s="0" t="n">
        <v>1701</v>
      </c>
      <c r="B1144" s="2" t="n">
        <v>45779</v>
      </c>
      <c r="C1144" s="3" t="s">
        <v>16</v>
      </c>
      <c r="D1144" s="3" t="s">
        <v>17</v>
      </c>
      <c r="E1144" s="3" t="s">
        <v>27</v>
      </c>
      <c r="F1144" s="3" t="s">
        <v>19</v>
      </c>
      <c r="G1144" s="0" t="n">
        <v>2</v>
      </c>
      <c r="H1144" s="4" t="n">
        <v>290.97</v>
      </c>
      <c r="I1144" s="4" t="n">
        <v>187.64</v>
      </c>
      <c r="J1144" s="4" t="n">
        <f aca="false">G1144*H1144</f>
        <v>581.94</v>
      </c>
      <c r="K1144" s="4" t="n">
        <f aca="false">G1144*I1144</f>
        <v>375.28</v>
      </c>
      <c r="L1144" s="4" t="n">
        <f aca="false">J1144-K1144</f>
        <v>206.66</v>
      </c>
    </row>
    <row r="1145" customFormat="false" ht="15" hidden="false" customHeight="false" outlineLevel="0" collapsed="false">
      <c r="A1145" s="0" t="n">
        <v>1066</v>
      </c>
      <c r="B1145" s="2" t="n">
        <v>45781</v>
      </c>
      <c r="C1145" s="3" t="s">
        <v>26</v>
      </c>
      <c r="D1145" s="3" t="s">
        <v>17</v>
      </c>
      <c r="E1145" s="3" t="s">
        <v>18</v>
      </c>
      <c r="F1145" s="3" t="s">
        <v>28</v>
      </c>
      <c r="G1145" s="0" t="n">
        <v>5</v>
      </c>
      <c r="H1145" s="4" t="n">
        <v>544.7</v>
      </c>
      <c r="I1145" s="4" t="n">
        <v>401.6</v>
      </c>
      <c r="J1145" s="4" t="n">
        <f aca="false">G1145*H1145</f>
        <v>2723.5</v>
      </c>
      <c r="K1145" s="4" t="n">
        <f aca="false">G1145*I1145</f>
        <v>2008</v>
      </c>
      <c r="L1145" s="4" t="n">
        <f aca="false">J1145-K1145</f>
        <v>715.5</v>
      </c>
    </row>
    <row r="1146" customFormat="false" ht="15" hidden="false" customHeight="false" outlineLevel="0" collapsed="false">
      <c r="A1146" s="0" t="n">
        <v>1343</v>
      </c>
      <c r="B1146" s="2" t="n">
        <v>45781</v>
      </c>
      <c r="C1146" s="3" t="s">
        <v>23</v>
      </c>
      <c r="D1146" s="3" t="s">
        <v>13</v>
      </c>
      <c r="E1146" s="3" t="s">
        <v>45</v>
      </c>
      <c r="F1146" s="3" t="s">
        <v>19</v>
      </c>
      <c r="G1146" s="0" t="n">
        <v>4</v>
      </c>
      <c r="H1146" s="4" t="n">
        <v>51.13</v>
      </c>
      <c r="I1146" s="4" t="n">
        <v>31.73</v>
      </c>
      <c r="J1146" s="4" t="n">
        <f aca="false">G1146*H1146</f>
        <v>204.52</v>
      </c>
      <c r="K1146" s="4" t="n">
        <f aca="false">G1146*I1146</f>
        <v>126.92</v>
      </c>
      <c r="L1146" s="4" t="n">
        <f aca="false">J1146-K1146</f>
        <v>77.6</v>
      </c>
    </row>
    <row r="1147" customFormat="false" ht="15" hidden="false" customHeight="false" outlineLevel="0" collapsed="false">
      <c r="A1147" s="0" t="n">
        <v>2503</v>
      </c>
      <c r="B1147" s="2" t="n">
        <v>45781</v>
      </c>
      <c r="C1147" s="3" t="s">
        <v>26</v>
      </c>
      <c r="D1147" s="3" t="s">
        <v>20</v>
      </c>
      <c r="E1147" s="3" t="s">
        <v>21</v>
      </c>
      <c r="F1147" s="3" t="s">
        <v>39</v>
      </c>
      <c r="G1147" s="0" t="n">
        <v>26</v>
      </c>
      <c r="H1147" s="4" t="n">
        <v>24.33</v>
      </c>
      <c r="I1147" s="4" t="n">
        <v>16.82</v>
      </c>
      <c r="J1147" s="4" t="n">
        <f aca="false">G1147*H1147</f>
        <v>632.58</v>
      </c>
      <c r="K1147" s="4" t="n">
        <f aca="false">G1147*I1147</f>
        <v>437.32</v>
      </c>
      <c r="L1147" s="4" t="n">
        <f aca="false">J1147-K1147</f>
        <v>195.26</v>
      </c>
    </row>
    <row r="1148" customFormat="false" ht="15" hidden="false" customHeight="false" outlineLevel="0" collapsed="false">
      <c r="A1148" s="0" t="n">
        <v>2616</v>
      </c>
      <c r="B1148" s="2" t="n">
        <v>45781</v>
      </c>
      <c r="C1148" s="3" t="s">
        <v>23</v>
      </c>
      <c r="D1148" s="3" t="s">
        <v>29</v>
      </c>
      <c r="E1148" s="3" t="s">
        <v>41</v>
      </c>
      <c r="F1148" s="3" t="s">
        <v>19</v>
      </c>
      <c r="G1148" s="0" t="n">
        <v>21</v>
      </c>
      <c r="H1148" s="4" t="n">
        <v>123.54</v>
      </c>
      <c r="I1148" s="4" t="n">
        <v>83.67</v>
      </c>
      <c r="J1148" s="4" t="n">
        <f aca="false">G1148*H1148</f>
        <v>2594.34</v>
      </c>
      <c r="K1148" s="4" t="n">
        <f aca="false">G1148*I1148</f>
        <v>1757.07</v>
      </c>
      <c r="L1148" s="4" t="n">
        <f aca="false">J1148-K1148</f>
        <v>837.27</v>
      </c>
    </row>
    <row r="1149" customFormat="false" ht="15" hidden="false" customHeight="false" outlineLevel="0" collapsed="false">
      <c r="A1149" s="0" t="n">
        <v>1179</v>
      </c>
      <c r="B1149" s="2" t="n">
        <v>45782</v>
      </c>
      <c r="C1149" s="3" t="s">
        <v>12</v>
      </c>
      <c r="D1149" s="3" t="s">
        <v>13</v>
      </c>
      <c r="E1149" s="3" t="s">
        <v>46</v>
      </c>
      <c r="F1149" s="3" t="s">
        <v>15</v>
      </c>
      <c r="G1149" s="0" t="n">
        <v>36</v>
      </c>
      <c r="H1149" s="4" t="n">
        <v>10.82</v>
      </c>
      <c r="I1149" s="4" t="n">
        <v>6.07</v>
      </c>
      <c r="J1149" s="4" t="n">
        <f aca="false">G1149*H1149</f>
        <v>389.52</v>
      </c>
      <c r="K1149" s="4" t="n">
        <f aca="false">G1149*I1149</f>
        <v>218.52</v>
      </c>
      <c r="L1149" s="4" t="n">
        <f aca="false">J1149-K1149</f>
        <v>171</v>
      </c>
    </row>
    <row r="1150" customFormat="false" ht="15" hidden="false" customHeight="false" outlineLevel="0" collapsed="false">
      <c r="A1150" s="0" t="n">
        <v>1229</v>
      </c>
      <c r="B1150" s="2" t="n">
        <v>45782</v>
      </c>
      <c r="C1150" s="3" t="s">
        <v>16</v>
      </c>
      <c r="D1150" s="3" t="s">
        <v>20</v>
      </c>
      <c r="E1150" s="3" t="s">
        <v>21</v>
      </c>
      <c r="F1150" s="3" t="s">
        <v>22</v>
      </c>
      <c r="G1150" s="0" t="n">
        <v>24</v>
      </c>
      <c r="H1150" s="4" t="n">
        <v>276.03</v>
      </c>
      <c r="I1150" s="4" t="n">
        <v>145.56</v>
      </c>
      <c r="J1150" s="4" t="n">
        <f aca="false">G1150*H1150</f>
        <v>6624.72</v>
      </c>
      <c r="K1150" s="4" t="n">
        <f aca="false">G1150*I1150</f>
        <v>3493.44</v>
      </c>
      <c r="L1150" s="4" t="n">
        <f aca="false">J1150-K1150</f>
        <v>3131.28</v>
      </c>
    </row>
    <row r="1151" customFormat="false" ht="15" hidden="false" customHeight="false" outlineLevel="0" collapsed="false">
      <c r="A1151" s="0" t="n">
        <v>1847</v>
      </c>
      <c r="B1151" s="2" t="n">
        <v>45782</v>
      </c>
      <c r="C1151" s="3" t="s">
        <v>26</v>
      </c>
      <c r="D1151" s="3" t="s">
        <v>20</v>
      </c>
      <c r="E1151" s="3" t="s">
        <v>42</v>
      </c>
      <c r="F1151" s="3" t="s">
        <v>15</v>
      </c>
      <c r="G1151" s="0" t="n">
        <v>8</v>
      </c>
      <c r="H1151" s="4" t="n">
        <v>137.06</v>
      </c>
      <c r="I1151" s="4" t="n">
        <v>79.49</v>
      </c>
      <c r="J1151" s="4" t="n">
        <f aca="false">G1151*H1151</f>
        <v>1096.48</v>
      </c>
      <c r="K1151" s="4" t="n">
        <f aca="false">G1151*I1151</f>
        <v>635.92</v>
      </c>
      <c r="L1151" s="4" t="n">
        <f aca="false">J1151-K1151</f>
        <v>460.56</v>
      </c>
    </row>
    <row r="1152" customFormat="false" ht="15" hidden="false" customHeight="false" outlineLevel="0" collapsed="false">
      <c r="A1152" s="0" t="n">
        <v>2088</v>
      </c>
      <c r="B1152" s="2" t="n">
        <v>45784</v>
      </c>
      <c r="C1152" s="3" t="s">
        <v>26</v>
      </c>
      <c r="D1152" s="3" t="s">
        <v>29</v>
      </c>
      <c r="E1152" s="3" t="s">
        <v>41</v>
      </c>
      <c r="F1152" s="3" t="s">
        <v>19</v>
      </c>
      <c r="G1152" s="0" t="n">
        <v>11</v>
      </c>
      <c r="H1152" s="4" t="n">
        <v>124.7</v>
      </c>
      <c r="I1152" s="4" t="n">
        <v>73.15</v>
      </c>
      <c r="J1152" s="4" t="n">
        <f aca="false">G1152*H1152</f>
        <v>1371.7</v>
      </c>
      <c r="K1152" s="4" t="n">
        <f aca="false">G1152*I1152</f>
        <v>804.65</v>
      </c>
      <c r="L1152" s="4" t="n">
        <f aca="false">J1152-K1152</f>
        <v>567.05</v>
      </c>
    </row>
    <row r="1153" customFormat="false" ht="15" hidden="false" customHeight="false" outlineLevel="0" collapsed="false">
      <c r="A1153" s="0" t="n">
        <v>2168</v>
      </c>
      <c r="B1153" s="2" t="n">
        <v>45784</v>
      </c>
      <c r="C1153" s="3" t="s">
        <v>23</v>
      </c>
      <c r="D1153" s="3" t="s">
        <v>29</v>
      </c>
      <c r="E1153" s="3" t="s">
        <v>37</v>
      </c>
      <c r="F1153" s="3" t="s">
        <v>36</v>
      </c>
      <c r="G1153" s="0" t="n">
        <v>29</v>
      </c>
      <c r="H1153" s="4" t="n">
        <v>190.38</v>
      </c>
      <c r="I1153" s="4" t="n">
        <v>130.65</v>
      </c>
      <c r="J1153" s="4" t="n">
        <f aca="false">G1153*H1153</f>
        <v>5521.02</v>
      </c>
      <c r="K1153" s="4" t="n">
        <f aca="false">G1153*I1153</f>
        <v>3788.85</v>
      </c>
      <c r="L1153" s="4" t="n">
        <f aca="false">J1153-K1153</f>
        <v>1732.17</v>
      </c>
    </row>
    <row r="1154" customFormat="false" ht="15" hidden="false" customHeight="false" outlineLevel="0" collapsed="false">
      <c r="A1154" s="0" t="n">
        <v>1515</v>
      </c>
      <c r="B1154" s="2" t="n">
        <v>45785</v>
      </c>
      <c r="C1154" s="3" t="s">
        <v>23</v>
      </c>
      <c r="D1154" s="3" t="s">
        <v>17</v>
      </c>
      <c r="E1154" s="3" t="s">
        <v>40</v>
      </c>
      <c r="F1154" s="3" t="s">
        <v>39</v>
      </c>
      <c r="G1154" s="0" t="n">
        <v>38</v>
      </c>
      <c r="H1154" s="4" t="n">
        <v>422.16</v>
      </c>
      <c r="I1154" s="4" t="n">
        <v>284.34</v>
      </c>
      <c r="J1154" s="4" t="n">
        <f aca="false">G1154*H1154</f>
        <v>16042.08</v>
      </c>
      <c r="K1154" s="4" t="n">
        <f aca="false">G1154*I1154</f>
        <v>10804.92</v>
      </c>
      <c r="L1154" s="4" t="n">
        <f aca="false">J1154-K1154</f>
        <v>5237.16</v>
      </c>
    </row>
    <row r="1155" customFormat="false" ht="15" hidden="false" customHeight="false" outlineLevel="0" collapsed="false">
      <c r="A1155" s="0" t="n">
        <v>2659</v>
      </c>
      <c r="B1155" s="2" t="n">
        <v>45785</v>
      </c>
      <c r="C1155" s="3" t="s">
        <v>26</v>
      </c>
      <c r="D1155" s="3" t="s">
        <v>17</v>
      </c>
      <c r="E1155" s="3" t="s">
        <v>40</v>
      </c>
      <c r="F1155" s="3" t="s">
        <v>22</v>
      </c>
      <c r="G1155" s="0" t="n">
        <v>6</v>
      </c>
      <c r="H1155" s="4" t="n">
        <v>157.58</v>
      </c>
      <c r="I1155" s="4" t="n">
        <v>97.06</v>
      </c>
      <c r="J1155" s="4" t="n">
        <f aca="false">G1155*H1155</f>
        <v>945.48</v>
      </c>
      <c r="K1155" s="4" t="n">
        <f aca="false">G1155*I1155</f>
        <v>582.36</v>
      </c>
      <c r="L1155" s="4" t="n">
        <f aca="false">J1155-K1155</f>
        <v>363.12</v>
      </c>
    </row>
    <row r="1156" customFormat="false" ht="15" hidden="false" customHeight="false" outlineLevel="0" collapsed="false">
      <c r="A1156" s="0" t="n">
        <v>1345</v>
      </c>
      <c r="B1156" s="2" t="n">
        <v>45786</v>
      </c>
      <c r="C1156" s="3" t="s">
        <v>23</v>
      </c>
      <c r="D1156" s="3" t="s">
        <v>17</v>
      </c>
      <c r="E1156" s="3" t="s">
        <v>18</v>
      </c>
      <c r="F1156" s="3" t="s">
        <v>28</v>
      </c>
      <c r="G1156" s="0" t="n">
        <v>3</v>
      </c>
      <c r="H1156" s="4" t="n">
        <v>113.2</v>
      </c>
      <c r="I1156" s="4" t="n">
        <v>71.45</v>
      </c>
      <c r="J1156" s="4" t="n">
        <f aca="false">G1156*H1156</f>
        <v>339.6</v>
      </c>
      <c r="K1156" s="4" t="n">
        <f aca="false">G1156*I1156</f>
        <v>214.35</v>
      </c>
      <c r="L1156" s="4" t="n">
        <f aca="false">J1156-K1156</f>
        <v>125.25</v>
      </c>
    </row>
    <row r="1157" customFormat="false" ht="15" hidden="false" customHeight="false" outlineLevel="0" collapsed="false">
      <c r="A1157" s="0" t="n">
        <v>2518</v>
      </c>
      <c r="B1157" s="2" t="n">
        <v>45786</v>
      </c>
      <c r="C1157" s="3" t="s">
        <v>12</v>
      </c>
      <c r="D1157" s="3" t="s">
        <v>29</v>
      </c>
      <c r="E1157" s="3" t="s">
        <v>41</v>
      </c>
      <c r="F1157" s="3" t="s">
        <v>19</v>
      </c>
      <c r="G1157" s="0" t="n">
        <v>37</v>
      </c>
      <c r="H1157" s="4" t="n">
        <v>173.09</v>
      </c>
      <c r="I1157" s="4" t="n">
        <v>101.4</v>
      </c>
      <c r="J1157" s="4" t="n">
        <f aca="false">G1157*H1157</f>
        <v>6404.33</v>
      </c>
      <c r="K1157" s="4" t="n">
        <f aca="false">G1157*I1157</f>
        <v>3751.8</v>
      </c>
      <c r="L1157" s="4" t="n">
        <f aca="false">J1157-K1157</f>
        <v>2652.53</v>
      </c>
    </row>
    <row r="1158" customFormat="false" ht="15" hidden="false" customHeight="false" outlineLevel="0" collapsed="false">
      <c r="A1158" s="0" t="n">
        <v>2662</v>
      </c>
      <c r="B1158" s="2" t="n">
        <v>45787</v>
      </c>
      <c r="C1158" s="3" t="s">
        <v>32</v>
      </c>
      <c r="D1158" s="3" t="s">
        <v>17</v>
      </c>
      <c r="E1158" s="3" t="s">
        <v>35</v>
      </c>
      <c r="F1158" s="3" t="s">
        <v>15</v>
      </c>
      <c r="G1158" s="0" t="n">
        <v>36</v>
      </c>
      <c r="H1158" s="4" t="n">
        <v>657.56</v>
      </c>
      <c r="I1158" s="4" t="n">
        <v>459.87</v>
      </c>
      <c r="J1158" s="4" t="n">
        <f aca="false">G1158*H1158</f>
        <v>23672.16</v>
      </c>
      <c r="K1158" s="4" t="n">
        <f aca="false">G1158*I1158</f>
        <v>16555.32</v>
      </c>
      <c r="L1158" s="4" t="n">
        <f aca="false">J1158-K1158</f>
        <v>7116.84</v>
      </c>
    </row>
    <row r="1159" customFormat="false" ht="15" hidden="false" customHeight="false" outlineLevel="0" collapsed="false">
      <c r="A1159" s="0" t="n">
        <v>2752</v>
      </c>
      <c r="B1159" s="2" t="n">
        <v>45787</v>
      </c>
      <c r="C1159" s="3" t="s">
        <v>12</v>
      </c>
      <c r="D1159" s="3" t="s">
        <v>17</v>
      </c>
      <c r="E1159" s="3" t="s">
        <v>35</v>
      </c>
      <c r="F1159" s="3" t="s">
        <v>19</v>
      </c>
      <c r="G1159" s="0" t="n">
        <v>9</v>
      </c>
      <c r="H1159" s="4" t="n">
        <v>427.79</v>
      </c>
      <c r="I1159" s="4" t="n">
        <v>250.16</v>
      </c>
      <c r="J1159" s="4" t="n">
        <f aca="false">G1159*H1159</f>
        <v>3850.11</v>
      </c>
      <c r="K1159" s="4" t="n">
        <f aca="false">G1159*I1159</f>
        <v>2251.44</v>
      </c>
      <c r="L1159" s="4" t="n">
        <f aca="false">J1159-K1159</f>
        <v>1598.67</v>
      </c>
    </row>
    <row r="1160" customFormat="false" ht="15" hidden="false" customHeight="false" outlineLevel="0" collapsed="false">
      <c r="A1160" s="0" t="n">
        <v>1022</v>
      </c>
      <c r="B1160" s="2" t="n">
        <v>45789</v>
      </c>
      <c r="C1160" s="3" t="s">
        <v>23</v>
      </c>
      <c r="D1160" s="3" t="s">
        <v>13</v>
      </c>
      <c r="E1160" s="3" t="s">
        <v>14</v>
      </c>
      <c r="F1160" s="3" t="s">
        <v>22</v>
      </c>
      <c r="G1160" s="0" t="n">
        <v>11</v>
      </c>
      <c r="H1160" s="4" t="n">
        <v>59.16</v>
      </c>
      <c r="I1160" s="4" t="n">
        <v>36.31</v>
      </c>
      <c r="J1160" s="4" t="n">
        <f aca="false">G1160*H1160</f>
        <v>650.76</v>
      </c>
      <c r="K1160" s="4" t="n">
        <f aca="false">G1160*I1160</f>
        <v>399.41</v>
      </c>
      <c r="L1160" s="4" t="n">
        <f aca="false">J1160-K1160</f>
        <v>251.35</v>
      </c>
    </row>
    <row r="1161" customFormat="false" ht="15" hidden="false" customHeight="false" outlineLevel="0" collapsed="false">
      <c r="A1161" s="0" t="n">
        <v>2654</v>
      </c>
      <c r="B1161" s="2" t="n">
        <v>45789</v>
      </c>
      <c r="C1161" s="3" t="s">
        <v>26</v>
      </c>
      <c r="D1161" s="3" t="s">
        <v>29</v>
      </c>
      <c r="E1161" s="3" t="s">
        <v>41</v>
      </c>
      <c r="F1161" s="3" t="s">
        <v>19</v>
      </c>
      <c r="G1161" s="0" t="n">
        <v>1</v>
      </c>
      <c r="H1161" s="4" t="n">
        <v>434.72</v>
      </c>
      <c r="I1161" s="4" t="n">
        <v>307.62</v>
      </c>
      <c r="J1161" s="4" t="n">
        <f aca="false">G1161*H1161</f>
        <v>434.72</v>
      </c>
      <c r="K1161" s="4" t="n">
        <f aca="false">G1161*I1161</f>
        <v>307.62</v>
      </c>
      <c r="L1161" s="4" t="n">
        <f aca="false">J1161-K1161</f>
        <v>127.1</v>
      </c>
    </row>
    <row r="1162" customFormat="false" ht="15" hidden="false" customHeight="false" outlineLevel="0" collapsed="false">
      <c r="A1162" s="0" t="n">
        <v>2756</v>
      </c>
      <c r="B1162" s="2" t="n">
        <v>45789</v>
      </c>
      <c r="C1162" s="3" t="s">
        <v>23</v>
      </c>
      <c r="D1162" s="3" t="s">
        <v>29</v>
      </c>
      <c r="E1162" s="3" t="s">
        <v>43</v>
      </c>
      <c r="F1162" s="3" t="s">
        <v>28</v>
      </c>
      <c r="G1162" s="0" t="n">
        <v>19</v>
      </c>
      <c r="H1162" s="4" t="n">
        <v>80.5</v>
      </c>
      <c r="I1162" s="4" t="n">
        <v>51.55</v>
      </c>
      <c r="J1162" s="4" t="n">
        <f aca="false">G1162*H1162</f>
        <v>1529.5</v>
      </c>
      <c r="K1162" s="4" t="n">
        <f aca="false">G1162*I1162</f>
        <v>979.45</v>
      </c>
      <c r="L1162" s="4" t="n">
        <f aca="false">J1162-K1162</f>
        <v>550.05</v>
      </c>
    </row>
    <row r="1163" customFormat="false" ht="15" hidden="false" customHeight="false" outlineLevel="0" collapsed="false">
      <c r="A1163" s="0" t="n">
        <v>2181</v>
      </c>
      <c r="B1163" s="2" t="n">
        <v>45790</v>
      </c>
      <c r="C1163" s="3" t="s">
        <v>32</v>
      </c>
      <c r="D1163" s="3" t="s">
        <v>13</v>
      </c>
      <c r="E1163" s="3" t="s">
        <v>46</v>
      </c>
      <c r="F1163" s="3" t="s">
        <v>25</v>
      </c>
      <c r="G1163" s="0" t="n">
        <v>6</v>
      </c>
      <c r="H1163" s="4" t="n">
        <v>37.39</v>
      </c>
      <c r="I1163" s="4" t="n">
        <v>26.82</v>
      </c>
      <c r="J1163" s="4" t="n">
        <f aca="false">G1163*H1163</f>
        <v>224.34</v>
      </c>
      <c r="K1163" s="4" t="n">
        <f aca="false">G1163*I1163</f>
        <v>160.92</v>
      </c>
      <c r="L1163" s="4" t="n">
        <f aca="false">J1163-K1163</f>
        <v>63.42</v>
      </c>
    </row>
    <row r="1164" customFormat="false" ht="15" hidden="false" customHeight="false" outlineLevel="0" collapsed="false">
      <c r="A1164" s="0" t="n">
        <v>1672</v>
      </c>
      <c r="B1164" s="2" t="n">
        <v>45791</v>
      </c>
      <c r="C1164" s="3" t="s">
        <v>23</v>
      </c>
      <c r="D1164" s="3" t="s">
        <v>20</v>
      </c>
      <c r="E1164" s="3" t="s">
        <v>21</v>
      </c>
      <c r="F1164" s="3" t="s">
        <v>39</v>
      </c>
      <c r="G1164" s="0" t="n">
        <v>4</v>
      </c>
      <c r="H1164" s="4" t="n">
        <v>37.78</v>
      </c>
      <c r="I1164" s="4" t="n">
        <v>27.32</v>
      </c>
      <c r="J1164" s="4" t="n">
        <f aca="false">G1164*H1164</f>
        <v>151.12</v>
      </c>
      <c r="K1164" s="4" t="n">
        <f aca="false">G1164*I1164</f>
        <v>109.28</v>
      </c>
      <c r="L1164" s="4" t="n">
        <f aca="false">J1164-K1164</f>
        <v>41.84</v>
      </c>
    </row>
    <row r="1165" customFormat="false" ht="15" hidden="false" customHeight="false" outlineLevel="0" collapsed="false">
      <c r="A1165" s="0" t="n">
        <v>1838</v>
      </c>
      <c r="B1165" s="2" t="n">
        <v>45791</v>
      </c>
      <c r="C1165" s="3" t="s">
        <v>26</v>
      </c>
      <c r="D1165" s="3" t="s">
        <v>13</v>
      </c>
      <c r="E1165" s="3" t="s">
        <v>31</v>
      </c>
      <c r="F1165" s="3" t="s">
        <v>39</v>
      </c>
      <c r="G1165" s="0" t="n">
        <v>31</v>
      </c>
      <c r="H1165" s="4" t="n">
        <v>20.06</v>
      </c>
      <c r="I1165" s="4" t="n">
        <v>14.1</v>
      </c>
      <c r="J1165" s="4" t="n">
        <f aca="false">G1165*H1165</f>
        <v>621.86</v>
      </c>
      <c r="K1165" s="4" t="n">
        <f aca="false">G1165*I1165</f>
        <v>437.1</v>
      </c>
      <c r="L1165" s="4" t="n">
        <f aca="false">J1165-K1165</f>
        <v>184.76</v>
      </c>
    </row>
    <row r="1166" customFormat="false" ht="15" hidden="false" customHeight="false" outlineLevel="0" collapsed="false">
      <c r="A1166" s="0" t="n">
        <v>1924</v>
      </c>
      <c r="B1166" s="2" t="n">
        <v>45791</v>
      </c>
      <c r="C1166" s="3" t="s">
        <v>23</v>
      </c>
      <c r="D1166" s="3" t="s">
        <v>20</v>
      </c>
      <c r="E1166" s="3" t="s">
        <v>21</v>
      </c>
      <c r="F1166" s="3" t="s">
        <v>15</v>
      </c>
      <c r="G1166" s="0" t="n">
        <v>21</v>
      </c>
      <c r="H1166" s="4" t="n">
        <v>178.8</v>
      </c>
      <c r="I1166" s="4" t="n">
        <v>106.12</v>
      </c>
      <c r="J1166" s="4" t="n">
        <f aca="false">G1166*H1166</f>
        <v>3754.8</v>
      </c>
      <c r="K1166" s="4" t="n">
        <f aca="false">G1166*I1166</f>
        <v>2228.52</v>
      </c>
      <c r="L1166" s="4" t="n">
        <f aca="false">J1166-K1166</f>
        <v>1526.28</v>
      </c>
    </row>
    <row r="1167" customFormat="false" ht="15" hidden="false" customHeight="false" outlineLevel="0" collapsed="false">
      <c r="A1167" s="0" t="n">
        <v>2221</v>
      </c>
      <c r="B1167" s="2" t="n">
        <v>45791</v>
      </c>
      <c r="C1167" s="3" t="s">
        <v>32</v>
      </c>
      <c r="D1167" s="3" t="s">
        <v>17</v>
      </c>
      <c r="E1167" s="3" t="s">
        <v>18</v>
      </c>
      <c r="F1167" s="3" t="s">
        <v>22</v>
      </c>
      <c r="G1167" s="0" t="n">
        <v>29</v>
      </c>
      <c r="H1167" s="4" t="n">
        <v>168.27</v>
      </c>
      <c r="I1167" s="4" t="n">
        <v>90.82</v>
      </c>
      <c r="J1167" s="4" t="n">
        <f aca="false">G1167*H1167</f>
        <v>4879.83</v>
      </c>
      <c r="K1167" s="4" t="n">
        <f aca="false">G1167*I1167</f>
        <v>2633.78</v>
      </c>
      <c r="L1167" s="4" t="n">
        <f aca="false">J1167-K1167</f>
        <v>2246.05</v>
      </c>
    </row>
    <row r="1168" customFormat="false" ht="15" hidden="false" customHeight="false" outlineLevel="0" collapsed="false">
      <c r="A1168" s="0" t="n">
        <v>1950</v>
      </c>
      <c r="B1168" s="2" t="n">
        <v>45792</v>
      </c>
      <c r="C1168" s="3" t="s">
        <v>12</v>
      </c>
      <c r="D1168" s="3" t="s">
        <v>20</v>
      </c>
      <c r="E1168" s="3" t="s">
        <v>42</v>
      </c>
      <c r="F1168" s="3" t="s">
        <v>22</v>
      </c>
      <c r="G1168" s="0" t="n">
        <v>2</v>
      </c>
      <c r="H1168" s="4" t="n">
        <v>167.08</v>
      </c>
      <c r="I1168" s="4" t="n">
        <v>90.53</v>
      </c>
      <c r="J1168" s="4" t="n">
        <f aca="false">G1168*H1168</f>
        <v>334.16</v>
      </c>
      <c r="K1168" s="4" t="n">
        <f aca="false">G1168*I1168</f>
        <v>181.06</v>
      </c>
      <c r="L1168" s="4" t="n">
        <f aca="false">J1168-K1168</f>
        <v>153.1</v>
      </c>
    </row>
    <row r="1169" customFormat="false" ht="15" hidden="false" customHeight="false" outlineLevel="0" collapsed="false">
      <c r="A1169" s="0" t="n">
        <v>2222</v>
      </c>
      <c r="B1169" s="2" t="n">
        <v>45792</v>
      </c>
      <c r="C1169" s="3" t="s">
        <v>26</v>
      </c>
      <c r="D1169" s="3" t="s">
        <v>13</v>
      </c>
      <c r="E1169" s="3" t="s">
        <v>46</v>
      </c>
      <c r="F1169" s="3" t="s">
        <v>33</v>
      </c>
      <c r="G1169" s="0" t="n">
        <v>11</v>
      </c>
      <c r="H1169" s="4" t="n">
        <v>17.62</v>
      </c>
      <c r="I1169" s="4" t="n">
        <v>10.56</v>
      </c>
      <c r="J1169" s="4" t="n">
        <f aca="false">G1169*H1169</f>
        <v>193.82</v>
      </c>
      <c r="K1169" s="4" t="n">
        <f aca="false">G1169*I1169</f>
        <v>116.16</v>
      </c>
      <c r="L1169" s="4" t="n">
        <f aca="false">J1169-K1169</f>
        <v>77.66</v>
      </c>
    </row>
    <row r="1170" customFormat="false" ht="15" hidden="false" customHeight="false" outlineLevel="0" collapsed="false">
      <c r="A1170" s="0" t="n">
        <v>1100</v>
      </c>
      <c r="B1170" s="2" t="n">
        <v>45793</v>
      </c>
      <c r="C1170" s="3" t="s">
        <v>16</v>
      </c>
      <c r="D1170" s="3" t="s">
        <v>20</v>
      </c>
      <c r="E1170" s="3" t="s">
        <v>38</v>
      </c>
      <c r="F1170" s="3" t="s">
        <v>22</v>
      </c>
      <c r="G1170" s="0" t="n">
        <v>24</v>
      </c>
      <c r="H1170" s="4" t="n">
        <v>121.55</v>
      </c>
      <c r="I1170" s="4" t="n">
        <v>90.58</v>
      </c>
      <c r="J1170" s="4" t="n">
        <f aca="false">G1170*H1170</f>
        <v>2917.2</v>
      </c>
      <c r="K1170" s="4" t="n">
        <f aca="false">G1170*I1170</f>
        <v>2173.92</v>
      </c>
      <c r="L1170" s="4" t="n">
        <f aca="false">J1170-K1170</f>
        <v>743.28</v>
      </c>
    </row>
    <row r="1171" customFormat="false" ht="15" hidden="false" customHeight="false" outlineLevel="0" collapsed="false">
      <c r="A1171" s="0" t="n">
        <v>1241</v>
      </c>
      <c r="B1171" s="2" t="n">
        <v>45793</v>
      </c>
      <c r="C1171" s="3" t="s">
        <v>32</v>
      </c>
      <c r="D1171" s="3" t="s">
        <v>13</v>
      </c>
      <c r="E1171" s="3" t="s">
        <v>24</v>
      </c>
      <c r="F1171" s="3" t="s">
        <v>33</v>
      </c>
      <c r="G1171" s="0" t="n">
        <v>29</v>
      </c>
      <c r="H1171" s="4" t="n">
        <v>52.33</v>
      </c>
      <c r="I1171" s="4" t="n">
        <v>28.72</v>
      </c>
      <c r="J1171" s="4" t="n">
        <f aca="false">G1171*H1171</f>
        <v>1517.57</v>
      </c>
      <c r="K1171" s="4" t="n">
        <f aca="false">G1171*I1171</f>
        <v>832.88</v>
      </c>
      <c r="L1171" s="4" t="n">
        <f aca="false">J1171-K1171</f>
        <v>684.69</v>
      </c>
    </row>
    <row r="1172" customFormat="false" ht="15" hidden="false" customHeight="false" outlineLevel="0" collapsed="false">
      <c r="A1172" s="0" t="n">
        <v>1249</v>
      </c>
      <c r="B1172" s="2" t="n">
        <v>45793</v>
      </c>
      <c r="C1172" s="3" t="s">
        <v>12</v>
      </c>
      <c r="D1172" s="3" t="s">
        <v>29</v>
      </c>
      <c r="E1172" s="3" t="s">
        <v>41</v>
      </c>
      <c r="F1172" s="3" t="s">
        <v>36</v>
      </c>
      <c r="G1172" s="0" t="n">
        <v>29</v>
      </c>
      <c r="H1172" s="4" t="n">
        <v>402.93</v>
      </c>
      <c r="I1172" s="4" t="n">
        <v>276.99</v>
      </c>
      <c r="J1172" s="4" t="n">
        <f aca="false">G1172*H1172</f>
        <v>11684.97</v>
      </c>
      <c r="K1172" s="4" t="n">
        <f aca="false">G1172*I1172</f>
        <v>8032.71</v>
      </c>
      <c r="L1172" s="4" t="n">
        <f aca="false">J1172-K1172</f>
        <v>3652.26</v>
      </c>
    </row>
    <row r="1173" customFormat="false" ht="15" hidden="false" customHeight="false" outlineLevel="0" collapsed="false">
      <c r="A1173" s="0" t="n">
        <v>2061</v>
      </c>
      <c r="B1173" s="2" t="n">
        <v>45793</v>
      </c>
      <c r="C1173" s="3" t="s">
        <v>32</v>
      </c>
      <c r="D1173" s="3" t="s">
        <v>17</v>
      </c>
      <c r="E1173" s="3" t="s">
        <v>35</v>
      </c>
      <c r="F1173" s="3" t="s">
        <v>36</v>
      </c>
      <c r="G1173" s="0" t="n">
        <v>23</v>
      </c>
      <c r="H1173" s="4" t="n">
        <v>209.53</v>
      </c>
      <c r="I1173" s="4" t="n">
        <v>122.89</v>
      </c>
      <c r="J1173" s="4" t="n">
        <f aca="false">G1173*H1173</f>
        <v>4819.19</v>
      </c>
      <c r="K1173" s="4" t="n">
        <f aca="false">G1173*I1173</f>
        <v>2826.47</v>
      </c>
      <c r="L1173" s="4" t="n">
        <f aca="false">J1173-K1173</f>
        <v>1992.72</v>
      </c>
    </row>
    <row r="1174" customFormat="false" ht="15" hidden="false" customHeight="false" outlineLevel="0" collapsed="false">
      <c r="A1174" s="0" t="n">
        <v>1544</v>
      </c>
      <c r="B1174" s="2" t="n">
        <v>45794</v>
      </c>
      <c r="C1174" s="3" t="s">
        <v>23</v>
      </c>
      <c r="D1174" s="3" t="s">
        <v>20</v>
      </c>
      <c r="E1174" s="3" t="s">
        <v>21</v>
      </c>
      <c r="F1174" s="3" t="s">
        <v>25</v>
      </c>
      <c r="G1174" s="0" t="n">
        <v>35</v>
      </c>
      <c r="H1174" s="4" t="n">
        <v>238.35</v>
      </c>
      <c r="I1174" s="4" t="n">
        <v>126.4</v>
      </c>
      <c r="J1174" s="4" t="n">
        <f aca="false">G1174*H1174</f>
        <v>8342.25</v>
      </c>
      <c r="K1174" s="4" t="n">
        <f aca="false">G1174*I1174</f>
        <v>4424</v>
      </c>
      <c r="L1174" s="4" t="n">
        <f aca="false">J1174-K1174</f>
        <v>3918.25</v>
      </c>
    </row>
    <row r="1175" customFormat="false" ht="15" hidden="false" customHeight="false" outlineLevel="0" collapsed="false">
      <c r="A1175" s="0" t="n">
        <v>1660</v>
      </c>
      <c r="B1175" s="2" t="n">
        <v>45794</v>
      </c>
      <c r="C1175" s="3" t="s">
        <v>23</v>
      </c>
      <c r="D1175" s="3" t="s">
        <v>29</v>
      </c>
      <c r="E1175" s="3" t="s">
        <v>37</v>
      </c>
      <c r="F1175" s="3" t="s">
        <v>33</v>
      </c>
      <c r="G1175" s="0" t="n">
        <v>7</v>
      </c>
      <c r="H1175" s="4" t="n">
        <v>285.64</v>
      </c>
      <c r="I1175" s="4" t="n">
        <v>176.84</v>
      </c>
      <c r="J1175" s="4" t="n">
        <f aca="false">G1175*H1175</f>
        <v>1999.48</v>
      </c>
      <c r="K1175" s="4" t="n">
        <f aca="false">G1175*I1175</f>
        <v>1237.88</v>
      </c>
      <c r="L1175" s="4" t="n">
        <f aca="false">J1175-K1175</f>
        <v>761.6</v>
      </c>
    </row>
    <row r="1176" customFormat="false" ht="15" hidden="false" customHeight="false" outlineLevel="0" collapsed="false">
      <c r="A1176" s="0" t="n">
        <v>2065</v>
      </c>
      <c r="B1176" s="2" t="n">
        <v>45794</v>
      </c>
      <c r="C1176" s="3" t="s">
        <v>12</v>
      </c>
      <c r="D1176" s="3" t="s">
        <v>20</v>
      </c>
      <c r="E1176" s="3" t="s">
        <v>42</v>
      </c>
      <c r="F1176" s="3" t="s">
        <v>22</v>
      </c>
      <c r="G1176" s="0" t="n">
        <v>24</v>
      </c>
      <c r="H1176" s="4" t="n">
        <v>226.13</v>
      </c>
      <c r="I1176" s="4" t="n">
        <v>162.3</v>
      </c>
      <c r="J1176" s="4" t="n">
        <f aca="false">G1176*H1176</f>
        <v>5427.12</v>
      </c>
      <c r="K1176" s="4" t="n">
        <f aca="false">G1176*I1176</f>
        <v>3895.2</v>
      </c>
      <c r="L1176" s="4" t="n">
        <f aca="false">J1176-K1176</f>
        <v>1531.92</v>
      </c>
    </row>
    <row r="1177" customFormat="false" ht="15" hidden="false" customHeight="false" outlineLevel="0" collapsed="false">
      <c r="A1177" s="0" t="n">
        <v>2212</v>
      </c>
      <c r="B1177" s="2" t="n">
        <v>45794</v>
      </c>
      <c r="C1177" s="3" t="s">
        <v>12</v>
      </c>
      <c r="D1177" s="3" t="s">
        <v>20</v>
      </c>
      <c r="E1177" s="3" t="s">
        <v>42</v>
      </c>
      <c r="F1177" s="3" t="s">
        <v>33</v>
      </c>
      <c r="G1177" s="0" t="n">
        <v>4</v>
      </c>
      <c r="H1177" s="4" t="n">
        <v>274.71</v>
      </c>
      <c r="I1177" s="4" t="n">
        <v>185.95</v>
      </c>
      <c r="J1177" s="4" t="n">
        <f aca="false">G1177*H1177</f>
        <v>1098.84</v>
      </c>
      <c r="K1177" s="4" t="n">
        <f aca="false">G1177*I1177</f>
        <v>743.8</v>
      </c>
      <c r="L1177" s="4" t="n">
        <f aca="false">J1177-K1177</f>
        <v>355.04</v>
      </c>
    </row>
    <row r="1178" customFormat="false" ht="15" hidden="false" customHeight="false" outlineLevel="0" collapsed="false">
      <c r="A1178" s="0" t="n">
        <v>2268</v>
      </c>
      <c r="B1178" s="2" t="n">
        <v>45794</v>
      </c>
      <c r="C1178" s="3" t="s">
        <v>26</v>
      </c>
      <c r="D1178" s="3" t="s">
        <v>29</v>
      </c>
      <c r="E1178" s="3" t="s">
        <v>37</v>
      </c>
      <c r="F1178" s="3" t="s">
        <v>33</v>
      </c>
      <c r="G1178" s="0" t="n">
        <v>20</v>
      </c>
      <c r="H1178" s="4" t="n">
        <v>131.18</v>
      </c>
      <c r="I1178" s="4" t="n">
        <v>74.83</v>
      </c>
      <c r="J1178" s="4" t="n">
        <f aca="false">G1178*H1178</f>
        <v>2623.6</v>
      </c>
      <c r="K1178" s="4" t="n">
        <f aca="false">G1178*I1178</f>
        <v>1496.6</v>
      </c>
      <c r="L1178" s="4" t="n">
        <f aca="false">J1178-K1178</f>
        <v>1127</v>
      </c>
    </row>
    <row r="1179" customFormat="false" ht="15" hidden="false" customHeight="false" outlineLevel="0" collapsed="false">
      <c r="A1179" s="0" t="n">
        <v>2346</v>
      </c>
      <c r="B1179" s="2" t="n">
        <v>45794</v>
      </c>
      <c r="C1179" s="3" t="s">
        <v>23</v>
      </c>
      <c r="D1179" s="3" t="s">
        <v>20</v>
      </c>
      <c r="E1179" s="3" t="s">
        <v>21</v>
      </c>
      <c r="F1179" s="3" t="s">
        <v>25</v>
      </c>
      <c r="G1179" s="0" t="n">
        <v>28</v>
      </c>
      <c r="H1179" s="4" t="n">
        <v>299.19</v>
      </c>
      <c r="I1179" s="4" t="n">
        <v>185.39</v>
      </c>
      <c r="J1179" s="4" t="n">
        <f aca="false">G1179*H1179</f>
        <v>8377.32</v>
      </c>
      <c r="K1179" s="4" t="n">
        <f aca="false">G1179*I1179</f>
        <v>5190.92</v>
      </c>
      <c r="L1179" s="4" t="n">
        <f aca="false">J1179-K1179</f>
        <v>3186.4</v>
      </c>
    </row>
    <row r="1180" customFormat="false" ht="15" hidden="false" customHeight="false" outlineLevel="0" collapsed="false">
      <c r="A1180" s="0" t="n">
        <v>1075</v>
      </c>
      <c r="B1180" s="2" t="n">
        <v>45795</v>
      </c>
      <c r="C1180" s="3" t="s">
        <v>26</v>
      </c>
      <c r="D1180" s="3" t="s">
        <v>20</v>
      </c>
      <c r="E1180" s="3" t="s">
        <v>38</v>
      </c>
      <c r="F1180" s="3" t="s">
        <v>36</v>
      </c>
      <c r="G1180" s="0" t="n">
        <v>22</v>
      </c>
      <c r="H1180" s="4" t="n">
        <v>135.26</v>
      </c>
      <c r="I1180" s="4" t="n">
        <v>84.38</v>
      </c>
      <c r="J1180" s="4" t="n">
        <f aca="false">G1180*H1180</f>
        <v>2975.72</v>
      </c>
      <c r="K1180" s="4" t="n">
        <f aca="false">G1180*I1180</f>
        <v>1856.36</v>
      </c>
      <c r="L1180" s="4" t="n">
        <f aca="false">J1180-K1180</f>
        <v>1119.36</v>
      </c>
    </row>
    <row r="1181" customFormat="false" ht="15" hidden="false" customHeight="false" outlineLevel="0" collapsed="false">
      <c r="A1181" s="0" t="n">
        <v>1637</v>
      </c>
      <c r="B1181" s="2" t="n">
        <v>45795</v>
      </c>
      <c r="C1181" s="3" t="s">
        <v>23</v>
      </c>
      <c r="D1181" s="3" t="s">
        <v>20</v>
      </c>
      <c r="E1181" s="3" t="s">
        <v>38</v>
      </c>
      <c r="F1181" s="3" t="s">
        <v>36</v>
      </c>
      <c r="G1181" s="0" t="n">
        <v>7</v>
      </c>
      <c r="H1181" s="4" t="n">
        <v>118.52</v>
      </c>
      <c r="I1181" s="4" t="n">
        <v>77.1</v>
      </c>
      <c r="J1181" s="4" t="n">
        <f aca="false">G1181*H1181</f>
        <v>829.64</v>
      </c>
      <c r="K1181" s="4" t="n">
        <f aca="false">G1181*I1181</f>
        <v>539.7</v>
      </c>
      <c r="L1181" s="4" t="n">
        <f aca="false">J1181-K1181</f>
        <v>289.94</v>
      </c>
    </row>
    <row r="1182" customFormat="false" ht="15" hidden="false" customHeight="false" outlineLevel="0" collapsed="false">
      <c r="A1182" s="0" t="n">
        <v>1849</v>
      </c>
      <c r="B1182" s="2" t="n">
        <v>45795</v>
      </c>
      <c r="C1182" s="3" t="s">
        <v>32</v>
      </c>
      <c r="D1182" s="3" t="s">
        <v>29</v>
      </c>
      <c r="E1182" s="3" t="s">
        <v>43</v>
      </c>
      <c r="F1182" s="3" t="s">
        <v>25</v>
      </c>
      <c r="G1182" s="0" t="n">
        <v>7</v>
      </c>
      <c r="H1182" s="4" t="n">
        <v>403.59</v>
      </c>
      <c r="I1182" s="4" t="n">
        <v>238.18</v>
      </c>
      <c r="J1182" s="4" t="n">
        <f aca="false">G1182*H1182</f>
        <v>2825.13</v>
      </c>
      <c r="K1182" s="4" t="n">
        <f aca="false">G1182*I1182</f>
        <v>1667.26</v>
      </c>
      <c r="L1182" s="4" t="n">
        <f aca="false">J1182-K1182</f>
        <v>1157.87</v>
      </c>
    </row>
    <row r="1183" customFormat="false" ht="15" hidden="false" customHeight="false" outlineLevel="0" collapsed="false">
      <c r="A1183" s="0" t="n">
        <v>2744</v>
      </c>
      <c r="B1183" s="2" t="n">
        <v>45795</v>
      </c>
      <c r="C1183" s="3" t="s">
        <v>32</v>
      </c>
      <c r="D1183" s="3" t="s">
        <v>17</v>
      </c>
      <c r="E1183" s="3" t="s">
        <v>44</v>
      </c>
      <c r="F1183" s="3" t="s">
        <v>22</v>
      </c>
      <c r="G1183" s="0" t="n">
        <v>32</v>
      </c>
      <c r="H1183" s="4" t="n">
        <v>621.96</v>
      </c>
      <c r="I1183" s="4" t="n">
        <v>329.95</v>
      </c>
      <c r="J1183" s="4" t="n">
        <f aca="false">G1183*H1183</f>
        <v>19902.72</v>
      </c>
      <c r="K1183" s="4" t="n">
        <f aca="false">G1183*I1183</f>
        <v>10558.4</v>
      </c>
      <c r="L1183" s="4" t="n">
        <f aca="false">J1183-K1183</f>
        <v>9344.32</v>
      </c>
    </row>
    <row r="1184" customFormat="false" ht="15" hidden="false" customHeight="false" outlineLevel="0" collapsed="false">
      <c r="A1184" s="0" t="n">
        <v>1592</v>
      </c>
      <c r="B1184" s="2" t="n">
        <v>45796</v>
      </c>
      <c r="C1184" s="3" t="s">
        <v>26</v>
      </c>
      <c r="D1184" s="3" t="s">
        <v>29</v>
      </c>
      <c r="E1184" s="3" t="s">
        <v>41</v>
      </c>
      <c r="F1184" s="3" t="s">
        <v>36</v>
      </c>
      <c r="G1184" s="0" t="n">
        <v>17</v>
      </c>
      <c r="H1184" s="4" t="n">
        <v>371.58</v>
      </c>
      <c r="I1184" s="4" t="n">
        <v>233.4</v>
      </c>
      <c r="J1184" s="4" t="n">
        <f aca="false">G1184*H1184</f>
        <v>6316.86</v>
      </c>
      <c r="K1184" s="4" t="n">
        <f aca="false">G1184*I1184</f>
        <v>3967.8</v>
      </c>
      <c r="L1184" s="4" t="n">
        <f aca="false">J1184-K1184</f>
        <v>2349.06</v>
      </c>
    </row>
    <row r="1185" customFormat="false" ht="15" hidden="false" customHeight="false" outlineLevel="0" collapsed="false">
      <c r="A1185" s="0" t="n">
        <v>1612</v>
      </c>
      <c r="B1185" s="2" t="n">
        <v>45796</v>
      </c>
      <c r="C1185" s="3" t="s">
        <v>23</v>
      </c>
      <c r="D1185" s="3" t="s">
        <v>13</v>
      </c>
      <c r="E1185" s="3" t="s">
        <v>31</v>
      </c>
      <c r="F1185" s="3" t="s">
        <v>28</v>
      </c>
      <c r="G1185" s="0" t="n">
        <v>32</v>
      </c>
      <c r="H1185" s="4" t="n">
        <v>33.92</v>
      </c>
      <c r="I1185" s="4" t="n">
        <v>17.11</v>
      </c>
      <c r="J1185" s="4" t="n">
        <f aca="false">G1185*H1185</f>
        <v>1085.44</v>
      </c>
      <c r="K1185" s="4" t="n">
        <f aca="false">G1185*I1185</f>
        <v>547.52</v>
      </c>
      <c r="L1185" s="4" t="n">
        <f aca="false">J1185-K1185</f>
        <v>537.92</v>
      </c>
    </row>
    <row r="1186" customFormat="false" ht="15" hidden="false" customHeight="false" outlineLevel="0" collapsed="false">
      <c r="A1186" s="0" t="n">
        <v>2713</v>
      </c>
      <c r="B1186" s="2" t="n">
        <v>45796</v>
      </c>
      <c r="C1186" s="3" t="s">
        <v>16</v>
      </c>
      <c r="D1186" s="3" t="s">
        <v>17</v>
      </c>
      <c r="E1186" s="3" t="s">
        <v>35</v>
      </c>
      <c r="F1186" s="3" t="s">
        <v>36</v>
      </c>
      <c r="G1186" s="0" t="n">
        <v>10</v>
      </c>
      <c r="H1186" s="4" t="n">
        <v>597.15</v>
      </c>
      <c r="I1186" s="4" t="n">
        <v>396.81</v>
      </c>
      <c r="J1186" s="4" t="n">
        <f aca="false">G1186*H1186</f>
        <v>5971.5</v>
      </c>
      <c r="K1186" s="4" t="n">
        <f aca="false">G1186*I1186</f>
        <v>3968.1</v>
      </c>
      <c r="L1186" s="4" t="n">
        <f aca="false">J1186-K1186</f>
        <v>2003.4</v>
      </c>
    </row>
    <row r="1187" customFormat="false" ht="15" hidden="false" customHeight="false" outlineLevel="0" collapsed="false">
      <c r="A1187" s="0" t="n">
        <v>1273</v>
      </c>
      <c r="B1187" s="2" t="n">
        <v>45797</v>
      </c>
      <c r="C1187" s="3" t="s">
        <v>12</v>
      </c>
      <c r="D1187" s="3" t="s">
        <v>13</v>
      </c>
      <c r="E1187" s="3" t="s">
        <v>24</v>
      </c>
      <c r="F1187" s="3" t="s">
        <v>22</v>
      </c>
      <c r="G1187" s="0" t="n">
        <v>27</v>
      </c>
      <c r="H1187" s="4" t="n">
        <v>33.87</v>
      </c>
      <c r="I1187" s="4" t="n">
        <v>17.02</v>
      </c>
      <c r="J1187" s="4" t="n">
        <f aca="false">G1187*H1187</f>
        <v>914.49</v>
      </c>
      <c r="K1187" s="4" t="n">
        <f aca="false">G1187*I1187</f>
        <v>459.54</v>
      </c>
      <c r="L1187" s="4" t="n">
        <f aca="false">J1187-K1187</f>
        <v>454.95</v>
      </c>
    </row>
    <row r="1188" customFormat="false" ht="15" hidden="false" customHeight="false" outlineLevel="0" collapsed="false">
      <c r="A1188" s="0" t="n">
        <v>1653</v>
      </c>
      <c r="B1188" s="2" t="n">
        <v>45798</v>
      </c>
      <c r="C1188" s="3" t="s">
        <v>26</v>
      </c>
      <c r="D1188" s="3" t="s">
        <v>20</v>
      </c>
      <c r="E1188" s="3" t="s">
        <v>38</v>
      </c>
      <c r="F1188" s="3" t="s">
        <v>28</v>
      </c>
      <c r="G1188" s="0" t="n">
        <v>30</v>
      </c>
      <c r="H1188" s="4" t="n">
        <v>54.62</v>
      </c>
      <c r="I1188" s="4" t="n">
        <v>28.59</v>
      </c>
      <c r="J1188" s="4" t="n">
        <f aca="false">G1188*H1188</f>
        <v>1638.6</v>
      </c>
      <c r="K1188" s="4" t="n">
        <f aca="false">G1188*I1188</f>
        <v>857.7</v>
      </c>
      <c r="L1188" s="4" t="n">
        <f aca="false">J1188-K1188</f>
        <v>780.9</v>
      </c>
    </row>
    <row r="1189" customFormat="false" ht="15" hidden="false" customHeight="false" outlineLevel="0" collapsed="false">
      <c r="A1189" s="0" t="n">
        <v>2335</v>
      </c>
      <c r="B1189" s="2" t="n">
        <v>45798</v>
      </c>
      <c r="C1189" s="3" t="s">
        <v>23</v>
      </c>
      <c r="D1189" s="3" t="s">
        <v>29</v>
      </c>
      <c r="E1189" s="3" t="s">
        <v>41</v>
      </c>
      <c r="F1189" s="3" t="s">
        <v>39</v>
      </c>
      <c r="G1189" s="0" t="n">
        <v>18</v>
      </c>
      <c r="H1189" s="4" t="n">
        <v>492.31</v>
      </c>
      <c r="I1189" s="4" t="n">
        <v>304.79</v>
      </c>
      <c r="J1189" s="4" t="n">
        <f aca="false">G1189*H1189</f>
        <v>8861.58</v>
      </c>
      <c r="K1189" s="4" t="n">
        <f aca="false">G1189*I1189</f>
        <v>5486.22</v>
      </c>
      <c r="L1189" s="4" t="n">
        <f aca="false">J1189-K1189</f>
        <v>3375.36</v>
      </c>
    </row>
    <row r="1190" customFormat="false" ht="15" hidden="false" customHeight="false" outlineLevel="0" collapsed="false">
      <c r="A1190" s="0" t="n">
        <v>2592</v>
      </c>
      <c r="B1190" s="2" t="n">
        <v>45798</v>
      </c>
      <c r="C1190" s="3" t="s">
        <v>16</v>
      </c>
      <c r="D1190" s="3" t="s">
        <v>13</v>
      </c>
      <c r="E1190" s="3" t="s">
        <v>24</v>
      </c>
      <c r="F1190" s="3" t="s">
        <v>28</v>
      </c>
      <c r="G1190" s="0" t="n">
        <v>19</v>
      </c>
      <c r="H1190" s="4" t="n">
        <v>49.08</v>
      </c>
      <c r="I1190" s="4" t="n">
        <v>33.41</v>
      </c>
      <c r="J1190" s="4" t="n">
        <f aca="false">G1190*H1190</f>
        <v>932.52</v>
      </c>
      <c r="K1190" s="4" t="n">
        <f aca="false">G1190*I1190</f>
        <v>634.79</v>
      </c>
      <c r="L1190" s="4" t="n">
        <f aca="false">J1190-K1190</f>
        <v>297.73</v>
      </c>
    </row>
    <row r="1191" customFormat="false" ht="15" hidden="false" customHeight="false" outlineLevel="0" collapsed="false">
      <c r="A1191" s="0" t="n">
        <v>1183</v>
      </c>
      <c r="B1191" s="2" t="n">
        <v>45799</v>
      </c>
      <c r="C1191" s="3" t="s">
        <v>12</v>
      </c>
      <c r="D1191" s="3" t="s">
        <v>29</v>
      </c>
      <c r="E1191" s="3" t="s">
        <v>30</v>
      </c>
      <c r="F1191" s="3" t="s">
        <v>22</v>
      </c>
      <c r="G1191" s="0" t="n">
        <v>20</v>
      </c>
      <c r="H1191" s="4" t="n">
        <v>492.86</v>
      </c>
      <c r="I1191" s="4" t="n">
        <v>368.3</v>
      </c>
      <c r="J1191" s="4" t="n">
        <f aca="false">G1191*H1191</f>
        <v>9857.2</v>
      </c>
      <c r="K1191" s="4" t="n">
        <f aca="false">G1191*I1191</f>
        <v>7366</v>
      </c>
      <c r="L1191" s="4" t="n">
        <f aca="false">J1191-K1191</f>
        <v>2491.2</v>
      </c>
    </row>
    <row r="1192" customFormat="false" ht="15" hidden="false" customHeight="false" outlineLevel="0" collapsed="false">
      <c r="A1192" s="0" t="n">
        <v>1224</v>
      </c>
      <c r="B1192" s="2" t="n">
        <v>45799</v>
      </c>
      <c r="C1192" s="3" t="s">
        <v>16</v>
      </c>
      <c r="D1192" s="3" t="s">
        <v>13</v>
      </c>
      <c r="E1192" s="3" t="s">
        <v>14</v>
      </c>
      <c r="F1192" s="3" t="s">
        <v>25</v>
      </c>
      <c r="G1192" s="0" t="n">
        <v>9</v>
      </c>
      <c r="H1192" s="4" t="n">
        <v>57.08</v>
      </c>
      <c r="I1192" s="4" t="n">
        <v>40.01</v>
      </c>
      <c r="J1192" s="4" t="n">
        <f aca="false">G1192*H1192</f>
        <v>513.72</v>
      </c>
      <c r="K1192" s="4" t="n">
        <f aca="false">G1192*I1192</f>
        <v>360.09</v>
      </c>
      <c r="L1192" s="4" t="n">
        <f aca="false">J1192-K1192</f>
        <v>153.63</v>
      </c>
    </row>
    <row r="1193" customFormat="false" ht="15" hidden="false" customHeight="false" outlineLevel="0" collapsed="false">
      <c r="A1193" s="0" t="n">
        <v>1148</v>
      </c>
      <c r="B1193" s="2" t="n">
        <v>45800</v>
      </c>
      <c r="C1193" s="3" t="s">
        <v>23</v>
      </c>
      <c r="D1193" s="3" t="s">
        <v>29</v>
      </c>
      <c r="E1193" s="3" t="s">
        <v>43</v>
      </c>
      <c r="F1193" s="3" t="s">
        <v>25</v>
      </c>
      <c r="G1193" s="0" t="n">
        <v>28</v>
      </c>
      <c r="H1193" s="4" t="n">
        <v>425.38</v>
      </c>
      <c r="I1193" s="4" t="n">
        <v>246.85</v>
      </c>
      <c r="J1193" s="4" t="n">
        <f aca="false">G1193*H1193</f>
        <v>11910.64</v>
      </c>
      <c r="K1193" s="4" t="n">
        <f aca="false">G1193*I1193</f>
        <v>6911.8</v>
      </c>
      <c r="L1193" s="4" t="n">
        <f aca="false">J1193-K1193</f>
        <v>4998.84</v>
      </c>
    </row>
    <row r="1194" customFormat="false" ht="15" hidden="false" customHeight="false" outlineLevel="0" collapsed="false">
      <c r="A1194" s="0" t="n">
        <v>1296</v>
      </c>
      <c r="B1194" s="2" t="n">
        <v>45800</v>
      </c>
      <c r="C1194" s="3" t="s">
        <v>12</v>
      </c>
      <c r="D1194" s="3" t="s">
        <v>29</v>
      </c>
      <c r="E1194" s="3" t="s">
        <v>30</v>
      </c>
      <c r="F1194" s="3" t="s">
        <v>39</v>
      </c>
      <c r="G1194" s="0" t="n">
        <v>23</v>
      </c>
      <c r="H1194" s="4" t="n">
        <v>451.83</v>
      </c>
      <c r="I1194" s="4" t="n">
        <v>306</v>
      </c>
      <c r="J1194" s="4" t="n">
        <f aca="false">G1194*H1194</f>
        <v>10392.09</v>
      </c>
      <c r="K1194" s="4" t="n">
        <f aca="false">G1194*I1194</f>
        <v>7038</v>
      </c>
      <c r="L1194" s="4" t="n">
        <f aca="false">J1194-K1194</f>
        <v>3354.09</v>
      </c>
    </row>
    <row r="1195" customFormat="false" ht="15" hidden="false" customHeight="false" outlineLevel="0" collapsed="false">
      <c r="A1195" s="0" t="n">
        <v>2566</v>
      </c>
      <c r="B1195" s="2" t="n">
        <v>45800</v>
      </c>
      <c r="C1195" s="3" t="s">
        <v>16</v>
      </c>
      <c r="D1195" s="3" t="s">
        <v>20</v>
      </c>
      <c r="E1195" s="3" t="s">
        <v>38</v>
      </c>
      <c r="F1195" s="3" t="s">
        <v>36</v>
      </c>
      <c r="G1195" s="0" t="n">
        <v>20</v>
      </c>
      <c r="H1195" s="4" t="n">
        <v>237.95</v>
      </c>
      <c r="I1195" s="4" t="n">
        <v>139.68</v>
      </c>
      <c r="J1195" s="4" t="n">
        <f aca="false">G1195*H1195</f>
        <v>4759</v>
      </c>
      <c r="K1195" s="4" t="n">
        <f aca="false">G1195*I1195</f>
        <v>2793.6</v>
      </c>
      <c r="L1195" s="4" t="n">
        <f aca="false">J1195-K1195</f>
        <v>1965.4</v>
      </c>
    </row>
    <row r="1196" customFormat="false" ht="15" hidden="false" customHeight="false" outlineLevel="0" collapsed="false">
      <c r="A1196" s="0" t="n">
        <v>2579</v>
      </c>
      <c r="B1196" s="2" t="n">
        <v>45800</v>
      </c>
      <c r="C1196" s="3" t="s">
        <v>23</v>
      </c>
      <c r="D1196" s="3" t="s">
        <v>20</v>
      </c>
      <c r="E1196" s="3" t="s">
        <v>34</v>
      </c>
      <c r="F1196" s="3" t="s">
        <v>25</v>
      </c>
      <c r="G1196" s="0" t="n">
        <v>13</v>
      </c>
      <c r="H1196" s="4" t="n">
        <v>136.08</v>
      </c>
      <c r="I1196" s="4" t="n">
        <v>88.55</v>
      </c>
      <c r="J1196" s="4" t="n">
        <f aca="false">G1196*H1196</f>
        <v>1769.04</v>
      </c>
      <c r="K1196" s="4" t="n">
        <f aca="false">G1196*I1196</f>
        <v>1151.15</v>
      </c>
      <c r="L1196" s="4" t="n">
        <f aca="false">J1196-K1196</f>
        <v>617.89</v>
      </c>
    </row>
    <row r="1197" customFormat="false" ht="15" hidden="false" customHeight="false" outlineLevel="0" collapsed="false">
      <c r="A1197" s="0" t="n">
        <v>1558</v>
      </c>
      <c r="B1197" s="2" t="n">
        <v>45801</v>
      </c>
      <c r="C1197" s="3" t="s">
        <v>12</v>
      </c>
      <c r="D1197" s="3" t="s">
        <v>13</v>
      </c>
      <c r="E1197" s="3" t="s">
        <v>45</v>
      </c>
      <c r="F1197" s="3" t="s">
        <v>22</v>
      </c>
      <c r="G1197" s="0" t="n">
        <v>24</v>
      </c>
      <c r="H1197" s="4" t="n">
        <v>27.78</v>
      </c>
      <c r="I1197" s="4" t="n">
        <v>19.16</v>
      </c>
      <c r="J1197" s="4" t="n">
        <f aca="false">G1197*H1197</f>
        <v>666.72</v>
      </c>
      <c r="K1197" s="4" t="n">
        <f aca="false">G1197*I1197</f>
        <v>459.84</v>
      </c>
      <c r="L1197" s="4" t="n">
        <f aca="false">J1197-K1197</f>
        <v>206.88</v>
      </c>
    </row>
    <row r="1198" customFormat="false" ht="15" hidden="false" customHeight="false" outlineLevel="0" collapsed="false">
      <c r="A1198" s="0" t="n">
        <v>2215</v>
      </c>
      <c r="B1198" s="2" t="n">
        <v>45801</v>
      </c>
      <c r="C1198" s="3" t="s">
        <v>32</v>
      </c>
      <c r="D1198" s="3" t="s">
        <v>17</v>
      </c>
      <c r="E1198" s="3" t="s">
        <v>35</v>
      </c>
      <c r="F1198" s="3" t="s">
        <v>22</v>
      </c>
      <c r="G1198" s="0" t="n">
        <v>13</v>
      </c>
      <c r="H1198" s="4" t="n">
        <v>855.3</v>
      </c>
      <c r="I1198" s="4" t="n">
        <v>543.71</v>
      </c>
      <c r="J1198" s="4" t="n">
        <f aca="false">G1198*H1198</f>
        <v>11118.9</v>
      </c>
      <c r="K1198" s="4" t="n">
        <f aca="false">G1198*I1198</f>
        <v>7068.23</v>
      </c>
      <c r="L1198" s="4" t="n">
        <f aca="false">J1198-K1198</f>
        <v>4050.67</v>
      </c>
    </row>
    <row r="1199" customFormat="false" ht="15" hidden="false" customHeight="false" outlineLevel="0" collapsed="false">
      <c r="A1199" s="0" t="n">
        <v>2702</v>
      </c>
      <c r="B1199" s="2" t="n">
        <v>45801</v>
      </c>
      <c r="C1199" s="3" t="s">
        <v>32</v>
      </c>
      <c r="D1199" s="3" t="s">
        <v>13</v>
      </c>
      <c r="E1199" s="3" t="s">
        <v>45</v>
      </c>
      <c r="F1199" s="3" t="s">
        <v>39</v>
      </c>
      <c r="G1199" s="0" t="n">
        <v>24</v>
      </c>
      <c r="H1199" s="4" t="n">
        <v>5.36</v>
      </c>
      <c r="I1199" s="4" t="n">
        <v>2.81</v>
      </c>
      <c r="J1199" s="4" t="n">
        <f aca="false">G1199*H1199</f>
        <v>128.64</v>
      </c>
      <c r="K1199" s="4" t="n">
        <f aca="false">G1199*I1199</f>
        <v>67.44</v>
      </c>
      <c r="L1199" s="4" t="n">
        <f aca="false">J1199-K1199</f>
        <v>61.2</v>
      </c>
    </row>
    <row r="1200" customFormat="false" ht="15" hidden="false" customHeight="false" outlineLevel="0" collapsed="false">
      <c r="A1200" s="0" t="n">
        <v>1611</v>
      </c>
      <c r="B1200" s="2" t="n">
        <v>45802</v>
      </c>
      <c r="C1200" s="3" t="s">
        <v>26</v>
      </c>
      <c r="D1200" s="3" t="s">
        <v>13</v>
      </c>
      <c r="E1200" s="3" t="s">
        <v>14</v>
      </c>
      <c r="F1200" s="3" t="s">
        <v>33</v>
      </c>
      <c r="G1200" s="0" t="n">
        <v>10</v>
      </c>
      <c r="H1200" s="4" t="n">
        <v>38.52</v>
      </c>
      <c r="I1200" s="4" t="n">
        <v>24.27</v>
      </c>
      <c r="J1200" s="4" t="n">
        <f aca="false">G1200*H1200</f>
        <v>385.2</v>
      </c>
      <c r="K1200" s="4" t="n">
        <f aca="false">G1200*I1200</f>
        <v>242.7</v>
      </c>
      <c r="L1200" s="4" t="n">
        <f aca="false">J1200-K1200</f>
        <v>142.5</v>
      </c>
    </row>
    <row r="1201" customFormat="false" ht="15" hidden="false" customHeight="false" outlineLevel="0" collapsed="false">
      <c r="A1201" s="0" t="n">
        <v>1740</v>
      </c>
      <c r="B1201" s="2" t="n">
        <v>45802</v>
      </c>
      <c r="C1201" s="3" t="s">
        <v>16</v>
      </c>
      <c r="D1201" s="3" t="s">
        <v>20</v>
      </c>
      <c r="E1201" s="3" t="s">
        <v>34</v>
      </c>
      <c r="F1201" s="3" t="s">
        <v>33</v>
      </c>
      <c r="G1201" s="0" t="n">
        <v>24</v>
      </c>
      <c r="H1201" s="4" t="n">
        <v>152.65</v>
      </c>
      <c r="I1201" s="4" t="n">
        <v>98.5</v>
      </c>
      <c r="J1201" s="4" t="n">
        <f aca="false">G1201*H1201</f>
        <v>3663.6</v>
      </c>
      <c r="K1201" s="4" t="n">
        <f aca="false">G1201*I1201</f>
        <v>2364</v>
      </c>
      <c r="L1201" s="4" t="n">
        <f aca="false">J1201-K1201</f>
        <v>1299.6</v>
      </c>
    </row>
    <row r="1202" customFormat="false" ht="15" hidden="false" customHeight="false" outlineLevel="0" collapsed="false">
      <c r="A1202" s="0" t="n">
        <v>2103</v>
      </c>
      <c r="B1202" s="2" t="n">
        <v>45802</v>
      </c>
      <c r="C1202" s="3" t="s">
        <v>12</v>
      </c>
      <c r="D1202" s="3" t="s">
        <v>13</v>
      </c>
      <c r="E1202" s="3" t="s">
        <v>14</v>
      </c>
      <c r="F1202" s="3" t="s">
        <v>15</v>
      </c>
      <c r="G1202" s="0" t="n">
        <v>26</v>
      </c>
      <c r="H1202" s="4" t="n">
        <v>51.58</v>
      </c>
      <c r="I1202" s="4" t="n">
        <v>33.03</v>
      </c>
      <c r="J1202" s="4" t="n">
        <f aca="false">G1202*H1202</f>
        <v>1341.08</v>
      </c>
      <c r="K1202" s="4" t="n">
        <f aca="false">G1202*I1202</f>
        <v>858.78</v>
      </c>
      <c r="L1202" s="4" t="n">
        <f aca="false">J1202-K1202</f>
        <v>482.3</v>
      </c>
    </row>
    <row r="1203" customFormat="false" ht="15" hidden="false" customHeight="false" outlineLevel="0" collapsed="false">
      <c r="A1203" s="0" t="n">
        <v>1009</v>
      </c>
      <c r="B1203" s="2" t="n">
        <v>45803</v>
      </c>
      <c r="C1203" s="3" t="s">
        <v>23</v>
      </c>
      <c r="D1203" s="3" t="s">
        <v>20</v>
      </c>
      <c r="E1203" s="3" t="s">
        <v>34</v>
      </c>
      <c r="F1203" s="3" t="s">
        <v>15</v>
      </c>
      <c r="G1203" s="0" t="n">
        <v>9</v>
      </c>
      <c r="H1203" s="4" t="n">
        <v>183.68</v>
      </c>
      <c r="I1203" s="4" t="n">
        <v>133.07</v>
      </c>
      <c r="J1203" s="4" t="n">
        <f aca="false">G1203*H1203</f>
        <v>1653.12</v>
      </c>
      <c r="K1203" s="4" t="n">
        <f aca="false">G1203*I1203</f>
        <v>1197.63</v>
      </c>
      <c r="L1203" s="4" t="n">
        <f aca="false">J1203-K1203</f>
        <v>455.49</v>
      </c>
    </row>
    <row r="1204" customFormat="false" ht="15" hidden="false" customHeight="false" outlineLevel="0" collapsed="false">
      <c r="A1204" s="0" t="n">
        <v>1142</v>
      </c>
      <c r="B1204" s="2" t="n">
        <v>45803</v>
      </c>
      <c r="C1204" s="3" t="s">
        <v>16</v>
      </c>
      <c r="D1204" s="3" t="s">
        <v>17</v>
      </c>
      <c r="E1204" s="3" t="s">
        <v>35</v>
      </c>
      <c r="F1204" s="3" t="s">
        <v>39</v>
      </c>
      <c r="G1204" s="0" t="n">
        <v>10</v>
      </c>
      <c r="H1204" s="4" t="n">
        <v>304.67</v>
      </c>
      <c r="I1204" s="4" t="n">
        <v>166.6</v>
      </c>
      <c r="J1204" s="4" t="n">
        <f aca="false">G1204*H1204</f>
        <v>3046.7</v>
      </c>
      <c r="K1204" s="4" t="n">
        <f aca="false">G1204*I1204</f>
        <v>1666</v>
      </c>
      <c r="L1204" s="4" t="n">
        <f aca="false">J1204-K1204</f>
        <v>1380.7</v>
      </c>
    </row>
    <row r="1205" customFormat="false" ht="15" hidden="false" customHeight="false" outlineLevel="0" collapsed="false">
      <c r="A1205" s="0" t="n">
        <v>1556</v>
      </c>
      <c r="B1205" s="2" t="n">
        <v>45803</v>
      </c>
      <c r="C1205" s="3" t="s">
        <v>16</v>
      </c>
      <c r="D1205" s="3" t="s">
        <v>17</v>
      </c>
      <c r="E1205" s="3" t="s">
        <v>40</v>
      </c>
      <c r="F1205" s="3" t="s">
        <v>33</v>
      </c>
      <c r="G1205" s="0" t="n">
        <v>27</v>
      </c>
      <c r="H1205" s="4" t="n">
        <v>63.84</v>
      </c>
      <c r="I1205" s="4" t="n">
        <v>33.45</v>
      </c>
      <c r="J1205" s="4" t="n">
        <f aca="false">G1205*H1205</f>
        <v>1723.68</v>
      </c>
      <c r="K1205" s="4" t="n">
        <f aca="false">G1205*I1205</f>
        <v>903.15</v>
      </c>
      <c r="L1205" s="4" t="n">
        <f aca="false">J1205-K1205</f>
        <v>820.53</v>
      </c>
    </row>
    <row r="1206" customFormat="false" ht="15" hidden="false" customHeight="false" outlineLevel="0" collapsed="false">
      <c r="A1206" s="0" t="n">
        <v>2499</v>
      </c>
      <c r="B1206" s="2" t="n">
        <v>45803</v>
      </c>
      <c r="C1206" s="3" t="s">
        <v>16</v>
      </c>
      <c r="D1206" s="3" t="s">
        <v>13</v>
      </c>
      <c r="E1206" s="3" t="s">
        <v>24</v>
      </c>
      <c r="F1206" s="3" t="s">
        <v>25</v>
      </c>
      <c r="G1206" s="0" t="n">
        <v>1</v>
      </c>
      <c r="H1206" s="4" t="n">
        <v>39.43</v>
      </c>
      <c r="I1206" s="4" t="n">
        <v>25.52</v>
      </c>
      <c r="J1206" s="4" t="n">
        <f aca="false">G1206*H1206</f>
        <v>39.43</v>
      </c>
      <c r="K1206" s="4" t="n">
        <f aca="false">G1206*I1206</f>
        <v>25.52</v>
      </c>
      <c r="L1206" s="4" t="n">
        <f aca="false">J1206-K1206</f>
        <v>13.91</v>
      </c>
    </row>
    <row r="1207" customFormat="false" ht="15" hidden="false" customHeight="false" outlineLevel="0" collapsed="false">
      <c r="A1207" s="0" t="n">
        <v>2795</v>
      </c>
      <c r="B1207" s="2" t="n">
        <v>45803</v>
      </c>
      <c r="C1207" s="3" t="s">
        <v>16</v>
      </c>
      <c r="D1207" s="3" t="s">
        <v>29</v>
      </c>
      <c r="E1207" s="3" t="s">
        <v>30</v>
      </c>
      <c r="F1207" s="3" t="s">
        <v>15</v>
      </c>
      <c r="G1207" s="0" t="n">
        <v>30</v>
      </c>
      <c r="H1207" s="4" t="n">
        <v>441.28</v>
      </c>
      <c r="I1207" s="4" t="n">
        <v>262.29</v>
      </c>
      <c r="J1207" s="4" t="n">
        <f aca="false">G1207*H1207</f>
        <v>13238.4</v>
      </c>
      <c r="K1207" s="4" t="n">
        <f aca="false">G1207*I1207</f>
        <v>7868.7</v>
      </c>
      <c r="L1207" s="4" t="n">
        <f aca="false">J1207-K1207</f>
        <v>5369.7</v>
      </c>
    </row>
    <row r="1208" customFormat="false" ht="15" hidden="false" customHeight="false" outlineLevel="0" collapsed="false">
      <c r="A1208" s="0" t="n">
        <v>1573</v>
      </c>
      <c r="B1208" s="2" t="n">
        <v>45805</v>
      </c>
      <c r="C1208" s="3" t="s">
        <v>16</v>
      </c>
      <c r="D1208" s="3" t="s">
        <v>17</v>
      </c>
      <c r="E1208" s="3" t="s">
        <v>18</v>
      </c>
      <c r="F1208" s="3" t="s">
        <v>15</v>
      </c>
      <c r="G1208" s="0" t="n">
        <v>29</v>
      </c>
      <c r="H1208" s="4" t="n">
        <v>581.6</v>
      </c>
      <c r="I1208" s="4" t="n">
        <v>427.6</v>
      </c>
      <c r="J1208" s="4" t="n">
        <f aca="false">G1208*H1208</f>
        <v>16866.4</v>
      </c>
      <c r="K1208" s="4" t="n">
        <f aca="false">G1208*I1208</f>
        <v>12400.4</v>
      </c>
      <c r="L1208" s="4" t="n">
        <f aca="false">J1208-K1208</f>
        <v>4466</v>
      </c>
    </row>
    <row r="1209" customFormat="false" ht="15" hidden="false" customHeight="false" outlineLevel="0" collapsed="false">
      <c r="A1209" s="0" t="n">
        <v>1806</v>
      </c>
      <c r="B1209" s="2" t="n">
        <v>45806</v>
      </c>
      <c r="C1209" s="3" t="s">
        <v>26</v>
      </c>
      <c r="D1209" s="3" t="s">
        <v>29</v>
      </c>
      <c r="E1209" s="3" t="s">
        <v>41</v>
      </c>
      <c r="F1209" s="3" t="s">
        <v>39</v>
      </c>
      <c r="G1209" s="0" t="n">
        <v>32</v>
      </c>
      <c r="H1209" s="4" t="n">
        <v>104.7</v>
      </c>
      <c r="I1209" s="4" t="n">
        <v>56.35</v>
      </c>
      <c r="J1209" s="4" t="n">
        <f aca="false">G1209*H1209</f>
        <v>3350.4</v>
      </c>
      <c r="K1209" s="4" t="n">
        <f aca="false">G1209*I1209</f>
        <v>1803.2</v>
      </c>
      <c r="L1209" s="4" t="n">
        <f aca="false">J1209-K1209</f>
        <v>1547.2</v>
      </c>
    </row>
    <row r="1210" customFormat="false" ht="15" hidden="false" customHeight="false" outlineLevel="0" collapsed="false">
      <c r="A1210" s="0" t="n">
        <v>1845</v>
      </c>
      <c r="B1210" s="2" t="n">
        <v>45806</v>
      </c>
      <c r="C1210" s="3" t="s">
        <v>16</v>
      </c>
      <c r="D1210" s="3" t="s">
        <v>13</v>
      </c>
      <c r="E1210" s="3" t="s">
        <v>24</v>
      </c>
      <c r="F1210" s="3" t="s">
        <v>19</v>
      </c>
      <c r="G1210" s="0" t="n">
        <v>15</v>
      </c>
      <c r="H1210" s="4" t="n">
        <v>25.87</v>
      </c>
      <c r="I1210" s="4" t="n">
        <v>13.88</v>
      </c>
      <c r="J1210" s="4" t="n">
        <f aca="false">G1210*H1210</f>
        <v>388.05</v>
      </c>
      <c r="K1210" s="4" t="n">
        <f aca="false">G1210*I1210</f>
        <v>208.2</v>
      </c>
      <c r="L1210" s="4" t="n">
        <f aca="false">J1210-K1210</f>
        <v>179.85</v>
      </c>
    </row>
    <row r="1211" customFormat="false" ht="15" hidden="false" customHeight="false" outlineLevel="0" collapsed="false">
      <c r="A1211" s="0" t="n">
        <v>1974</v>
      </c>
      <c r="B1211" s="2" t="n">
        <v>45807</v>
      </c>
      <c r="C1211" s="3" t="s">
        <v>12</v>
      </c>
      <c r="D1211" s="3" t="s">
        <v>29</v>
      </c>
      <c r="E1211" s="3" t="s">
        <v>41</v>
      </c>
      <c r="F1211" s="3" t="s">
        <v>25</v>
      </c>
      <c r="G1211" s="0" t="n">
        <v>12</v>
      </c>
      <c r="H1211" s="4" t="n">
        <v>382.07</v>
      </c>
      <c r="I1211" s="4" t="n">
        <v>259.35</v>
      </c>
      <c r="J1211" s="4" t="n">
        <f aca="false">G1211*H1211</f>
        <v>4584.84</v>
      </c>
      <c r="K1211" s="4" t="n">
        <f aca="false">G1211*I1211</f>
        <v>3112.2</v>
      </c>
      <c r="L1211" s="4" t="n">
        <f aca="false">J1211-K1211</f>
        <v>1472.64</v>
      </c>
    </row>
    <row r="1212" customFormat="false" ht="15" hidden="false" customHeight="false" outlineLevel="0" collapsed="false">
      <c r="A1212" s="0" t="n">
        <v>1454</v>
      </c>
      <c r="B1212" s="2" t="n">
        <v>45808</v>
      </c>
      <c r="C1212" s="3" t="s">
        <v>32</v>
      </c>
      <c r="D1212" s="3" t="s">
        <v>13</v>
      </c>
      <c r="E1212" s="3" t="s">
        <v>46</v>
      </c>
      <c r="F1212" s="3" t="s">
        <v>28</v>
      </c>
      <c r="G1212" s="0" t="n">
        <v>23</v>
      </c>
      <c r="H1212" s="4" t="n">
        <v>34.35</v>
      </c>
      <c r="I1212" s="4" t="n">
        <v>20.72</v>
      </c>
      <c r="J1212" s="4" t="n">
        <f aca="false">G1212*H1212</f>
        <v>790.05</v>
      </c>
      <c r="K1212" s="4" t="n">
        <f aca="false">G1212*I1212</f>
        <v>476.56</v>
      </c>
      <c r="L1212" s="4" t="n">
        <f aca="false">J1212-K1212</f>
        <v>313.49</v>
      </c>
    </row>
    <row r="1213" customFormat="false" ht="15" hidden="false" customHeight="false" outlineLevel="0" collapsed="false">
      <c r="A1213" s="0" t="n">
        <v>1462</v>
      </c>
      <c r="B1213" s="2" t="n">
        <v>45808</v>
      </c>
      <c r="C1213" s="3" t="s">
        <v>26</v>
      </c>
      <c r="D1213" s="3" t="s">
        <v>13</v>
      </c>
      <c r="E1213" s="3" t="s">
        <v>14</v>
      </c>
      <c r="F1213" s="3" t="s">
        <v>15</v>
      </c>
      <c r="G1213" s="0" t="n">
        <v>26</v>
      </c>
      <c r="H1213" s="4" t="n">
        <v>22.16</v>
      </c>
      <c r="I1213" s="4" t="n">
        <v>14.12</v>
      </c>
      <c r="J1213" s="4" t="n">
        <f aca="false">G1213*H1213</f>
        <v>576.16</v>
      </c>
      <c r="K1213" s="4" t="n">
        <f aca="false">G1213*I1213</f>
        <v>367.12</v>
      </c>
      <c r="L1213" s="4" t="n">
        <f aca="false">J1213-K1213</f>
        <v>209.04</v>
      </c>
    </row>
    <row r="1214" customFormat="false" ht="15" hidden="false" customHeight="false" outlineLevel="0" collapsed="false">
      <c r="A1214" s="0" t="n">
        <v>1914</v>
      </c>
      <c r="B1214" s="2" t="n">
        <v>45808</v>
      </c>
      <c r="C1214" s="3" t="s">
        <v>26</v>
      </c>
      <c r="D1214" s="3" t="s">
        <v>20</v>
      </c>
      <c r="E1214" s="3" t="s">
        <v>38</v>
      </c>
      <c r="F1214" s="3" t="s">
        <v>19</v>
      </c>
      <c r="G1214" s="0" t="n">
        <v>21</v>
      </c>
      <c r="H1214" s="4" t="n">
        <v>196.09</v>
      </c>
      <c r="I1214" s="4" t="n">
        <v>127.13</v>
      </c>
      <c r="J1214" s="4" t="n">
        <f aca="false">G1214*H1214</f>
        <v>4117.89</v>
      </c>
      <c r="K1214" s="4" t="n">
        <f aca="false">G1214*I1214</f>
        <v>2669.73</v>
      </c>
      <c r="L1214" s="4" t="n">
        <f aca="false">J1214-K1214</f>
        <v>1448.16</v>
      </c>
    </row>
    <row r="1215" customFormat="false" ht="15" hidden="false" customHeight="false" outlineLevel="0" collapsed="false">
      <c r="A1215" s="0" t="n">
        <v>1210</v>
      </c>
      <c r="B1215" s="2" t="n">
        <v>45809</v>
      </c>
      <c r="C1215" s="3" t="s">
        <v>23</v>
      </c>
      <c r="D1215" s="3" t="s">
        <v>29</v>
      </c>
      <c r="E1215" s="3" t="s">
        <v>30</v>
      </c>
      <c r="F1215" s="3" t="s">
        <v>28</v>
      </c>
      <c r="G1215" s="0" t="n">
        <v>32</v>
      </c>
      <c r="H1215" s="4" t="n">
        <v>252.76</v>
      </c>
      <c r="I1215" s="4" t="n">
        <v>172.02</v>
      </c>
      <c r="J1215" s="4" t="n">
        <f aca="false">G1215*H1215</f>
        <v>8088.32</v>
      </c>
      <c r="K1215" s="4" t="n">
        <f aca="false">G1215*I1215</f>
        <v>5504.64</v>
      </c>
      <c r="L1215" s="4" t="n">
        <f aca="false">J1215-K1215</f>
        <v>2583.68</v>
      </c>
    </row>
    <row r="1216" customFormat="false" ht="15" hidden="false" customHeight="false" outlineLevel="0" collapsed="false">
      <c r="A1216" s="0" t="n">
        <v>1276</v>
      </c>
      <c r="B1216" s="2" t="n">
        <v>45809</v>
      </c>
      <c r="C1216" s="3" t="s">
        <v>12</v>
      </c>
      <c r="D1216" s="3" t="s">
        <v>20</v>
      </c>
      <c r="E1216" s="3" t="s">
        <v>42</v>
      </c>
      <c r="F1216" s="3" t="s">
        <v>22</v>
      </c>
      <c r="G1216" s="0" t="n">
        <v>28</v>
      </c>
      <c r="H1216" s="4" t="n">
        <v>258.26</v>
      </c>
      <c r="I1216" s="4" t="n">
        <v>188.92</v>
      </c>
      <c r="J1216" s="4" t="n">
        <f aca="false">G1216*H1216</f>
        <v>7231.28</v>
      </c>
      <c r="K1216" s="4" t="n">
        <f aca="false">G1216*I1216</f>
        <v>5289.76</v>
      </c>
      <c r="L1216" s="4" t="n">
        <f aca="false">J1216-K1216</f>
        <v>1941.52</v>
      </c>
    </row>
    <row r="1217" customFormat="false" ht="15" hidden="false" customHeight="false" outlineLevel="0" collapsed="false">
      <c r="A1217" s="0" t="n">
        <v>1969</v>
      </c>
      <c r="B1217" s="2" t="n">
        <v>45809</v>
      </c>
      <c r="C1217" s="3" t="s">
        <v>23</v>
      </c>
      <c r="D1217" s="3" t="s">
        <v>20</v>
      </c>
      <c r="E1217" s="3" t="s">
        <v>42</v>
      </c>
      <c r="F1217" s="3" t="s">
        <v>25</v>
      </c>
      <c r="G1217" s="0" t="n">
        <v>20</v>
      </c>
      <c r="H1217" s="4" t="n">
        <v>255.68</v>
      </c>
      <c r="I1217" s="4" t="n">
        <v>162.79</v>
      </c>
      <c r="J1217" s="4" t="n">
        <f aca="false">G1217*H1217</f>
        <v>5113.6</v>
      </c>
      <c r="K1217" s="4" t="n">
        <f aca="false">G1217*I1217</f>
        <v>3255.8</v>
      </c>
      <c r="L1217" s="4" t="n">
        <f aca="false">J1217-K1217</f>
        <v>1857.8</v>
      </c>
    </row>
    <row r="1218" customFormat="false" ht="15" hidden="false" customHeight="false" outlineLevel="0" collapsed="false">
      <c r="A1218" s="0" t="n">
        <v>2370</v>
      </c>
      <c r="B1218" s="2" t="n">
        <v>45809</v>
      </c>
      <c r="C1218" s="3" t="s">
        <v>32</v>
      </c>
      <c r="D1218" s="3" t="s">
        <v>20</v>
      </c>
      <c r="E1218" s="3" t="s">
        <v>21</v>
      </c>
      <c r="F1218" s="3" t="s">
        <v>36</v>
      </c>
      <c r="G1218" s="0" t="n">
        <v>37</v>
      </c>
      <c r="H1218" s="4" t="n">
        <v>154.73</v>
      </c>
      <c r="I1218" s="4" t="n">
        <v>113.28</v>
      </c>
      <c r="J1218" s="4" t="n">
        <f aca="false">G1218*H1218</f>
        <v>5725.01</v>
      </c>
      <c r="K1218" s="4" t="n">
        <f aca="false">G1218*I1218</f>
        <v>4191.36</v>
      </c>
      <c r="L1218" s="4" t="n">
        <f aca="false">J1218-K1218</f>
        <v>1533.65</v>
      </c>
    </row>
    <row r="1219" customFormat="false" ht="15" hidden="false" customHeight="false" outlineLevel="0" collapsed="false">
      <c r="A1219" s="0" t="n">
        <v>1263</v>
      </c>
      <c r="B1219" s="2" t="n">
        <v>45810</v>
      </c>
      <c r="C1219" s="3" t="s">
        <v>32</v>
      </c>
      <c r="D1219" s="3" t="s">
        <v>20</v>
      </c>
      <c r="E1219" s="3" t="s">
        <v>21</v>
      </c>
      <c r="F1219" s="3" t="s">
        <v>36</v>
      </c>
      <c r="G1219" s="0" t="n">
        <v>6</v>
      </c>
      <c r="H1219" s="4" t="n">
        <v>43.41</v>
      </c>
      <c r="I1219" s="4" t="n">
        <v>22.56</v>
      </c>
      <c r="J1219" s="4" t="n">
        <f aca="false">G1219*H1219</f>
        <v>260.46</v>
      </c>
      <c r="K1219" s="4" t="n">
        <f aca="false">G1219*I1219</f>
        <v>135.36</v>
      </c>
      <c r="L1219" s="4" t="n">
        <f aca="false">J1219-K1219</f>
        <v>125.1</v>
      </c>
    </row>
    <row r="1220" customFormat="false" ht="15" hidden="false" customHeight="false" outlineLevel="0" collapsed="false">
      <c r="A1220" s="0" t="n">
        <v>2155</v>
      </c>
      <c r="B1220" s="2" t="n">
        <v>45810</v>
      </c>
      <c r="C1220" s="3" t="s">
        <v>16</v>
      </c>
      <c r="D1220" s="3" t="s">
        <v>17</v>
      </c>
      <c r="E1220" s="3" t="s">
        <v>44</v>
      </c>
      <c r="F1220" s="3" t="s">
        <v>39</v>
      </c>
      <c r="G1220" s="0" t="n">
        <v>8</v>
      </c>
      <c r="H1220" s="4" t="n">
        <v>850.18</v>
      </c>
      <c r="I1220" s="4" t="n">
        <v>513.32</v>
      </c>
      <c r="J1220" s="4" t="n">
        <f aca="false">G1220*H1220</f>
        <v>6801.44</v>
      </c>
      <c r="K1220" s="4" t="n">
        <f aca="false">G1220*I1220</f>
        <v>4106.56</v>
      </c>
      <c r="L1220" s="4" t="n">
        <f aca="false">J1220-K1220</f>
        <v>2694.88</v>
      </c>
    </row>
    <row r="1221" customFormat="false" ht="15" hidden="false" customHeight="false" outlineLevel="0" collapsed="false">
      <c r="A1221" s="0" t="n">
        <v>2192</v>
      </c>
      <c r="B1221" s="2" t="n">
        <v>45810</v>
      </c>
      <c r="C1221" s="3" t="s">
        <v>16</v>
      </c>
      <c r="D1221" s="3" t="s">
        <v>29</v>
      </c>
      <c r="E1221" s="3" t="s">
        <v>37</v>
      </c>
      <c r="F1221" s="3" t="s">
        <v>36</v>
      </c>
      <c r="G1221" s="0" t="n">
        <v>40</v>
      </c>
      <c r="H1221" s="4" t="n">
        <v>118.03</v>
      </c>
      <c r="I1221" s="4" t="n">
        <v>84.89</v>
      </c>
      <c r="J1221" s="4" t="n">
        <f aca="false">G1221*H1221</f>
        <v>4721.2</v>
      </c>
      <c r="K1221" s="4" t="n">
        <f aca="false">G1221*I1221</f>
        <v>3395.6</v>
      </c>
      <c r="L1221" s="4" t="n">
        <f aca="false">J1221-K1221</f>
        <v>1325.6</v>
      </c>
    </row>
    <row r="1222" customFormat="false" ht="15" hidden="false" customHeight="false" outlineLevel="0" collapsed="false">
      <c r="A1222" s="0" t="n">
        <v>1382</v>
      </c>
      <c r="B1222" s="2" t="n">
        <v>45811</v>
      </c>
      <c r="C1222" s="3" t="s">
        <v>26</v>
      </c>
      <c r="D1222" s="3" t="s">
        <v>20</v>
      </c>
      <c r="E1222" s="3" t="s">
        <v>34</v>
      </c>
      <c r="F1222" s="3" t="s">
        <v>22</v>
      </c>
      <c r="G1222" s="0" t="n">
        <v>36</v>
      </c>
      <c r="H1222" s="4" t="n">
        <v>203.09</v>
      </c>
      <c r="I1222" s="4" t="n">
        <v>109.09</v>
      </c>
      <c r="J1222" s="4" t="n">
        <f aca="false">G1222*H1222</f>
        <v>7311.24</v>
      </c>
      <c r="K1222" s="4" t="n">
        <f aca="false">G1222*I1222</f>
        <v>3927.24</v>
      </c>
      <c r="L1222" s="4" t="n">
        <f aca="false">J1222-K1222</f>
        <v>3384</v>
      </c>
    </row>
    <row r="1223" customFormat="false" ht="15" hidden="false" customHeight="false" outlineLevel="0" collapsed="false">
      <c r="A1223" s="0" t="n">
        <v>2475</v>
      </c>
      <c r="B1223" s="2" t="n">
        <v>45811</v>
      </c>
      <c r="C1223" s="3" t="s">
        <v>32</v>
      </c>
      <c r="D1223" s="3" t="s">
        <v>17</v>
      </c>
      <c r="E1223" s="3" t="s">
        <v>40</v>
      </c>
      <c r="F1223" s="3" t="s">
        <v>15</v>
      </c>
      <c r="G1223" s="0" t="n">
        <v>37</v>
      </c>
      <c r="H1223" s="4" t="n">
        <v>212.69</v>
      </c>
      <c r="I1223" s="4" t="n">
        <v>137.34</v>
      </c>
      <c r="J1223" s="4" t="n">
        <f aca="false">G1223*H1223</f>
        <v>7869.53</v>
      </c>
      <c r="K1223" s="4" t="n">
        <f aca="false">G1223*I1223</f>
        <v>5081.58</v>
      </c>
      <c r="L1223" s="4" t="n">
        <f aca="false">J1223-K1223</f>
        <v>2787.95</v>
      </c>
    </row>
    <row r="1224" customFormat="false" ht="15" hidden="false" customHeight="false" outlineLevel="0" collapsed="false">
      <c r="A1224" s="0" t="n">
        <v>2796</v>
      </c>
      <c r="B1224" s="2" t="n">
        <v>45811</v>
      </c>
      <c r="C1224" s="3" t="s">
        <v>32</v>
      </c>
      <c r="D1224" s="3" t="s">
        <v>17</v>
      </c>
      <c r="E1224" s="3" t="s">
        <v>35</v>
      </c>
      <c r="F1224" s="3" t="s">
        <v>33</v>
      </c>
      <c r="G1224" s="0" t="n">
        <v>13</v>
      </c>
      <c r="H1224" s="4" t="n">
        <v>721.94</v>
      </c>
      <c r="I1224" s="4" t="n">
        <v>393.76</v>
      </c>
      <c r="J1224" s="4" t="n">
        <f aca="false">G1224*H1224</f>
        <v>9385.22</v>
      </c>
      <c r="K1224" s="4" t="n">
        <f aca="false">G1224*I1224</f>
        <v>5118.88</v>
      </c>
      <c r="L1224" s="4" t="n">
        <f aca="false">J1224-K1224</f>
        <v>4266.34</v>
      </c>
    </row>
    <row r="1225" customFormat="false" ht="15" hidden="false" customHeight="false" outlineLevel="0" collapsed="false">
      <c r="A1225" s="0" t="n">
        <v>1156</v>
      </c>
      <c r="B1225" s="2" t="n">
        <v>45812</v>
      </c>
      <c r="C1225" s="3" t="s">
        <v>12</v>
      </c>
      <c r="D1225" s="3" t="s">
        <v>17</v>
      </c>
      <c r="E1225" s="3" t="s">
        <v>44</v>
      </c>
      <c r="F1225" s="3" t="s">
        <v>19</v>
      </c>
      <c r="G1225" s="0" t="n">
        <v>16</v>
      </c>
      <c r="H1225" s="4" t="n">
        <v>723.91</v>
      </c>
      <c r="I1225" s="4" t="n">
        <v>507.4</v>
      </c>
      <c r="J1225" s="4" t="n">
        <f aca="false">G1225*H1225</f>
        <v>11582.56</v>
      </c>
      <c r="K1225" s="4" t="n">
        <f aca="false">G1225*I1225</f>
        <v>8118.4</v>
      </c>
      <c r="L1225" s="4" t="n">
        <f aca="false">J1225-K1225</f>
        <v>3464.16</v>
      </c>
    </row>
    <row r="1226" customFormat="false" ht="15" hidden="false" customHeight="false" outlineLevel="0" collapsed="false">
      <c r="A1226" s="0" t="n">
        <v>2183</v>
      </c>
      <c r="B1226" s="2" t="n">
        <v>45812</v>
      </c>
      <c r="C1226" s="3" t="s">
        <v>32</v>
      </c>
      <c r="D1226" s="3" t="s">
        <v>20</v>
      </c>
      <c r="E1226" s="3" t="s">
        <v>38</v>
      </c>
      <c r="F1226" s="3" t="s">
        <v>33</v>
      </c>
      <c r="G1226" s="0" t="n">
        <v>6</v>
      </c>
      <c r="H1226" s="4" t="n">
        <v>184.02</v>
      </c>
      <c r="I1226" s="4" t="n">
        <v>102.19</v>
      </c>
      <c r="J1226" s="4" t="n">
        <f aca="false">G1226*H1226</f>
        <v>1104.12</v>
      </c>
      <c r="K1226" s="4" t="n">
        <f aca="false">G1226*I1226</f>
        <v>613.14</v>
      </c>
      <c r="L1226" s="4" t="n">
        <f aca="false">J1226-K1226</f>
        <v>490.98</v>
      </c>
    </row>
    <row r="1227" customFormat="false" ht="15" hidden="false" customHeight="false" outlineLevel="0" collapsed="false">
      <c r="A1227" s="0" t="n">
        <v>1080</v>
      </c>
      <c r="B1227" s="2" t="n">
        <v>45813</v>
      </c>
      <c r="C1227" s="3" t="s">
        <v>32</v>
      </c>
      <c r="D1227" s="3" t="s">
        <v>20</v>
      </c>
      <c r="E1227" s="3" t="s">
        <v>21</v>
      </c>
      <c r="F1227" s="3" t="s">
        <v>28</v>
      </c>
      <c r="G1227" s="0" t="n">
        <v>16</v>
      </c>
      <c r="H1227" s="4" t="n">
        <v>187.83</v>
      </c>
      <c r="I1227" s="4" t="n">
        <v>128.96</v>
      </c>
      <c r="J1227" s="4" t="n">
        <f aca="false">G1227*H1227</f>
        <v>3005.28</v>
      </c>
      <c r="K1227" s="4" t="n">
        <f aca="false">G1227*I1227</f>
        <v>2063.36</v>
      </c>
      <c r="L1227" s="4" t="n">
        <f aca="false">J1227-K1227</f>
        <v>941.92</v>
      </c>
    </row>
    <row r="1228" customFormat="false" ht="15" hidden="false" customHeight="false" outlineLevel="0" collapsed="false">
      <c r="A1228" s="0" t="n">
        <v>2252</v>
      </c>
      <c r="B1228" s="2" t="n">
        <v>45813</v>
      </c>
      <c r="C1228" s="3" t="s">
        <v>26</v>
      </c>
      <c r="D1228" s="3" t="s">
        <v>17</v>
      </c>
      <c r="E1228" s="3" t="s">
        <v>44</v>
      </c>
      <c r="F1228" s="3" t="s">
        <v>25</v>
      </c>
      <c r="G1228" s="0" t="n">
        <v>16</v>
      </c>
      <c r="H1228" s="4" t="n">
        <v>122.51</v>
      </c>
      <c r="I1228" s="4" t="n">
        <v>85.11</v>
      </c>
      <c r="J1228" s="4" t="n">
        <f aca="false">G1228*H1228</f>
        <v>1960.16</v>
      </c>
      <c r="K1228" s="4" t="n">
        <f aca="false">G1228*I1228</f>
        <v>1361.76</v>
      </c>
      <c r="L1228" s="4" t="n">
        <f aca="false">J1228-K1228</f>
        <v>598.4</v>
      </c>
    </row>
    <row r="1229" customFormat="false" ht="15" hidden="false" customHeight="false" outlineLevel="0" collapsed="false">
      <c r="A1229" s="0" t="n">
        <v>1405</v>
      </c>
      <c r="B1229" s="2" t="n">
        <v>45814</v>
      </c>
      <c r="C1229" s="3" t="s">
        <v>16</v>
      </c>
      <c r="D1229" s="3" t="s">
        <v>13</v>
      </c>
      <c r="E1229" s="3" t="s">
        <v>46</v>
      </c>
      <c r="F1229" s="3" t="s">
        <v>19</v>
      </c>
      <c r="G1229" s="0" t="n">
        <v>3</v>
      </c>
      <c r="H1229" s="4" t="n">
        <v>40.34</v>
      </c>
      <c r="I1229" s="4" t="n">
        <v>22.95</v>
      </c>
      <c r="J1229" s="4" t="n">
        <f aca="false">G1229*H1229</f>
        <v>121.02</v>
      </c>
      <c r="K1229" s="4" t="n">
        <f aca="false">G1229*I1229</f>
        <v>68.85</v>
      </c>
      <c r="L1229" s="4" t="n">
        <f aca="false">J1229-K1229</f>
        <v>52.17</v>
      </c>
    </row>
    <row r="1230" customFormat="false" ht="15" hidden="false" customHeight="false" outlineLevel="0" collapsed="false">
      <c r="A1230" s="0" t="n">
        <v>1710</v>
      </c>
      <c r="B1230" s="2" t="n">
        <v>45814</v>
      </c>
      <c r="C1230" s="3" t="s">
        <v>32</v>
      </c>
      <c r="D1230" s="3" t="s">
        <v>17</v>
      </c>
      <c r="E1230" s="3" t="s">
        <v>44</v>
      </c>
      <c r="F1230" s="3" t="s">
        <v>25</v>
      </c>
      <c r="G1230" s="0" t="n">
        <v>20</v>
      </c>
      <c r="H1230" s="4" t="n">
        <v>135.36</v>
      </c>
      <c r="I1230" s="4" t="n">
        <v>101.48</v>
      </c>
      <c r="J1230" s="4" t="n">
        <f aca="false">G1230*H1230</f>
        <v>2707.2</v>
      </c>
      <c r="K1230" s="4" t="n">
        <f aca="false">G1230*I1230</f>
        <v>2029.6</v>
      </c>
      <c r="L1230" s="4" t="n">
        <f aca="false">J1230-K1230</f>
        <v>677.6</v>
      </c>
    </row>
    <row r="1231" customFormat="false" ht="15" hidden="false" customHeight="false" outlineLevel="0" collapsed="false">
      <c r="A1231" s="0" t="n">
        <v>1244</v>
      </c>
      <c r="B1231" s="2" t="n">
        <v>45815</v>
      </c>
      <c r="C1231" s="3" t="s">
        <v>26</v>
      </c>
      <c r="D1231" s="3" t="s">
        <v>17</v>
      </c>
      <c r="E1231" s="3" t="s">
        <v>40</v>
      </c>
      <c r="F1231" s="3" t="s">
        <v>33</v>
      </c>
      <c r="G1231" s="0" t="n">
        <v>35</v>
      </c>
      <c r="H1231" s="4" t="n">
        <v>750.99</v>
      </c>
      <c r="I1231" s="4" t="n">
        <v>561.32</v>
      </c>
      <c r="J1231" s="4" t="n">
        <f aca="false">G1231*H1231</f>
        <v>26284.65</v>
      </c>
      <c r="K1231" s="4" t="n">
        <f aca="false">G1231*I1231</f>
        <v>19646.2</v>
      </c>
      <c r="L1231" s="4" t="n">
        <f aca="false">J1231-K1231</f>
        <v>6638.45</v>
      </c>
    </row>
    <row r="1232" customFormat="false" ht="15" hidden="false" customHeight="false" outlineLevel="0" collapsed="false">
      <c r="A1232" s="0" t="n">
        <v>1487</v>
      </c>
      <c r="B1232" s="2" t="n">
        <v>45815</v>
      </c>
      <c r="C1232" s="3" t="s">
        <v>16</v>
      </c>
      <c r="D1232" s="3" t="s">
        <v>13</v>
      </c>
      <c r="E1232" s="3" t="s">
        <v>14</v>
      </c>
      <c r="F1232" s="3" t="s">
        <v>36</v>
      </c>
      <c r="G1232" s="0" t="n">
        <v>3</v>
      </c>
      <c r="H1232" s="4" t="n">
        <v>55</v>
      </c>
      <c r="I1232" s="4" t="n">
        <v>29.56</v>
      </c>
      <c r="J1232" s="4" t="n">
        <f aca="false">G1232*H1232</f>
        <v>165</v>
      </c>
      <c r="K1232" s="4" t="n">
        <f aca="false">G1232*I1232</f>
        <v>88.68</v>
      </c>
      <c r="L1232" s="4" t="n">
        <f aca="false">J1232-K1232</f>
        <v>76.32</v>
      </c>
    </row>
    <row r="1233" customFormat="false" ht="15" hidden="false" customHeight="false" outlineLevel="0" collapsed="false">
      <c r="A1233" s="0" t="n">
        <v>2008</v>
      </c>
      <c r="B1233" s="2" t="n">
        <v>45815</v>
      </c>
      <c r="C1233" s="3" t="s">
        <v>26</v>
      </c>
      <c r="D1233" s="3" t="s">
        <v>13</v>
      </c>
      <c r="E1233" s="3" t="s">
        <v>24</v>
      </c>
      <c r="F1233" s="3" t="s">
        <v>33</v>
      </c>
      <c r="G1233" s="0" t="n">
        <v>37</v>
      </c>
      <c r="H1233" s="4" t="n">
        <v>49.89</v>
      </c>
      <c r="I1233" s="4" t="n">
        <v>35.87</v>
      </c>
      <c r="J1233" s="4" t="n">
        <f aca="false">G1233*H1233</f>
        <v>1845.93</v>
      </c>
      <c r="K1233" s="4" t="n">
        <f aca="false">G1233*I1233</f>
        <v>1327.19</v>
      </c>
      <c r="L1233" s="4" t="n">
        <f aca="false">J1233-K1233</f>
        <v>518.74</v>
      </c>
    </row>
    <row r="1234" customFormat="false" ht="15" hidden="false" customHeight="false" outlineLevel="0" collapsed="false">
      <c r="A1234" s="0" t="n">
        <v>2112</v>
      </c>
      <c r="B1234" s="2" t="n">
        <v>45815</v>
      </c>
      <c r="C1234" s="3" t="s">
        <v>12</v>
      </c>
      <c r="D1234" s="3" t="s">
        <v>13</v>
      </c>
      <c r="E1234" s="3" t="s">
        <v>14</v>
      </c>
      <c r="F1234" s="3" t="s">
        <v>33</v>
      </c>
      <c r="G1234" s="0" t="n">
        <v>16</v>
      </c>
      <c r="H1234" s="4" t="n">
        <v>56.42</v>
      </c>
      <c r="I1234" s="4" t="n">
        <v>32.34</v>
      </c>
      <c r="J1234" s="4" t="n">
        <f aca="false">G1234*H1234</f>
        <v>902.72</v>
      </c>
      <c r="K1234" s="4" t="n">
        <f aca="false">G1234*I1234</f>
        <v>517.44</v>
      </c>
      <c r="L1234" s="4" t="n">
        <f aca="false">J1234-K1234</f>
        <v>385.28</v>
      </c>
    </row>
    <row r="1235" customFormat="false" ht="15" hidden="false" customHeight="false" outlineLevel="0" collapsed="false">
      <c r="A1235" s="0" t="n">
        <v>1357</v>
      </c>
      <c r="B1235" s="2" t="n">
        <v>45816</v>
      </c>
      <c r="C1235" s="3" t="s">
        <v>32</v>
      </c>
      <c r="D1235" s="3" t="s">
        <v>29</v>
      </c>
      <c r="E1235" s="3" t="s">
        <v>37</v>
      </c>
      <c r="F1235" s="3" t="s">
        <v>39</v>
      </c>
      <c r="G1235" s="0" t="n">
        <v>14</v>
      </c>
      <c r="H1235" s="4" t="n">
        <v>225.02</v>
      </c>
      <c r="I1235" s="4" t="n">
        <v>167.72</v>
      </c>
      <c r="J1235" s="4" t="n">
        <f aca="false">G1235*H1235</f>
        <v>3150.28</v>
      </c>
      <c r="K1235" s="4" t="n">
        <f aca="false">G1235*I1235</f>
        <v>2348.08</v>
      </c>
      <c r="L1235" s="4" t="n">
        <f aca="false">J1235-K1235</f>
        <v>802.2</v>
      </c>
    </row>
    <row r="1236" customFormat="false" ht="15" hidden="false" customHeight="false" outlineLevel="0" collapsed="false">
      <c r="A1236" s="0" t="n">
        <v>1921</v>
      </c>
      <c r="B1236" s="2" t="n">
        <v>45816</v>
      </c>
      <c r="C1236" s="3" t="s">
        <v>12</v>
      </c>
      <c r="D1236" s="3" t="s">
        <v>13</v>
      </c>
      <c r="E1236" s="3" t="s">
        <v>31</v>
      </c>
      <c r="F1236" s="3" t="s">
        <v>25</v>
      </c>
      <c r="G1236" s="0" t="n">
        <v>14</v>
      </c>
      <c r="H1236" s="4" t="n">
        <v>10.9</v>
      </c>
      <c r="I1236" s="4" t="n">
        <v>5.79</v>
      </c>
      <c r="J1236" s="4" t="n">
        <f aca="false">G1236*H1236</f>
        <v>152.6</v>
      </c>
      <c r="K1236" s="4" t="n">
        <f aca="false">G1236*I1236</f>
        <v>81.06</v>
      </c>
      <c r="L1236" s="4" t="n">
        <f aca="false">J1236-K1236</f>
        <v>71.54</v>
      </c>
    </row>
    <row r="1237" customFormat="false" ht="15" hidden="false" customHeight="false" outlineLevel="0" collapsed="false">
      <c r="A1237" s="0" t="n">
        <v>2146</v>
      </c>
      <c r="B1237" s="2" t="n">
        <v>45816</v>
      </c>
      <c r="C1237" s="3" t="s">
        <v>32</v>
      </c>
      <c r="D1237" s="3" t="s">
        <v>17</v>
      </c>
      <c r="E1237" s="3" t="s">
        <v>35</v>
      </c>
      <c r="F1237" s="3" t="s">
        <v>36</v>
      </c>
      <c r="G1237" s="0" t="n">
        <v>3</v>
      </c>
      <c r="H1237" s="4" t="n">
        <v>866.22</v>
      </c>
      <c r="I1237" s="4" t="n">
        <v>494.32</v>
      </c>
      <c r="J1237" s="4" t="n">
        <f aca="false">G1237*H1237</f>
        <v>2598.66</v>
      </c>
      <c r="K1237" s="4" t="n">
        <f aca="false">G1237*I1237</f>
        <v>1482.96</v>
      </c>
      <c r="L1237" s="4" t="n">
        <f aca="false">J1237-K1237</f>
        <v>1115.7</v>
      </c>
    </row>
    <row r="1238" customFormat="false" ht="15" hidden="false" customHeight="false" outlineLevel="0" collapsed="false">
      <c r="A1238" s="0" t="n">
        <v>1280</v>
      </c>
      <c r="B1238" s="2" t="n">
        <v>45817</v>
      </c>
      <c r="C1238" s="3" t="s">
        <v>26</v>
      </c>
      <c r="D1238" s="3" t="s">
        <v>29</v>
      </c>
      <c r="E1238" s="3" t="s">
        <v>43</v>
      </c>
      <c r="F1238" s="3" t="s">
        <v>19</v>
      </c>
      <c r="G1238" s="0" t="n">
        <v>2</v>
      </c>
      <c r="H1238" s="4" t="n">
        <v>313.5</v>
      </c>
      <c r="I1238" s="4" t="n">
        <v>164.17</v>
      </c>
      <c r="J1238" s="4" t="n">
        <f aca="false">G1238*H1238</f>
        <v>627</v>
      </c>
      <c r="K1238" s="4" t="n">
        <f aca="false">G1238*I1238</f>
        <v>328.34</v>
      </c>
      <c r="L1238" s="4" t="n">
        <f aca="false">J1238-K1238</f>
        <v>298.66</v>
      </c>
    </row>
    <row r="1239" customFormat="false" ht="15" hidden="false" customHeight="false" outlineLevel="0" collapsed="false">
      <c r="A1239" s="0" t="n">
        <v>2363</v>
      </c>
      <c r="B1239" s="2" t="n">
        <v>45818</v>
      </c>
      <c r="C1239" s="3" t="s">
        <v>26</v>
      </c>
      <c r="D1239" s="3" t="s">
        <v>17</v>
      </c>
      <c r="E1239" s="3" t="s">
        <v>44</v>
      </c>
      <c r="F1239" s="3" t="s">
        <v>36</v>
      </c>
      <c r="G1239" s="0" t="n">
        <v>22</v>
      </c>
      <c r="H1239" s="4" t="n">
        <v>614.92</v>
      </c>
      <c r="I1239" s="4" t="n">
        <v>329.32</v>
      </c>
      <c r="J1239" s="4" t="n">
        <f aca="false">G1239*H1239</f>
        <v>13528.24</v>
      </c>
      <c r="K1239" s="4" t="n">
        <f aca="false">G1239*I1239</f>
        <v>7245.04</v>
      </c>
      <c r="L1239" s="4" t="n">
        <f aca="false">J1239-K1239</f>
        <v>6283.2</v>
      </c>
    </row>
    <row r="1240" customFormat="false" ht="15" hidden="false" customHeight="false" outlineLevel="0" collapsed="false">
      <c r="A1240" s="0" t="n">
        <v>1171</v>
      </c>
      <c r="B1240" s="2" t="n">
        <v>45819</v>
      </c>
      <c r="C1240" s="3" t="s">
        <v>12</v>
      </c>
      <c r="D1240" s="3" t="s">
        <v>29</v>
      </c>
      <c r="E1240" s="3" t="s">
        <v>43</v>
      </c>
      <c r="F1240" s="3" t="s">
        <v>19</v>
      </c>
      <c r="G1240" s="0" t="n">
        <v>26</v>
      </c>
      <c r="H1240" s="4" t="n">
        <v>205.68</v>
      </c>
      <c r="I1240" s="4" t="n">
        <v>145.43</v>
      </c>
      <c r="J1240" s="4" t="n">
        <f aca="false">G1240*H1240</f>
        <v>5347.68</v>
      </c>
      <c r="K1240" s="4" t="n">
        <f aca="false">G1240*I1240</f>
        <v>3781.18</v>
      </c>
      <c r="L1240" s="4" t="n">
        <f aca="false">J1240-K1240</f>
        <v>1566.5</v>
      </c>
    </row>
    <row r="1241" customFormat="false" ht="15" hidden="false" customHeight="false" outlineLevel="0" collapsed="false">
      <c r="A1241" s="0" t="n">
        <v>1812</v>
      </c>
      <c r="B1241" s="2" t="n">
        <v>45819</v>
      </c>
      <c r="C1241" s="3" t="s">
        <v>32</v>
      </c>
      <c r="D1241" s="3" t="s">
        <v>20</v>
      </c>
      <c r="E1241" s="3" t="s">
        <v>34</v>
      </c>
      <c r="F1241" s="3" t="s">
        <v>36</v>
      </c>
      <c r="G1241" s="0" t="n">
        <v>16</v>
      </c>
      <c r="H1241" s="4" t="n">
        <v>212.64</v>
      </c>
      <c r="I1241" s="4" t="n">
        <v>157.06</v>
      </c>
      <c r="J1241" s="4" t="n">
        <f aca="false">G1241*H1241</f>
        <v>3402.24</v>
      </c>
      <c r="K1241" s="4" t="n">
        <f aca="false">G1241*I1241</f>
        <v>2512.96</v>
      </c>
      <c r="L1241" s="4" t="n">
        <f aca="false">J1241-K1241</f>
        <v>889.28</v>
      </c>
    </row>
    <row r="1242" customFormat="false" ht="15" hidden="false" customHeight="false" outlineLevel="0" collapsed="false">
      <c r="A1242" s="0" t="n">
        <v>1683</v>
      </c>
      <c r="B1242" s="2" t="n">
        <v>45820</v>
      </c>
      <c r="C1242" s="3" t="s">
        <v>32</v>
      </c>
      <c r="D1242" s="3" t="s">
        <v>17</v>
      </c>
      <c r="E1242" s="3" t="s">
        <v>18</v>
      </c>
      <c r="F1242" s="3" t="s">
        <v>19</v>
      </c>
      <c r="G1242" s="0" t="n">
        <v>1</v>
      </c>
      <c r="H1242" s="4" t="n">
        <v>662.81</v>
      </c>
      <c r="I1242" s="4" t="n">
        <v>397.96</v>
      </c>
      <c r="J1242" s="4" t="n">
        <f aca="false">G1242*H1242</f>
        <v>662.81</v>
      </c>
      <c r="K1242" s="4" t="n">
        <f aca="false">G1242*I1242</f>
        <v>397.96</v>
      </c>
      <c r="L1242" s="4" t="n">
        <f aca="false">J1242-K1242</f>
        <v>264.85</v>
      </c>
    </row>
    <row r="1243" customFormat="false" ht="15" hidden="false" customHeight="false" outlineLevel="0" collapsed="false">
      <c r="A1243" s="0" t="n">
        <v>1369</v>
      </c>
      <c r="B1243" s="2" t="n">
        <v>45821</v>
      </c>
      <c r="C1243" s="3" t="s">
        <v>32</v>
      </c>
      <c r="D1243" s="3" t="s">
        <v>20</v>
      </c>
      <c r="E1243" s="3" t="s">
        <v>21</v>
      </c>
      <c r="F1243" s="3" t="s">
        <v>22</v>
      </c>
      <c r="G1243" s="0" t="n">
        <v>19</v>
      </c>
      <c r="H1243" s="4" t="n">
        <v>285.5</v>
      </c>
      <c r="I1243" s="4" t="n">
        <v>154.7</v>
      </c>
      <c r="J1243" s="4" t="n">
        <f aca="false">G1243*H1243</f>
        <v>5424.5</v>
      </c>
      <c r="K1243" s="4" t="n">
        <f aca="false">G1243*I1243</f>
        <v>2939.3</v>
      </c>
      <c r="L1243" s="4" t="n">
        <f aca="false">J1243-K1243</f>
        <v>2485.2</v>
      </c>
    </row>
    <row r="1244" customFormat="false" ht="15" hidden="false" customHeight="false" outlineLevel="0" collapsed="false">
      <c r="A1244" s="0" t="n">
        <v>2636</v>
      </c>
      <c r="B1244" s="2" t="n">
        <v>45821</v>
      </c>
      <c r="C1244" s="3" t="s">
        <v>16</v>
      </c>
      <c r="D1244" s="3" t="s">
        <v>17</v>
      </c>
      <c r="E1244" s="3" t="s">
        <v>35</v>
      </c>
      <c r="F1244" s="3" t="s">
        <v>39</v>
      </c>
      <c r="G1244" s="0" t="n">
        <v>11</v>
      </c>
      <c r="H1244" s="4" t="n">
        <v>182.39</v>
      </c>
      <c r="I1244" s="4" t="n">
        <v>99.21</v>
      </c>
      <c r="J1244" s="4" t="n">
        <f aca="false">G1244*H1244</f>
        <v>2006.29</v>
      </c>
      <c r="K1244" s="4" t="n">
        <f aca="false">G1244*I1244</f>
        <v>1091.31</v>
      </c>
      <c r="L1244" s="4" t="n">
        <f aca="false">J1244-K1244</f>
        <v>914.98</v>
      </c>
    </row>
    <row r="1245" customFormat="false" ht="15" hidden="false" customHeight="false" outlineLevel="0" collapsed="false">
      <c r="A1245" s="0" t="n">
        <v>2229</v>
      </c>
      <c r="B1245" s="2" t="n">
        <v>45822</v>
      </c>
      <c r="C1245" s="3" t="s">
        <v>16</v>
      </c>
      <c r="D1245" s="3" t="s">
        <v>17</v>
      </c>
      <c r="E1245" s="3" t="s">
        <v>35</v>
      </c>
      <c r="F1245" s="3" t="s">
        <v>19</v>
      </c>
      <c r="G1245" s="0" t="n">
        <v>21</v>
      </c>
      <c r="H1245" s="4" t="n">
        <v>371.11</v>
      </c>
      <c r="I1245" s="4" t="n">
        <v>220.92</v>
      </c>
      <c r="J1245" s="4" t="n">
        <f aca="false">G1245*H1245</f>
        <v>7793.31</v>
      </c>
      <c r="K1245" s="4" t="n">
        <f aca="false">G1245*I1245</f>
        <v>4639.32</v>
      </c>
      <c r="L1245" s="4" t="n">
        <f aca="false">J1245-K1245</f>
        <v>3153.99</v>
      </c>
    </row>
    <row r="1246" customFormat="false" ht="15" hidden="false" customHeight="false" outlineLevel="0" collapsed="false">
      <c r="A1246" s="0" t="n">
        <v>1160</v>
      </c>
      <c r="B1246" s="2" t="n">
        <v>45823</v>
      </c>
      <c r="C1246" s="3" t="s">
        <v>32</v>
      </c>
      <c r="D1246" s="3" t="s">
        <v>17</v>
      </c>
      <c r="E1246" s="3" t="s">
        <v>40</v>
      </c>
      <c r="F1246" s="3" t="s">
        <v>39</v>
      </c>
      <c r="G1246" s="0" t="n">
        <v>36</v>
      </c>
      <c r="H1246" s="4" t="n">
        <v>290.54</v>
      </c>
      <c r="I1246" s="4" t="n">
        <v>191.83</v>
      </c>
      <c r="J1246" s="4" t="n">
        <f aca="false">G1246*H1246</f>
        <v>10459.44</v>
      </c>
      <c r="K1246" s="4" t="n">
        <f aca="false">G1246*I1246</f>
        <v>6905.88</v>
      </c>
      <c r="L1246" s="4" t="n">
        <f aca="false">J1246-K1246</f>
        <v>3553.56</v>
      </c>
    </row>
    <row r="1247" customFormat="false" ht="15" hidden="false" customHeight="false" outlineLevel="0" collapsed="false">
      <c r="A1247" s="0" t="n">
        <v>2547</v>
      </c>
      <c r="B1247" s="2" t="n">
        <v>45823</v>
      </c>
      <c r="C1247" s="3" t="s">
        <v>12</v>
      </c>
      <c r="D1247" s="3" t="s">
        <v>13</v>
      </c>
      <c r="E1247" s="3" t="s">
        <v>24</v>
      </c>
      <c r="F1247" s="3" t="s">
        <v>22</v>
      </c>
      <c r="G1247" s="0" t="n">
        <v>7</v>
      </c>
      <c r="H1247" s="4" t="n">
        <v>23.77</v>
      </c>
      <c r="I1247" s="4" t="n">
        <v>12.21</v>
      </c>
      <c r="J1247" s="4" t="n">
        <f aca="false">G1247*H1247</f>
        <v>166.39</v>
      </c>
      <c r="K1247" s="4" t="n">
        <f aca="false">G1247*I1247</f>
        <v>85.47</v>
      </c>
      <c r="L1247" s="4" t="n">
        <f aca="false">J1247-K1247</f>
        <v>80.92</v>
      </c>
    </row>
    <row r="1248" customFormat="false" ht="15" hidden="false" customHeight="false" outlineLevel="0" collapsed="false">
      <c r="A1248" s="0" t="n">
        <v>1685</v>
      </c>
      <c r="B1248" s="2" t="n">
        <v>45824</v>
      </c>
      <c r="C1248" s="3" t="s">
        <v>32</v>
      </c>
      <c r="D1248" s="3" t="s">
        <v>20</v>
      </c>
      <c r="E1248" s="3" t="s">
        <v>21</v>
      </c>
      <c r="F1248" s="3" t="s">
        <v>15</v>
      </c>
      <c r="G1248" s="0" t="n">
        <v>21</v>
      </c>
      <c r="H1248" s="4" t="n">
        <v>167.78</v>
      </c>
      <c r="I1248" s="4" t="n">
        <v>122.5</v>
      </c>
      <c r="J1248" s="4" t="n">
        <f aca="false">G1248*H1248</f>
        <v>3523.38</v>
      </c>
      <c r="K1248" s="4" t="n">
        <f aca="false">G1248*I1248</f>
        <v>2572.5</v>
      </c>
      <c r="L1248" s="4" t="n">
        <f aca="false">J1248-K1248</f>
        <v>950.88</v>
      </c>
    </row>
    <row r="1249" customFormat="false" ht="15" hidden="false" customHeight="false" outlineLevel="0" collapsed="false">
      <c r="A1249" s="0" t="n">
        <v>1793</v>
      </c>
      <c r="B1249" s="2" t="n">
        <v>45824</v>
      </c>
      <c r="C1249" s="3" t="s">
        <v>32</v>
      </c>
      <c r="D1249" s="3" t="s">
        <v>20</v>
      </c>
      <c r="E1249" s="3" t="s">
        <v>21</v>
      </c>
      <c r="F1249" s="3" t="s">
        <v>33</v>
      </c>
      <c r="G1249" s="0" t="n">
        <v>39</v>
      </c>
      <c r="H1249" s="4" t="n">
        <v>299.84</v>
      </c>
      <c r="I1249" s="4" t="n">
        <v>211.15</v>
      </c>
      <c r="J1249" s="4" t="n">
        <f aca="false">G1249*H1249</f>
        <v>11693.76</v>
      </c>
      <c r="K1249" s="4" t="n">
        <f aca="false">G1249*I1249</f>
        <v>8234.85</v>
      </c>
      <c r="L1249" s="4" t="n">
        <f aca="false">J1249-K1249</f>
        <v>3458.91</v>
      </c>
    </row>
    <row r="1250" customFormat="false" ht="15" hidden="false" customHeight="false" outlineLevel="0" collapsed="false">
      <c r="A1250" s="0" t="n">
        <v>1956</v>
      </c>
      <c r="B1250" s="2" t="n">
        <v>45824</v>
      </c>
      <c r="C1250" s="3" t="s">
        <v>32</v>
      </c>
      <c r="D1250" s="3" t="s">
        <v>17</v>
      </c>
      <c r="E1250" s="3" t="s">
        <v>18</v>
      </c>
      <c r="F1250" s="3" t="s">
        <v>28</v>
      </c>
      <c r="G1250" s="0" t="n">
        <v>37</v>
      </c>
      <c r="H1250" s="4" t="n">
        <v>873.25</v>
      </c>
      <c r="I1250" s="4" t="n">
        <v>545.55</v>
      </c>
      <c r="J1250" s="4" t="n">
        <f aca="false">G1250*H1250</f>
        <v>32310.25</v>
      </c>
      <c r="K1250" s="4" t="n">
        <f aca="false">G1250*I1250</f>
        <v>20185.35</v>
      </c>
      <c r="L1250" s="4" t="n">
        <f aca="false">J1250-K1250</f>
        <v>12124.9</v>
      </c>
    </row>
    <row r="1251" customFormat="false" ht="15" hidden="false" customHeight="false" outlineLevel="0" collapsed="false">
      <c r="A1251" s="0" t="n">
        <v>2435</v>
      </c>
      <c r="B1251" s="2" t="n">
        <v>45824</v>
      </c>
      <c r="C1251" s="3" t="s">
        <v>16</v>
      </c>
      <c r="D1251" s="3" t="s">
        <v>29</v>
      </c>
      <c r="E1251" s="3" t="s">
        <v>41</v>
      </c>
      <c r="F1251" s="3" t="s">
        <v>19</v>
      </c>
      <c r="G1251" s="0" t="n">
        <v>39</v>
      </c>
      <c r="H1251" s="4" t="n">
        <v>480.52</v>
      </c>
      <c r="I1251" s="4" t="n">
        <v>313.65</v>
      </c>
      <c r="J1251" s="4" t="n">
        <f aca="false">G1251*H1251</f>
        <v>18740.28</v>
      </c>
      <c r="K1251" s="4" t="n">
        <f aca="false">G1251*I1251</f>
        <v>12232.35</v>
      </c>
      <c r="L1251" s="4" t="n">
        <f aca="false">J1251-K1251</f>
        <v>6507.93</v>
      </c>
    </row>
    <row r="1252" customFormat="false" ht="15" hidden="false" customHeight="false" outlineLevel="0" collapsed="false">
      <c r="A1252" s="0" t="n">
        <v>1996</v>
      </c>
      <c r="B1252" s="2" t="n">
        <v>45825</v>
      </c>
      <c r="C1252" s="3" t="s">
        <v>12</v>
      </c>
      <c r="D1252" s="3" t="s">
        <v>29</v>
      </c>
      <c r="E1252" s="3" t="s">
        <v>37</v>
      </c>
      <c r="F1252" s="3" t="s">
        <v>25</v>
      </c>
      <c r="G1252" s="0" t="n">
        <v>24</v>
      </c>
      <c r="H1252" s="4" t="n">
        <v>95.06</v>
      </c>
      <c r="I1252" s="4" t="n">
        <v>57.99</v>
      </c>
      <c r="J1252" s="4" t="n">
        <f aca="false">G1252*H1252</f>
        <v>2281.44</v>
      </c>
      <c r="K1252" s="4" t="n">
        <f aca="false">G1252*I1252</f>
        <v>1391.76</v>
      </c>
      <c r="L1252" s="4" t="n">
        <f aca="false">J1252-K1252</f>
        <v>889.68</v>
      </c>
    </row>
    <row r="1253" customFormat="false" ht="15" hidden="false" customHeight="false" outlineLevel="0" collapsed="false">
      <c r="A1253" s="0" t="n">
        <v>2663</v>
      </c>
      <c r="B1253" s="2" t="n">
        <v>45826</v>
      </c>
      <c r="C1253" s="3" t="s">
        <v>23</v>
      </c>
      <c r="D1253" s="3" t="s">
        <v>20</v>
      </c>
      <c r="E1253" s="3" t="s">
        <v>34</v>
      </c>
      <c r="F1253" s="3" t="s">
        <v>36</v>
      </c>
      <c r="G1253" s="0" t="n">
        <v>23</v>
      </c>
      <c r="H1253" s="4" t="n">
        <v>234.48</v>
      </c>
      <c r="I1253" s="4" t="n">
        <v>141.47</v>
      </c>
      <c r="J1253" s="4" t="n">
        <f aca="false">G1253*H1253</f>
        <v>5393.04</v>
      </c>
      <c r="K1253" s="4" t="n">
        <f aca="false">G1253*I1253</f>
        <v>3253.81</v>
      </c>
      <c r="L1253" s="4" t="n">
        <f aca="false">J1253-K1253</f>
        <v>2139.23</v>
      </c>
    </row>
    <row r="1254" customFormat="false" ht="15" hidden="false" customHeight="false" outlineLevel="0" collapsed="false">
      <c r="A1254" s="0" t="n">
        <v>2694</v>
      </c>
      <c r="B1254" s="2" t="n">
        <v>45826</v>
      </c>
      <c r="C1254" s="3" t="s">
        <v>16</v>
      </c>
      <c r="D1254" s="3" t="s">
        <v>20</v>
      </c>
      <c r="E1254" s="3" t="s">
        <v>42</v>
      </c>
      <c r="F1254" s="3" t="s">
        <v>33</v>
      </c>
      <c r="G1254" s="0" t="n">
        <v>37</v>
      </c>
      <c r="H1254" s="4" t="n">
        <v>142.23</v>
      </c>
      <c r="I1254" s="4" t="n">
        <v>90.16</v>
      </c>
      <c r="J1254" s="4" t="n">
        <f aca="false">G1254*H1254</f>
        <v>5262.51</v>
      </c>
      <c r="K1254" s="4" t="n">
        <f aca="false">G1254*I1254</f>
        <v>3335.92</v>
      </c>
      <c r="L1254" s="4" t="n">
        <f aca="false">J1254-K1254</f>
        <v>1926.59</v>
      </c>
    </row>
    <row r="1255" customFormat="false" ht="15" hidden="false" customHeight="false" outlineLevel="0" collapsed="false">
      <c r="A1255" s="0" t="n">
        <v>1266</v>
      </c>
      <c r="B1255" s="2" t="n">
        <v>45827</v>
      </c>
      <c r="C1255" s="3" t="s">
        <v>16</v>
      </c>
      <c r="D1255" s="3" t="s">
        <v>29</v>
      </c>
      <c r="E1255" s="3" t="s">
        <v>37</v>
      </c>
      <c r="F1255" s="3" t="s">
        <v>33</v>
      </c>
      <c r="G1255" s="0" t="n">
        <v>9</v>
      </c>
      <c r="H1255" s="4" t="n">
        <v>387.83</v>
      </c>
      <c r="I1255" s="4" t="n">
        <v>281.17</v>
      </c>
      <c r="J1255" s="4" t="n">
        <f aca="false">G1255*H1255</f>
        <v>3490.47</v>
      </c>
      <c r="K1255" s="4" t="n">
        <f aca="false">G1255*I1255</f>
        <v>2530.53</v>
      </c>
      <c r="L1255" s="4" t="n">
        <f aca="false">J1255-K1255</f>
        <v>959.94</v>
      </c>
    </row>
    <row r="1256" customFormat="false" ht="15" hidden="false" customHeight="false" outlineLevel="0" collapsed="false">
      <c r="A1256" s="0" t="n">
        <v>1338</v>
      </c>
      <c r="B1256" s="2" t="n">
        <v>45827</v>
      </c>
      <c r="C1256" s="3" t="s">
        <v>12</v>
      </c>
      <c r="D1256" s="3" t="s">
        <v>29</v>
      </c>
      <c r="E1256" s="3" t="s">
        <v>41</v>
      </c>
      <c r="F1256" s="3" t="s">
        <v>15</v>
      </c>
      <c r="G1256" s="0" t="n">
        <v>11</v>
      </c>
      <c r="H1256" s="4" t="n">
        <v>167.23</v>
      </c>
      <c r="I1256" s="4" t="n">
        <v>97.44</v>
      </c>
      <c r="J1256" s="4" t="n">
        <f aca="false">G1256*H1256</f>
        <v>1839.53</v>
      </c>
      <c r="K1256" s="4" t="n">
        <f aca="false">G1256*I1256</f>
        <v>1071.84</v>
      </c>
      <c r="L1256" s="4" t="n">
        <f aca="false">J1256-K1256</f>
        <v>767.69</v>
      </c>
    </row>
    <row r="1257" customFormat="false" ht="15" hidden="false" customHeight="false" outlineLevel="0" collapsed="false">
      <c r="A1257" s="0" t="n">
        <v>1468</v>
      </c>
      <c r="B1257" s="2" t="n">
        <v>45827</v>
      </c>
      <c r="C1257" s="3" t="s">
        <v>32</v>
      </c>
      <c r="D1257" s="3" t="s">
        <v>20</v>
      </c>
      <c r="E1257" s="3" t="s">
        <v>34</v>
      </c>
      <c r="F1257" s="3" t="s">
        <v>22</v>
      </c>
      <c r="G1257" s="0" t="n">
        <v>25</v>
      </c>
      <c r="H1257" s="4" t="n">
        <v>67.69</v>
      </c>
      <c r="I1257" s="4" t="n">
        <v>38.65</v>
      </c>
      <c r="J1257" s="4" t="n">
        <f aca="false">G1257*H1257</f>
        <v>1692.25</v>
      </c>
      <c r="K1257" s="4" t="n">
        <f aca="false">G1257*I1257</f>
        <v>966.25</v>
      </c>
      <c r="L1257" s="4" t="n">
        <f aca="false">J1257-K1257</f>
        <v>726</v>
      </c>
    </row>
    <row r="1258" customFormat="false" ht="15" hidden="false" customHeight="false" outlineLevel="0" collapsed="false">
      <c r="A1258" s="0" t="n">
        <v>1907</v>
      </c>
      <c r="B1258" s="2" t="n">
        <v>45827</v>
      </c>
      <c r="C1258" s="3" t="s">
        <v>32</v>
      </c>
      <c r="D1258" s="3" t="s">
        <v>17</v>
      </c>
      <c r="E1258" s="3" t="s">
        <v>44</v>
      </c>
      <c r="F1258" s="3" t="s">
        <v>28</v>
      </c>
      <c r="G1258" s="0" t="n">
        <v>28</v>
      </c>
      <c r="H1258" s="4" t="n">
        <v>373.42</v>
      </c>
      <c r="I1258" s="4" t="n">
        <v>213.32</v>
      </c>
      <c r="J1258" s="4" t="n">
        <f aca="false">G1258*H1258</f>
        <v>10455.76</v>
      </c>
      <c r="K1258" s="4" t="n">
        <f aca="false">G1258*I1258</f>
        <v>5972.96</v>
      </c>
      <c r="L1258" s="4" t="n">
        <f aca="false">J1258-K1258</f>
        <v>4482.8</v>
      </c>
    </row>
    <row r="1259" customFormat="false" ht="15" hidden="false" customHeight="false" outlineLevel="0" collapsed="false">
      <c r="A1259" s="0" t="n">
        <v>2052</v>
      </c>
      <c r="B1259" s="2" t="n">
        <v>45827</v>
      </c>
      <c r="C1259" s="3" t="s">
        <v>12</v>
      </c>
      <c r="D1259" s="3" t="s">
        <v>29</v>
      </c>
      <c r="E1259" s="3" t="s">
        <v>43</v>
      </c>
      <c r="F1259" s="3" t="s">
        <v>28</v>
      </c>
      <c r="G1259" s="0" t="n">
        <v>30</v>
      </c>
      <c r="H1259" s="4" t="n">
        <v>393.64</v>
      </c>
      <c r="I1259" s="4" t="n">
        <v>288.13</v>
      </c>
      <c r="J1259" s="4" t="n">
        <f aca="false">G1259*H1259</f>
        <v>11809.2</v>
      </c>
      <c r="K1259" s="4" t="n">
        <f aca="false">G1259*I1259</f>
        <v>8643.9</v>
      </c>
      <c r="L1259" s="4" t="n">
        <f aca="false">J1259-K1259</f>
        <v>3165.3</v>
      </c>
    </row>
    <row r="1260" customFormat="false" ht="15" hidden="false" customHeight="false" outlineLevel="0" collapsed="false">
      <c r="A1260" s="0" t="n">
        <v>1448</v>
      </c>
      <c r="B1260" s="2" t="n">
        <v>45828</v>
      </c>
      <c r="C1260" s="3" t="s">
        <v>23</v>
      </c>
      <c r="D1260" s="3" t="s">
        <v>13</v>
      </c>
      <c r="E1260" s="3" t="s">
        <v>46</v>
      </c>
      <c r="F1260" s="3" t="s">
        <v>15</v>
      </c>
      <c r="G1260" s="0" t="n">
        <v>21</v>
      </c>
      <c r="H1260" s="4" t="n">
        <v>21.36</v>
      </c>
      <c r="I1260" s="4" t="n">
        <v>10.91</v>
      </c>
      <c r="J1260" s="4" t="n">
        <f aca="false">G1260*H1260</f>
        <v>448.56</v>
      </c>
      <c r="K1260" s="4" t="n">
        <f aca="false">G1260*I1260</f>
        <v>229.11</v>
      </c>
      <c r="L1260" s="4" t="n">
        <f aca="false">J1260-K1260</f>
        <v>219.45</v>
      </c>
    </row>
    <row r="1261" customFormat="false" ht="15" hidden="false" customHeight="false" outlineLevel="0" collapsed="false">
      <c r="A1261" s="0" t="n">
        <v>1464</v>
      </c>
      <c r="B1261" s="2" t="n">
        <v>45828</v>
      </c>
      <c r="C1261" s="3" t="s">
        <v>12</v>
      </c>
      <c r="D1261" s="3" t="s">
        <v>13</v>
      </c>
      <c r="E1261" s="3" t="s">
        <v>45</v>
      </c>
      <c r="F1261" s="3" t="s">
        <v>15</v>
      </c>
      <c r="G1261" s="0" t="n">
        <v>28</v>
      </c>
      <c r="H1261" s="4" t="n">
        <v>55.68</v>
      </c>
      <c r="I1261" s="4" t="n">
        <v>33.74</v>
      </c>
      <c r="J1261" s="4" t="n">
        <f aca="false">G1261*H1261</f>
        <v>1559.04</v>
      </c>
      <c r="K1261" s="4" t="n">
        <f aca="false">G1261*I1261</f>
        <v>944.72</v>
      </c>
      <c r="L1261" s="4" t="n">
        <f aca="false">J1261-K1261</f>
        <v>614.32</v>
      </c>
    </row>
    <row r="1262" customFormat="false" ht="15" hidden="false" customHeight="false" outlineLevel="0" collapsed="false">
      <c r="A1262" s="0" t="n">
        <v>2081</v>
      </c>
      <c r="B1262" s="2" t="n">
        <v>45828</v>
      </c>
      <c r="C1262" s="3" t="s">
        <v>12</v>
      </c>
      <c r="D1262" s="3" t="s">
        <v>13</v>
      </c>
      <c r="E1262" s="3" t="s">
        <v>24</v>
      </c>
      <c r="F1262" s="3" t="s">
        <v>33</v>
      </c>
      <c r="G1262" s="0" t="n">
        <v>4</v>
      </c>
      <c r="H1262" s="4" t="n">
        <v>20.63</v>
      </c>
      <c r="I1262" s="4" t="n">
        <v>12.68</v>
      </c>
      <c r="J1262" s="4" t="n">
        <f aca="false">G1262*H1262</f>
        <v>82.52</v>
      </c>
      <c r="K1262" s="4" t="n">
        <f aca="false">G1262*I1262</f>
        <v>50.72</v>
      </c>
      <c r="L1262" s="4" t="n">
        <f aca="false">J1262-K1262</f>
        <v>31.8</v>
      </c>
    </row>
    <row r="1263" customFormat="false" ht="15" hidden="false" customHeight="false" outlineLevel="0" collapsed="false">
      <c r="A1263" s="0" t="n">
        <v>2096</v>
      </c>
      <c r="B1263" s="2" t="n">
        <v>45828</v>
      </c>
      <c r="C1263" s="3" t="s">
        <v>16</v>
      </c>
      <c r="D1263" s="3" t="s">
        <v>20</v>
      </c>
      <c r="E1263" s="3" t="s">
        <v>42</v>
      </c>
      <c r="F1263" s="3" t="s">
        <v>25</v>
      </c>
      <c r="G1263" s="0" t="n">
        <v>21</v>
      </c>
      <c r="H1263" s="4" t="n">
        <v>198.59</v>
      </c>
      <c r="I1263" s="4" t="n">
        <v>143.09</v>
      </c>
      <c r="J1263" s="4" t="n">
        <f aca="false">G1263*H1263</f>
        <v>4170.39</v>
      </c>
      <c r="K1263" s="4" t="n">
        <f aca="false">G1263*I1263</f>
        <v>3004.89</v>
      </c>
      <c r="L1263" s="4" t="n">
        <f aca="false">J1263-K1263</f>
        <v>1165.5</v>
      </c>
    </row>
    <row r="1264" customFormat="false" ht="15" hidden="false" customHeight="false" outlineLevel="0" collapsed="false">
      <c r="A1264" s="0" t="n">
        <v>2125</v>
      </c>
      <c r="B1264" s="2" t="n">
        <v>45828</v>
      </c>
      <c r="C1264" s="3" t="s">
        <v>12</v>
      </c>
      <c r="D1264" s="3" t="s">
        <v>13</v>
      </c>
      <c r="E1264" s="3" t="s">
        <v>31</v>
      </c>
      <c r="F1264" s="3" t="s">
        <v>22</v>
      </c>
      <c r="G1264" s="0" t="n">
        <v>26</v>
      </c>
      <c r="H1264" s="4" t="n">
        <v>57.27</v>
      </c>
      <c r="I1264" s="4" t="n">
        <v>42.4</v>
      </c>
      <c r="J1264" s="4" t="n">
        <f aca="false">G1264*H1264</f>
        <v>1489.02</v>
      </c>
      <c r="K1264" s="4" t="n">
        <f aca="false">G1264*I1264</f>
        <v>1102.4</v>
      </c>
      <c r="L1264" s="4" t="n">
        <f aca="false">J1264-K1264</f>
        <v>386.62</v>
      </c>
    </row>
    <row r="1265" customFormat="false" ht="15" hidden="false" customHeight="false" outlineLevel="0" collapsed="false">
      <c r="A1265" s="0" t="n">
        <v>1537</v>
      </c>
      <c r="B1265" s="2" t="n">
        <v>45829</v>
      </c>
      <c r="C1265" s="3" t="s">
        <v>26</v>
      </c>
      <c r="D1265" s="3" t="s">
        <v>20</v>
      </c>
      <c r="E1265" s="3" t="s">
        <v>38</v>
      </c>
      <c r="F1265" s="3" t="s">
        <v>39</v>
      </c>
      <c r="G1265" s="0" t="n">
        <v>19</v>
      </c>
      <c r="H1265" s="4" t="n">
        <v>35.93</v>
      </c>
      <c r="I1265" s="4" t="n">
        <v>23.3</v>
      </c>
      <c r="J1265" s="4" t="n">
        <f aca="false">G1265*H1265</f>
        <v>682.67</v>
      </c>
      <c r="K1265" s="4" t="n">
        <f aca="false">G1265*I1265</f>
        <v>442.7</v>
      </c>
      <c r="L1265" s="4" t="n">
        <f aca="false">J1265-K1265</f>
        <v>239.97</v>
      </c>
    </row>
    <row r="1266" customFormat="false" ht="15" hidden="false" customHeight="false" outlineLevel="0" collapsed="false">
      <c r="A1266" s="0" t="n">
        <v>2355</v>
      </c>
      <c r="B1266" s="2" t="n">
        <v>45829</v>
      </c>
      <c r="C1266" s="3" t="s">
        <v>23</v>
      </c>
      <c r="D1266" s="3" t="s">
        <v>29</v>
      </c>
      <c r="E1266" s="3" t="s">
        <v>41</v>
      </c>
      <c r="F1266" s="3" t="s">
        <v>15</v>
      </c>
      <c r="G1266" s="0" t="n">
        <v>34</v>
      </c>
      <c r="H1266" s="4" t="n">
        <v>440.33</v>
      </c>
      <c r="I1266" s="4" t="n">
        <v>224.17</v>
      </c>
      <c r="J1266" s="4" t="n">
        <f aca="false">G1266*H1266</f>
        <v>14971.22</v>
      </c>
      <c r="K1266" s="4" t="n">
        <f aca="false">G1266*I1266</f>
        <v>7621.78</v>
      </c>
      <c r="L1266" s="4" t="n">
        <f aca="false">J1266-K1266</f>
        <v>7349.44</v>
      </c>
    </row>
    <row r="1267" customFormat="false" ht="15" hidden="false" customHeight="false" outlineLevel="0" collapsed="false">
      <c r="A1267" s="0" t="n">
        <v>2462</v>
      </c>
      <c r="B1267" s="2" t="n">
        <v>45829</v>
      </c>
      <c r="C1267" s="3" t="s">
        <v>26</v>
      </c>
      <c r="D1267" s="3" t="s">
        <v>17</v>
      </c>
      <c r="E1267" s="3" t="s">
        <v>44</v>
      </c>
      <c r="F1267" s="3" t="s">
        <v>39</v>
      </c>
      <c r="G1267" s="0" t="n">
        <v>2</v>
      </c>
      <c r="H1267" s="4" t="n">
        <v>897.7</v>
      </c>
      <c r="I1267" s="4" t="n">
        <v>473.99</v>
      </c>
      <c r="J1267" s="4" t="n">
        <f aca="false">G1267*H1267</f>
        <v>1795.4</v>
      </c>
      <c r="K1267" s="4" t="n">
        <f aca="false">G1267*I1267</f>
        <v>947.98</v>
      </c>
      <c r="L1267" s="4" t="n">
        <f aca="false">J1267-K1267</f>
        <v>847.42</v>
      </c>
    </row>
    <row r="1268" customFormat="false" ht="15" hidden="false" customHeight="false" outlineLevel="0" collapsed="false">
      <c r="A1268" s="0" t="n">
        <v>2700</v>
      </c>
      <c r="B1268" s="2" t="n">
        <v>45829</v>
      </c>
      <c r="C1268" s="3" t="s">
        <v>26</v>
      </c>
      <c r="D1268" s="3" t="s">
        <v>17</v>
      </c>
      <c r="E1268" s="3" t="s">
        <v>18</v>
      </c>
      <c r="F1268" s="3" t="s">
        <v>33</v>
      </c>
      <c r="G1268" s="0" t="n">
        <v>37</v>
      </c>
      <c r="H1268" s="4" t="n">
        <v>566.05</v>
      </c>
      <c r="I1268" s="4" t="n">
        <v>371.8</v>
      </c>
      <c r="J1268" s="4" t="n">
        <f aca="false">G1268*H1268</f>
        <v>20943.85</v>
      </c>
      <c r="K1268" s="4" t="n">
        <f aca="false">G1268*I1268</f>
        <v>13756.6</v>
      </c>
      <c r="L1268" s="4" t="n">
        <f aca="false">J1268-K1268</f>
        <v>7187.25</v>
      </c>
    </row>
    <row r="1269" customFormat="false" ht="15" hidden="false" customHeight="false" outlineLevel="0" collapsed="false">
      <c r="A1269" s="0" t="n">
        <v>1526</v>
      </c>
      <c r="B1269" s="2" t="n">
        <v>45831</v>
      </c>
      <c r="C1269" s="3" t="s">
        <v>32</v>
      </c>
      <c r="D1269" s="3" t="s">
        <v>20</v>
      </c>
      <c r="E1269" s="3" t="s">
        <v>42</v>
      </c>
      <c r="F1269" s="3" t="s">
        <v>25</v>
      </c>
      <c r="G1269" s="0" t="n">
        <v>16</v>
      </c>
      <c r="H1269" s="4" t="n">
        <v>41.86</v>
      </c>
      <c r="I1269" s="4" t="n">
        <v>27.56</v>
      </c>
      <c r="J1269" s="4" t="n">
        <f aca="false">G1269*H1269</f>
        <v>669.76</v>
      </c>
      <c r="K1269" s="4" t="n">
        <f aca="false">G1269*I1269</f>
        <v>440.96</v>
      </c>
      <c r="L1269" s="4" t="n">
        <f aca="false">J1269-K1269</f>
        <v>228.8</v>
      </c>
    </row>
    <row r="1270" customFormat="false" ht="15" hidden="false" customHeight="false" outlineLevel="0" collapsed="false">
      <c r="A1270" s="0" t="n">
        <v>2040</v>
      </c>
      <c r="B1270" s="2" t="n">
        <v>45831</v>
      </c>
      <c r="C1270" s="3" t="s">
        <v>26</v>
      </c>
      <c r="D1270" s="3" t="s">
        <v>20</v>
      </c>
      <c r="E1270" s="3" t="s">
        <v>21</v>
      </c>
      <c r="F1270" s="3" t="s">
        <v>22</v>
      </c>
      <c r="G1270" s="0" t="n">
        <v>11</v>
      </c>
      <c r="H1270" s="4" t="n">
        <v>212.66</v>
      </c>
      <c r="I1270" s="4" t="n">
        <v>108.13</v>
      </c>
      <c r="J1270" s="4" t="n">
        <f aca="false">G1270*H1270</f>
        <v>2339.26</v>
      </c>
      <c r="K1270" s="4" t="n">
        <f aca="false">G1270*I1270</f>
        <v>1189.43</v>
      </c>
      <c r="L1270" s="4" t="n">
        <f aca="false">J1270-K1270</f>
        <v>1149.83</v>
      </c>
    </row>
    <row r="1271" customFormat="false" ht="15" hidden="false" customHeight="false" outlineLevel="0" collapsed="false">
      <c r="A1271" s="0" t="n">
        <v>1833</v>
      </c>
      <c r="B1271" s="2" t="n">
        <v>45832</v>
      </c>
      <c r="C1271" s="3" t="s">
        <v>16</v>
      </c>
      <c r="D1271" s="3" t="s">
        <v>17</v>
      </c>
      <c r="E1271" s="3" t="s">
        <v>35</v>
      </c>
      <c r="F1271" s="3" t="s">
        <v>28</v>
      </c>
      <c r="G1271" s="0" t="n">
        <v>11</v>
      </c>
      <c r="H1271" s="4" t="n">
        <v>626.6</v>
      </c>
      <c r="I1271" s="4" t="n">
        <v>325.07</v>
      </c>
      <c r="J1271" s="4" t="n">
        <f aca="false">G1271*H1271</f>
        <v>6892.6</v>
      </c>
      <c r="K1271" s="4" t="n">
        <f aca="false">G1271*I1271</f>
        <v>3575.77</v>
      </c>
      <c r="L1271" s="4" t="n">
        <f aca="false">J1271-K1271</f>
        <v>3316.83</v>
      </c>
    </row>
    <row r="1272" customFormat="false" ht="15" hidden="false" customHeight="false" outlineLevel="0" collapsed="false">
      <c r="A1272" s="0" t="n">
        <v>1940</v>
      </c>
      <c r="B1272" s="2" t="n">
        <v>45832</v>
      </c>
      <c r="C1272" s="3" t="s">
        <v>16</v>
      </c>
      <c r="D1272" s="3" t="s">
        <v>29</v>
      </c>
      <c r="E1272" s="3" t="s">
        <v>43</v>
      </c>
      <c r="F1272" s="3" t="s">
        <v>28</v>
      </c>
      <c r="G1272" s="0" t="n">
        <v>10</v>
      </c>
      <c r="H1272" s="4" t="n">
        <v>134.63</v>
      </c>
      <c r="I1272" s="4" t="n">
        <v>80.29</v>
      </c>
      <c r="J1272" s="4" t="n">
        <f aca="false">G1272*H1272</f>
        <v>1346.3</v>
      </c>
      <c r="K1272" s="4" t="n">
        <f aca="false">G1272*I1272</f>
        <v>802.9</v>
      </c>
      <c r="L1272" s="4" t="n">
        <f aca="false">J1272-K1272</f>
        <v>543.4</v>
      </c>
    </row>
    <row r="1273" customFormat="false" ht="15" hidden="false" customHeight="false" outlineLevel="0" collapsed="false">
      <c r="A1273" s="0" t="n">
        <v>2473</v>
      </c>
      <c r="B1273" s="2" t="n">
        <v>45832</v>
      </c>
      <c r="C1273" s="3" t="s">
        <v>23</v>
      </c>
      <c r="D1273" s="3" t="s">
        <v>13</v>
      </c>
      <c r="E1273" s="3" t="s">
        <v>31</v>
      </c>
      <c r="F1273" s="3" t="s">
        <v>15</v>
      </c>
      <c r="G1273" s="0" t="n">
        <v>16</v>
      </c>
      <c r="H1273" s="4" t="n">
        <v>41.03</v>
      </c>
      <c r="I1273" s="4" t="n">
        <v>21.92</v>
      </c>
      <c r="J1273" s="4" t="n">
        <f aca="false">G1273*H1273</f>
        <v>656.48</v>
      </c>
      <c r="K1273" s="4" t="n">
        <f aca="false">G1273*I1273</f>
        <v>350.72</v>
      </c>
      <c r="L1273" s="4" t="n">
        <f aca="false">J1273-K1273</f>
        <v>305.76</v>
      </c>
    </row>
    <row r="1274" customFormat="false" ht="15" hidden="false" customHeight="false" outlineLevel="0" collapsed="false">
      <c r="A1274" s="0" t="n">
        <v>2573</v>
      </c>
      <c r="B1274" s="2" t="n">
        <v>45832</v>
      </c>
      <c r="C1274" s="3" t="s">
        <v>32</v>
      </c>
      <c r="D1274" s="3" t="s">
        <v>20</v>
      </c>
      <c r="E1274" s="3" t="s">
        <v>21</v>
      </c>
      <c r="F1274" s="3" t="s">
        <v>36</v>
      </c>
      <c r="G1274" s="0" t="n">
        <v>39</v>
      </c>
      <c r="H1274" s="4" t="n">
        <v>21.53</v>
      </c>
      <c r="I1274" s="4" t="n">
        <v>11.84</v>
      </c>
      <c r="J1274" s="4" t="n">
        <f aca="false">G1274*H1274</f>
        <v>839.67</v>
      </c>
      <c r="K1274" s="4" t="n">
        <f aca="false">G1274*I1274</f>
        <v>461.76</v>
      </c>
      <c r="L1274" s="4" t="n">
        <f aca="false">J1274-K1274</f>
        <v>377.91</v>
      </c>
    </row>
    <row r="1275" customFormat="false" ht="15" hidden="false" customHeight="false" outlineLevel="0" collapsed="false">
      <c r="A1275" s="0" t="n">
        <v>2450</v>
      </c>
      <c r="B1275" s="2" t="n">
        <v>45833</v>
      </c>
      <c r="C1275" s="3" t="s">
        <v>26</v>
      </c>
      <c r="D1275" s="3" t="s">
        <v>17</v>
      </c>
      <c r="E1275" s="3" t="s">
        <v>40</v>
      </c>
      <c r="F1275" s="3" t="s">
        <v>15</v>
      </c>
      <c r="G1275" s="0" t="n">
        <v>12</v>
      </c>
      <c r="H1275" s="4" t="n">
        <v>519.88</v>
      </c>
      <c r="I1275" s="4" t="n">
        <v>285.14</v>
      </c>
      <c r="J1275" s="4" t="n">
        <f aca="false">G1275*H1275</f>
        <v>6238.56</v>
      </c>
      <c r="K1275" s="4" t="n">
        <f aca="false">G1275*I1275</f>
        <v>3421.68</v>
      </c>
      <c r="L1275" s="4" t="n">
        <f aca="false">J1275-K1275</f>
        <v>2816.88</v>
      </c>
    </row>
    <row r="1276" customFormat="false" ht="15" hidden="false" customHeight="false" outlineLevel="0" collapsed="false">
      <c r="A1276" s="0" t="n">
        <v>2453</v>
      </c>
      <c r="B1276" s="2" t="n">
        <v>45833</v>
      </c>
      <c r="C1276" s="3" t="s">
        <v>23</v>
      </c>
      <c r="D1276" s="3" t="s">
        <v>13</v>
      </c>
      <c r="E1276" s="3" t="s">
        <v>45</v>
      </c>
      <c r="F1276" s="3" t="s">
        <v>15</v>
      </c>
      <c r="G1276" s="0" t="n">
        <v>17</v>
      </c>
      <c r="H1276" s="4" t="n">
        <v>52.79</v>
      </c>
      <c r="I1276" s="4" t="n">
        <v>39.36</v>
      </c>
      <c r="J1276" s="4" t="n">
        <f aca="false">G1276*H1276</f>
        <v>897.43</v>
      </c>
      <c r="K1276" s="4" t="n">
        <f aca="false">G1276*I1276</f>
        <v>669.12</v>
      </c>
      <c r="L1276" s="4" t="n">
        <f aca="false">J1276-K1276</f>
        <v>228.31</v>
      </c>
    </row>
    <row r="1277" customFormat="false" ht="15" hidden="false" customHeight="false" outlineLevel="0" collapsed="false">
      <c r="A1277" s="0" t="n">
        <v>2728</v>
      </c>
      <c r="B1277" s="2" t="n">
        <v>45833</v>
      </c>
      <c r="C1277" s="3" t="s">
        <v>23</v>
      </c>
      <c r="D1277" s="3" t="s">
        <v>29</v>
      </c>
      <c r="E1277" s="3" t="s">
        <v>37</v>
      </c>
      <c r="F1277" s="3" t="s">
        <v>39</v>
      </c>
      <c r="G1277" s="0" t="n">
        <v>29</v>
      </c>
      <c r="H1277" s="4" t="n">
        <v>260.59</v>
      </c>
      <c r="I1277" s="4" t="n">
        <v>156.79</v>
      </c>
      <c r="J1277" s="4" t="n">
        <f aca="false">G1277*H1277</f>
        <v>7557.11</v>
      </c>
      <c r="K1277" s="4" t="n">
        <f aca="false">G1277*I1277</f>
        <v>4546.91</v>
      </c>
      <c r="L1277" s="4" t="n">
        <f aca="false">J1277-K1277</f>
        <v>3010.2</v>
      </c>
    </row>
    <row r="1278" customFormat="false" ht="15" hidden="false" customHeight="false" outlineLevel="0" collapsed="false">
      <c r="A1278" s="0" t="n">
        <v>1045</v>
      </c>
      <c r="B1278" s="2" t="n">
        <v>45835</v>
      </c>
      <c r="C1278" s="3" t="s">
        <v>16</v>
      </c>
      <c r="D1278" s="3" t="s">
        <v>29</v>
      </c>
      <c r="E1278" s="3" t="s">
        <v>41</v>
      </c>
      <c r="F1278" s="3" t="s">
        <v>36</v>
      </c>
      <c r="G1278" s="0" t="n">
        <v>36</v>
      </c>
      <c r="H1278" s="4" t="n">
        <v>441.83</v>
      </c>
      <c r="I1278" s="4" t="n">
        <v>303.95</v>
      </c>
      <c r="J1278" s="4" t="n">
        <f aca="false">G1278*H1278</f>
        <v>15905.88</v>
      </c>
      <c r="K1278" s="4" t="n">
        <f aca="false">G1278*I1278</f>
        <v>10942.2</v>
      </c>
      <c r="L1278" s="4" t="n">
        <f aca="false">J1278-K1278</f>
        <v>4963.68</v>
      </c>
    </row>
    <row r="1279" customFormat="false" ht="15" hidden="false" customHeight="false" outlineLevel="0" collapsed="false">
      <c r="A1279" s="0" t="n">
        <v>1062</v>
      </c>
      <c r="B1279" s="2" t="n">
        <v>45835</v>
      </c>
      <c r="C1279" s="3" t="s">
        <v>32</v>
      </c>
      <c r="D1279" s="3" t="s">
        <v>20</v>
      </c>
      <c r="E1279" s="3" t="s">
        <v>38</v>
      </c>
      <c r="F1279" s="3" t="s">
        <v>33</v>
      </c>
      <c r="G1279" s="0" t="n">
        <v>30</v>
      </c>
      <c r="H1279" s="4" t="n">
        <v>73.92</v>
      </c>
      <c r="I1279" s="4" t="n">
        <v>39.17</v>
      </c>
      <c r="J1279" s="4" t="n">
        <f aca="false">G1279*H1279</f>
        <v>2217.6</v>
      </c>
      <c r="K1279" s="4" t="n">
        <f aca="false">G1279*I1279</f>
        <v>1175.1</v>
      </c>
      <c r="L1279" s="4" t="n">
        <f aca="false">J1279-K1279</f>
        <v>1042.5</v>
      </c>
    </row>
    <row r="1280" customFormat="false" ht="15" hidden="false" customHeight="false" outlineLevel="0" collapsed="false">
      <c r="A1280" s="0" t="n">
        <v>1095</v>
      </c>
      <c r="B1280" s="2" t="n">
        <v>45835</v>
      </c>
      <c r="C1280" s="3" t="s">
        <v>16</v>
      </c>
      <c r="D1280" s="3" t="s">
        <v>29</v>
      </c>
      <c r="E1280" s="3" t="s">
        <v>37</v>
      </c>
      <c r="F1280" s="3" t="s">
        <v>15</v>
      </c>
      <c r="G1280" s="0" t="n">
        <v>31</v>
      </c>
      <c r="H1280" s="4" t="n">
        <v>445.57</v>
      </c>
      <c r="I1280" s="4" t="n">
        <v>274.95</v>
      </c>
      <c r="J1280" s="4" t="n">
        <f aca="false">G1280*H1280</f>
        <v>13812.67</v>
      </c>
      <c r="K1280" s="4" t="n">
        <f aca="false">G1280*I1280</f>
        <v>8523.45</v>
      </c>
      <c r="L1280" s="4" t="n">
        <f aca="false">J1280-K1280</f>
        <v>5289.22</v>
      </c>
    </row>
    <row r="1281" customFormat="false" ht="15" hidden="false" customHeight="false" outlineLevel="0" collapsed="false">
      <c r="A1281" s="0" t="n">
        <v>1926</v>
      </c>
      <c r="B1281" s="2" t="n">
        <v>45835</v>
      </c>
      <c r="C1281" s="3" t="s">
        <v>32</v>
      </c>
      <c r="D1281" s="3" t="s">
        <v>20</v>
      </c>
      <c r="E1281" s="3" t="s">
        <v>42</v>
      </c>
      <c r="F1281" s="3" t="s">
        <v>25</v>
      </c>
      <c r="G1281" s="0" t="n">
        <v>12</v>
      </c>
      <c r="H1281" s="4" t="n">
        <v>88.69</v>
      </c>
      <c r="I1281" s="4" t="n">
        <v>49.12</v>
      </c>
      <c r="J1281" s="4" t="n">
        <f aca="false">G1281*H1281</f>
        <v>1064.28</v>
      </c>
      <c r="K1281" s="4" t="n">
        <f aca="false">G1281*I1281</f>
        <v>589.44</v>
      </c>
      <c r="L1281" s="4" t="n">
        <f aca="false">J1281-K1281</f>
        <v>474.84</v>
      </c>
    </row>
    <row r="1282" customFormat="false" ht="15" hidden="false" customHeight="false" outlineLevel="0" collapsed="false">
      <c r="A1282" s="0" t="n">
        <v>2173</v>
      </c>
      <c r="B1282" s="2" t="n">
        <v>45835</v>
      </c>
      <c r="C1282" s="3" t="s">
        <v>16</v>
      </c>
      <c r="D1282" s="3" t="s">
        <v>17</v>
      </c>
      <c r="E1282" s="3" t="s">
        <v>35</v>
      </c>
      <c r="F1282" s="3" t="s">
        <v>33</v>
      </c>
      <c r="G1282" s="0" t="n">
        <v>35</v>
      </c>
      <c r="H1282" s="4" t="n">
        <v>253.56</v>
      </c>
      <c r="I1282" s="4" t="n">
        <v>133.13</v>
      </c>
      <c r="J1282" s="4" t="n">
        <f aca="false">G1282*H1282</f>
        <v>8874.6</v>
      </c>
      <c r="K1282" s="4" t="n">
        <f aca="false">G1282*I1282</f>
        <v>4659.55</v>
      </c>
      <c r="L1282" s="4" t="n">
        <f aca="false">J1282-K1282</f>
        <v>4215.05</v>
      </c>
    </row>
    <row r="1283" customFormat="false" ht="15" hidden="false" customHeight="false" outlineLevel="0" collapsed="false">
      <c r="A1283" s="0" t="n">
        <v>2456</v>
      </c>
      <c r="B1283" s="2" t="n">
        <v>45835</v>
      </c>
      <c r="C1283" s="3" t="s">
        <v>16</v>
      </c>
      <c r="D1283" s="3" t="s">
        <v>17</v>
      </c>
      <c r="E1283" s="3" t="s">
        <v>44</v>
      </c>
      <c r="F1283" s="3" t="s">
        <v>25</v>
      </c>
      <c r="G1283" s="0" t="n">
        <v>24</v>
      </c>
      <c r="H1283" s="4" t="n">
        <v>262.81</v>
      </c>
      <c r="I1283" s="4" t="n">
        <v>149.5</v>
      </c>
      <c r="J1283" s="4" t="n">
        <f aca="false">G1283*H1283</f>
        <v>6307.44</v>
      </c>
      <c r="K1283" s="4" t="n">
        <f aca="false">G1283*I1283</f>
        <v>3588</v>
      </c>
      <c r="L1283" s="4" t="n">
        <f aca="false">J1283-K1283</f>
        <v>2719.44</v>
      </c>
    </row>
    <row r="1284" customFormat="false" ht="15" hidden="false" customHeight="false" outlineLevel="0" collapsed="false">
      <c r="A1284" s="0" t="n">
        <v>2610</v>
      </c>
      <c r="B1284" s="2" t="n">
        <v>45835</v>
      </c>
      <c r="C1284" s="3" t="s">
        <v>16</v>
      </c>
      <c r="D1284" s="3" t="s">
        <v>29</v>
      </c>
      <c r="E1284" s="3" t="s">
        <v>37</v>
      </c>
      <c r="F1284" s="3" t="s">
        <v>22</v>
      </c>
      <c r="G1284" s="0" t="n">
        <v>19</v>
      </c>
      <c r="H1284" s="4" t="n">
        <v>366.61</v>
      </c>
      <c r="I1284" s="4" t="n">
        <v>266.07</v>
      </c>
      <c r="J1284" s="4" t="n">
        <f aca="false">G1284*H1284</f>
        <v>6965.59</v>
      </c>
      <c r="K1284" s="4" t="n">
        <f aca="false">G1284*I1284</f>
        <v>5055.33</v>
      </c>
      <c r="L1284" s="4" t="n">
        <f aca="false">J1284-K1284</f>
        <v>1910.26</v>
      </c>
    </row>
    <row r="1285" customFormat="false" ht="15" hidden="false" customHeight="false" outlineLevel="0" collapsed="false">
      <c r="A1285" s="0" t="n">
        <v>2706</v>
      </c>
      <c r="B1285" s="2" t="n">
        <v>45835</v>
      </c>
      <c r="C1285" s="3" t="s">
        <v>12</v>
      </c>
      <c r="D1285" s="3" t="s">
        <v>17</v>
      </c>
      <c r="E1285" s="3" t="s">
        <v>27</v>
      </c>
      <c r="F1285" s="3" t="s">
        <v>15</v>
      </c>
      <c r="G1285" s="0" t="n">
        <v>16</v>
      </c>
      <c r="H1285" s="4" t="n">
        <v>767.4</v>
      </c>
      <c r="I1285" s="4" t="n">
        <v>457.97</v>
      </c>
      <c r="J1285" s="4" t="n">
        <f aca="false">G1285*H1285</f>
        <v>12278.4</v>
      </c>
      <c r="K1285" s="4" t="n">
        <f aca="false">G1285*I1285</f>
        <v>7327.52</v>
      </c>
      <c r="L1285" s="4" t="n">
        <f aca="false">J1285-K1285</f>
        <v>4950.88</v>
      </c>
    </row>
    <row r="1286" customFormat="false" ht="15" hidden="false" customHeight="false" outlineLevel="0" collapsed="false">
      <c r="A1286" s="0" t="n">
        <v>2630</v>
      </c>
      <c r="B1286" s="2" t="n">
        <v>45836</v>
      </c>
      <c r="C1286" s="3" t="s">
        <v>12</v>
      </c>
      <c r="D1286" s="3" t="s">
        <v>29</v>
      </c>
      <c r="E1286" s="3" t="s">
        <v>30</v>
      </c>
      <c r="F1286" s="3" t="s">
        <v>28</v>
      </c>
      <c r="G1286" s="0" t="n">
        <v>39</v>
      </c>
      <c r="H1286" s="4" t="n">
        <v>409.4</v>
      </c>
      <c r="I1286" s="4" t="n">
        <v>270.39</v>
      </c>
      <c r="J1286" s="4" t="n">
        <f aca="false">G1286*H1286</f>
        <v>15966.6</v>
      </c>
      <c r="K1286" s="4" t="n">
        <f aca="false">G1286*I1286</f>
        <v>10545.21</v>
      </c>
      <c r="L1286" s="4" t="n">
        <f aca="false">J1286-K1286</f>
        <v>5421.39</v>
      </c>
    </row>
    <row r="1287" customFormat="false" ht="15" hidden="false" customHeight="false" outlineLevel="0" collapsed="false">
      <c r="A1287" s="0" t="n">
        <v>1172</v>
      </c>
      <c r="B1287" s="2" t="n">
        <v>45837</v>
      </c>
      <c r="C1287" s="3" t="s">
        <v>23</v>
      </c>
      <c r="D1287" s="3" t="s">
        <v>29</v>
      </c>
      <c r="E1287" s="3" t="s">
        <v>41</v>
      </c>
      <c r="F1287" s="3" t="s">
        <v>22</v>
      </c>
      <c r="G1287" s="0" t="n">
        <v>24</v>
      </c>
      <c r="H1287" s="4" t="n">
        <v>254.95</v>
      </c>
      <c r="I1287" s="4" t="n">
        <v>184.76</v>
      </c>
      <c r="J1287" s="4" t="n">
        <f aca="false">G1287*H1287</f>
        <v>6118.8</v>
      </c>
      <c r="K1287" s="4" t="n">
        <f aca="false">G1287*I1287</f>
        <v>4434.24</v>
      </c>
      <c r="L1287" s="4" t="n">
        <f aca="false">J1287-K1287</f>
        <v>1684.56</v>
      </c>
    </row>
    <row r="1288" customFormat="false" ht="15" hidden="false" customHeight="false" outlineLevel="0" collapsed="false">
      <c r="A1288" s="0" t="n">
        <v>1176</v>
      </c>
      <c r="B1288" s="2" t="n">
        <v>45837</v>
      </c>
      <c r="C1288" s="3" t="s">
        <v>32</v>
      </c>
      <c r="D1288" s="3" t="s">
        <v>29</v>
      </c>
      <c r="E1288" s="3" t="s">
        <v>43</v>
      </c>
      <c r="F1288" s="3" t="s">
        <v>28</v>
      </c>
      <c r="G1288" s="0" t="n">
        <v>13</v>
      </c>
      <c r="H1288" s="4" t="n">
        <v>205.37</v>
      </c>
      <c r="I1288" s="4" t="n">
        <v>153.12</v>
      </c>
      <c r="J1288" s="4" t="n">
        <f aca="false">G1288*H1288</f>
        <v>2669.81</v>
      </c>
      <c r="K1288" s="4" t="n">
        <f aca="false">G1288*I1288</f>
        <v>1990.56</v>
      </c>
      <c r="L1288" s="4" t="n">
        <f aca="false">J1288-K1288</f>
        <v>679.25</v>
      </c>
    </row>
    <row r="1289" customFormat="false" ht="15" hidden="false" customHeight="false" outlineLevel="0" collapsed="false">
      <c r="A1289" s="0" t="n">
        <v>1855</v>
      </c>
      <c r="B1289" s="2" t="n">
        <v>45837</v>
      </c>
      <c r="C1289" s="3" t="s">
        <v>16</v>
      </c>
      <c r="D1289" s="3" t="s">
        <v>17</v>
      </c>
      <c r="E1289" s="3" t="s">
        <v>44</v>
      </c>
      <c r="F1289" s="3" t="s">
        <v>28</v>
      </c>
      <c r="G1289" s="0" t="n">
        <v>33</v>
      </c>
      <c r="H1289" s="4" t="n">
        <v>382.69</v>
      </c>
      <c r="I1289" s="4" t="n">
        <v>208.96</v>
      </c>
      <c r="J1289" s="4" t="n">
        <f aca="false">G1289*H1289</f>
        <v>12628.77</v>
      </c>
      <c r="K1289" s="4" t="n">
        <f aca="false">G1289*I1289</f>
        <v>6895.68</v>
      </c>
      <c r="L1289" s="4" t="n">
        <f aca="false">J1289-K1289</f>
        <v>5733.09</v>
      </c>
    </row>
    <row r="1290" customFormat="false" ht="15" hidden="false" customHeight="false" outlineLevel="0" collapsed="false">
      <c r="A1290" s="0" t="n">
        <v>1007</v>
      </c>
      <c r="B1290" s="2" t="n">
        <v>45838</v>
      </c>
      <c r="C1290" s="3" t="s">
        <v>12</v>
      </c>
      <c r="D1290" s="3" t="s">
        <v>13</v>
      </c>
      <c r="E1290" s="3" t="s">
        <v>14</v>
      </c>
      <c r="F1290" s="3" t="s">
        <v>36</v>
      </c>
      <c r="G1290" s="0" t="n">
        <v>18</v>
      </c>
      <c r="H1290" s="4" t="n">
        <v>39.48</v>
      </c>
      <c r="I1290" s="4" t="n">
        <v>28.06</v>
      </c>
      <c r="J1290" s="4" t="n">
        <f aca="false">G1290*H1290</f>
        <v>710.64</v>
      </c>
      <c r="K1290" s="4" t="n">
        <f aca="false">G1290*I1290</f>
        <v>505.08</v>
      </c>
      <c r="L1290" s="4" t="n">
        <f aca="false">J1290-K1290</f>
        <v>205.56</v>
      </c>
    </row>
    <row r="1291" customFormat="false" ht="15" hidden="false" customHeight="false" outlineLevel="0" collapsed="false">
      <c r="A1291" s="0" t="n">
        <v>1359</v>
      </c>
      <c r="B1291" s="2" t="n">
        <v>45838</v>
      </c>
      <c r="C1291" s="3" t="s">
        <v>32</v>
      </c>
      <c r="D1291" s="3" t="s">
        <v>20</v>
      </c>
      <c r="E1291" s="3" t="s">
        <v>42</v>
      </c>
      <c r="F1291" s="3" t="s">
        <v>25</v>
      </c>
      <c r="G1291" s="0" t="n">
        <v>2</v>
      </c>
      <c r="H1291" s="4" t="n">
        <v>94.75</v>
      </c>
      <c r="I1291" s="4" t="n">
        <v>65.98</v>
      </c>
      <c r="J1291" s="4" t="n">
        <f aca="false">G1291*H1291</f>
        <v>189.5</v>
      </c>
      <c r="K1291" s="4" t="n">
        <f aca="false">G1291*I1291</f>
        <v>131.96</v>
      </c>
      <c r="L1291" s="4" t="n">
        <f aca="false">J1291-K1291</f>
        <v>57.54</v>
      </c>
    </row>
    <row r="1292" customFormat="false" ht="15" hidden="false" customHeight="false" outlineLevel="0" collapsed="false">
      <c r="A1292" s="0" t="n">
        <v>1502</v>
      </c>
      <c r="B1292" s="2" t="n">
        <v>45839</v>
      </c>
      <c r="C1292" s="3" t="s">
        <v>12</v>
      </c>
      <c r="D1292" s="3" t="s">
        <v>20</v>
      </c>
      <c r="E1292" s="3" t="s">
        <v>34</v>
      </c>
      <c r="F1292" s="3" t="s">
        <v>25</v>
      </c>
      <c r="G1292" s="0" t="n">
        <v>20</v>
      </c>
      <c r="H1292" s="4" t="n">
        <v>135.88</v>
      </c>
      <c r="I1292" s="4" t="n">
        <v>84.82</v>
      </c>
      <c r="J1292" s="4" t="n">
        <f aca="false">G1292*H1292</f>
        <v>2717.6</v>
      </c>
      <c r="K1292" s="4" t="n">
        <f aca="false">G1292*I1292</f>
        <v>1696.4</v>
      </c>
      <c r="L1292" s="4" t="n">
        <f aca="false">J1292-K1292</f>
        <v>1021.2</v>
      </c>
    </row>
    <row r="1293" customFormat="false" ht="15" hidden="false" customHeight="false" outlineLevel="0" collapsed="false">
      <c r="A1293" s="0" t="n">
        <v>1801</v>
      </c>
      <c r="B1293" s="2" t="n">
        <v>45839</v>
      </c>
      <c r="C1293" s="3" t="s">
        <v>23</v>
      </c>
      <c r="D1293" s="3" t="s">
        <v>17</v>
      </c>
      <c r="E1293" s="3" t="s">
        <v>40</v>
      </c>
      <c r="F1293" s="3" t="s">
        <v>39</v>
      </c>
      <c r="G1293" s="0" t="n">
        <v>37</v>
      </c>
      <c r="H1293" s="4" t="n">
        <v>703.72</v>
      </c>
      <c r="I1293" s="4" t="n">
        <v>478.08</v>
      </c>
      <c r="J1293" s="4" t="n">
        <f aca="false">G1293*H1293</f>
        <v>26037.64</v>
      </c>
      <c r="K1293" s="4" t="n">
        <f aca="false">G1293*I1293</f>
        <v>17688.96</v>
      </c>
      <c r="L1293" s="4" t="n">
        <f aca="false">J1293-K1293</f>
        <v>8348.68</v>
      </c>
    </row>
    <row r="1294" customFormat="false" ht="15" hidden="false" customHeight="false" outlineLevel="0" collapsed="false">
      <c r="A1294" s="0" t="n">
        <v>1063</v>
      </c>
      <c r="B1294" s="2" t="n">
        <v>45840</v>
      </c>
      <c r="C1294" s="3" t="s">
        <v>12</v>
      </c>
      <c r="D1294" s="3" t="s">
        <v>13</v>
      </c>
      <c r="E1294" s="3" t="s">
        <v>24</v>
      </c>
      <c r="F1294" s="3" t="s">
        <v>28</v>
      </c>
      <c r="G1294" s="0" t="n">
        <v>18</v>
      </c>
      <c r="H1294" s="4" t="n">
        <v>58.67</v>
      </c>
      <c r="I1294" s="4" t="n">
        <v>30.81</v>
      </c>
      <c r="J1294" s="4" t="n">
        <f aca="false">G1294*H1294</f>
        <v>1056.06</v>
      </c>
      <c r="K1294" s="4" t="n">
        <f aca="false">G1294*I1294</f>
        <v>554.58</v>
      </c>
      <c r="L1294" s="4" t="n">
        <f aca="false">J1294-K1294</f>
        <v>501.48</v>
      </c>
    </row>
    <row r="1295" customFormat="false" ht="15" hidden="false" customHeight="false" outlineLevel="0" collapsed="false">
      <c r="A1295" s="0" t="n">
        <v>1211</v>
      </c>
      <c r="B1295" s="2" t="n">
        <v>45840</v>
      </c>
      <c r="C1295" s="3" t="s">
        <v>32</v>
      </c>
      <c r="D1295" s="3" t="s">
        <v>17</v>
      </c>
      <c r="E1295" s="3" t="s">
        <v>35</v>
      </c>
      <c r="F1295" s="3" t="s">
        <v>36</v>
      </c>
      <c r="G1295" s="0" t="n">
        <v>12</v>
      </c>
      <c r="H1295" s="4" t="n">
        <v>149.89</v>
      </c>
      <c r="I1295" s="4" t="n">
        <v>94.67</v>
      </c>
      <c r="J1295" s="4" t="n">
        <f aca="false">G1295*H1295</f>
        <v>1798.68</v>
      </c>
      <c r="K1295" s="4" t="n">
        <f aca="false">G1295*I1295</f>
        <v>1136.04</v>
      </c>
      <c r="L1295" s="4" t="n">
        <f aca="false">J1295-K1295</f>
        <v>662.64</v>
      </c>
    </row>
    <row r="1296" customFormat="false" ht="15" hidden="false" customHeight="false" outlineLevel="0" collapsed="false">
      <c r="A1296" s="0" t="n">
        <v>1545</v>
      </c>
      <c r="B1296" s="2" t="n">
        <v>45840</v>
      </c>
      <c r="C1296" s="3" t="s">
        <v>32</v>
      </c>
      <c r="D1296" s="3" t="s">
        <v>29</v>
      </c>
      <c r="E1296" s="3" t="s">
        <v>43</v>
      </c>
      <c r="F1296" s="3" t="s">
        <v>36</v>
      </c>
      <c r="G1296" s="0" t="n">
        <v>4</v>
      </c>
      <c r="H1296" s="4" t="n">
        <v>118.08</v>
      </c>
      <c r="I1296" s="4" t="n">
        <v>87.41</v>
      </c>
      <c r="J1296" s="4" t="n">
        <f aca="false">G1296*H1296</f>
        <v>472.32</v>
      </c>
      <c r="K1296" s="4" t="n">
        <f aca="false">G1296*I1296</f>
        <v>349.64</v>
      </c>
      <c r="L1296" s="4" t="n">
        <f aca="false">J1296-K1296</f>
        <v>122.68</v>
      </c>
    </row>
    <row r="1297" customFormat="false" ht="15" hidden="false" customHeight="false" outlineLevel="0" collapsed="false">
      <c r="A1297" s="0" t="n">
        <v>1902</v>
      </c>
      <c r="B1297" s="2" t="n">
        <v>45840</v>
      </c>
      <c r="C1297" s="3" t="s">
        <v>12</v>
      </c>
      <c r="D1297" s="3" t="s">
        <v>20</v>
      </c>
      <c r="E1297" s="3" t="s">
        <v>38</v>
      </c>
      <c r="F1297" s="3" t="s">
        <v>36</v>
      </c>
      <c r="G1297" s="0" t="n">
        <v>1</v>
      </c>
      <c r="H1297" s="4" t="n">
        <v>222.36</v>
      </c>
      <c r="I1297" s="4" t="n">
        <v>143.34</v>
      </c>
      <c r="J1297" s="4" t="n">
        <f aca="false">G1297*H1297</f>
        <v>222.36</v>
      </c>
      <c r="K1297" s="4" t="n">
        <f aca="false">G1297*I1297</f>
        <v>143.34</v>
      </c>
      <c r="L1297" s="4" t="n">
        <f aca="false">J1297-K1297</f>
        <v>79.02</v>
      </c>
    </row>
    <row r="1298" customFormat="false" ht="15" hidden="false" customHeight="false" outlineLevel="0" collapsed="false">
      <c r="A1298" s="0" t="n">
        <v>1012</v>
      </c>
      <c r="B1298" s="2" t="n">
        <v>45841</v>
      </c>
      <c r="C1298" s="3" t="s">
        <v>32</v>
      </c>
      <c r="D1298" s="3" t="s">
        <v>29</v>
      </c>
      <c r="E1298" s="3" t="s">
        <v>30</v>
      </c>
      <c r="F1298" s="3" t="s">
        <v>15</v>
      </c>
      <c r="G1298" s="0" t="n">
        <v>28</v>
      </c>
      <c r="H1298" s="4" t="n">
        <v>383.28</v>
      </c>
      <c r="I1298" s="4" t="n">
        <v>284.77</v>
      </c>
      <c r="J1298" s="4" t="n">
        <f aca="false">G1298*H1298</f>
        <v>10731.84</v>
      </c>
      <c r="K1298" s="4" t="n">
        <f aca="false">G1298*I1298</f>
        <v>7973.56</v>
      </c>
      <c r="L1298" s="4" t="n">
        <f aca="false">J1298-K1298</f>
        <v>2758.28</v>
      </c>
    </row>
    <row r="1299" customFormat="false" ht="15" hidden="false" customHeight="false" outlineLevel="0" collapsed="false">
      <c r="A1299" s="0" t="n">
        <v>1036</v>
      </c>
      <c r="B1299" s="2" t="n">
        <v>45841</v>
      </c>
      <c r="C1299" s="3" t="s">
        <v>32</v>
      </c>
      <c r="D1299" s="3" t="s">
        <v>17</v>
      </c>
      <c r="E1299" s="3" t="s">
        <v>27</v>
      </c>
      <c r="F1299" s="3" t="s">
        <v>15</v>
      </c>
      <c r="G1299" s="0" t="n">
        <v>12</v>
      </c>
      <c r="H1299" s="4" t="n">
        <v>547.7</v>
      </c>
      <c r="I1299" s="4" t="n">
        <v>321.18</v>
      </c>
      <c r="J1299" s="4" t="n">
        <f aca="false">G1299*H1299</f>
        <v>6572.4</v>
      </c>
      <c r="K1299" s="4" t="n">
        <f aca="false">G1299*I1299</f>
        <v>3854.16</v>
      </c>
      <c r="L1299" s="4" t="n">
        <f aca="false">J1299-K1299</f>
        <v>2718.24</v>
      </c>
    </row>
    <row r="1300" customFormat="false" ht="15" hidden="false" customHeight="false" outlineLevel="0" collapsed="false">
      <c r="A1300" s="0" t="n">
        <v>1992</v>
      </c>
      <c r="B1300" s="2" t="n">
        <v>45841</v>
      </c>
      <c r="C1300" s="3" t="s">
        <v>16</v>
      </c>
      <c r="D1300" s="3" t="s">
        <v>17</v>
      </c>
      <c r="E1300" s="3" t="s">
        <v>27</v>
      </c>
      <c r="F1300" s="3" t="s">
        <v>39</v>
      </c>
      <c r="G1300" s="0" t="n">
        <v>4</v>
      </c>
      <c r="H1300" s="4" t="n">
        <v>124.35</v>
      </c>
      <c r="I1300" s="4" t="n">
        <v>73.05</v>
      </c>
      <c r="J1300" s="4" t="n">
        <f aca="false">G1300*H1300</f>
        <v>497.4</v>
      </c>
      <c r="K1300" s="4" t="n">
        <f aca="false">G1300*I1300</f>
        <v>292.2</v>
      </c>
      <c r="L1300" s="4" t="n">
        <f aca="false">J1300-K1300</f>
        <v>205.2</v>
      </c>
    </row>
    <row r="1301" customFormat="false" ht="15" hidden="false" customHeight="false" outlineLevel="0" collapsed="false">
      <c r="A1301" s="0" t="n">
        <v>2223</v>
      </c>
      <c r="B1301" s="2" t="n">
        <v>45841</v>
      </c>
      <c r="C1301" s="3" t="s">
        <v>32</v>
      </c>
      <c r="D1301" s="3" t="s">
        <v>29</v>
      </c>
      <c r="E1301" s="3" t="s">
        <v>43</v>
      </c>
      <c r="F1301" s="3" t="s">
        <v>25</v>
      </c>
      <c r="G1301" s="0" t="n">
        <v>8</v>
      </c>
      <c r="H1301" s="4" t="n">
        <v>164.89</v>
      </c>
      <c r="I1301" s="4" t="n">
        <v>117.34</v>
      </c>
      <c r="J1301" s="4" t="n">
        <f aca="false">G1301*H1301</f>
        <v>1319.12</v>
      </c>
      <c r="K1301" s="4" t="n">
        <f aca="false">G1301*I1301</f>
        <v>938.72</v>
      </c>
      <c r="L1301" s="4" t="n">
        <f aca="false">J1301-K1301</f>
        <v>380.4</v>
      </c>
    </row>
    <row r="1302" customFormat="false" ht="15" hidden="false" customHeight="false" outlineLevel="0" collapsed="false">
      <c r="A1302" s="0" t="n">
        <v>1099</v>
      </c>
      <c r="B1302" s="2" t="n">
        <v>45842</v>
      </c>
      <c r="C1302" s="3" t="s">
        <v>12</v>
      </c>
      <c r="D1302" s="3" t="s">
        <v>20</v>
      </c>
      <c r="E1302" s="3" t="s">
        <v>21</v>
      </c>
      <c r="F1302" s="3" t="s">
        <v>33</v>
      </c>
      <c r="G1302" s="0" t="n">
        <v>35</v>
      </c>
      <c r="H1302" s="4" t="n">
        <v>136.17</v>
      </c>
      <c r="I1302" s="4" t="n">
        <v>71.46</v>
      </c>
      <c r="J1302" s="4" t="n">
        <f aca="false">G1302*H1302</f>
        <v>4765.95</v>
      </c>
      <c r="K1302" s="4" t="n">
        <f aca="false">G1302*I1302</f>
        <v>2501.1</v>
      </c>
      <c r="L1302" s="4" t="n">
        <f aca="false">J1302-K1302</f>
        <v>2264.85</v>
      </c>
    </row>
    <row r="1303" customFormat="false" ht="15" hidden="false" customHeight="false" outlineLevel="0" collapsed="false">
      <c r="A1303" s="0" t="n">
        <v>1201</v>
      </c>
      <c r="B1303" s="2" t="n">
        <v>45842</v>
      </c>
      <c r="C1303" s="3" t="s">
        <v>23</v>
      </c>
      <c r="D1303" s="3" t="s">
        <v>13</v>
      </c>
      <c r="E1303" s="3" t="s">
        <v>24</v>
      </c>
      <c r="F1303" s="3" t="s">
        <v>15</v>
      </c>
      <c r="G1303" s="0" t="n">
        <v>10</v>
      </c>
      <c r="H1303" s="4" t="n">
        <v>55.14</v>
      </c>
      <c r="I1303" s="4" t="n">
        <v>35.25</v>
      </c>
      <c r="J1303" s="4" t="n">
        <f aca="false">G1303*H1303</f>
        <v>551.4</v>
      </c>
      <c r="K1303" s="4" t="n">
        <f aca="false">G1303*I1303</f>
        <v>352.5</v>
      </c>
      <c r="L1303" s="4" t="n">
        <f aca="false">J1303-K1303</f>
        <v>198.9</v>
      </c>
    </row>
    <row r="1304" customFormat="false" ht="15" hidden="false" customHeight="false" outlineLevel="0" collapsed="false">
      <c r="A1304" s="0" t="n">
        <v>1370</v>
      </c>
      <c r="B1304" s="2" t="n">
        <v>45842</v>
      </c>
      <c r="C1304" s="3" t="s">
        <v>16</v>
      </c>
      <c r="D1304" s="3" t="s">
        <v>17</v>
      </c>
      <c r="E1304" s="3" t="s">
        <v>27</v>
      </c>
      <c r="F1304" s="3" t="s">
        <v>39</v>
      </c>
      <c r="G1304" s="0" t="n">
        <v>14</v>
      </c>
      <c r="H1304" s="4" t="n">
        <v>786.56</v>
      </c>
      <c r="I1304" s="4" t="n">
        <v>531.47</v>
      </c>
      <c r="J1304" s="4" t="n">
        <f aca="false">G1304*H1304</f>
        <v>11011.84</v>
      </c>
      <c r="K1304" s="4" t="n">
        <f aca="false">G1304*I1304</f>
        <v>7440.58</v>
      </c>
      <c r="L1304" s="4" t="n">
        <f aca="false">J1304-K1304</f>
        <v>3571.26</v>
      </c>
    </row>
    <row r="1305" customFormat="false" ht="15" hidden="false" customHeight="false" outlineLevel="0" collapsed="false">
      <c r="A1305" s="0" t="n">
        <v>2106</v>
      </c>
      <c r="B1305" s="2" t="n">
        <v>45842</v>
      </c>
      <c r="C1305" s="3" t="s">
        <v>12</v>
      </c>
      <c r="D1305" s="3" t="s">
        <v>20</v>
      </c>
      <c r="E1305" s="3" t="s">
        <v>42</v>
      </c>
      <c r="F1305" s="3" t="s">
        <v>25</v>
      </c>
      <c r="G1305" s="0" t="n">
        <v>26</v>
      </c>
      <c r="H1305" s="4" t="n">
        <v>70.01</v>
      </c>
      <c r="I1305" s="4" t="n">
        <v>37.79</v>
      </c>
      <c r="J1305" s="4" t="n">
        <f aca="false">G1305*H1305</f>
        <v>1820.26</v>
      </c>
      <c r="K1305" s="4" t="n">
        <f aca="false">G1305*I1305</f>
        <v>982.54</v>
      </c>
      <c r="L1305" s="4" t="n">
        <f aca="false">J1305-K1305</f>
        <v>837.72</v>
      </c>
    </row>
    <row r="1306" customFormat="false" ht="15" hidden="false" customHeight="false" outlineLevel="0" collapsed="false">
      <c r="A1306" s="0" t="n">
        <v>2126</v>
      </c>
      <c r="B1306" s="2" t="n">
        <v>45842</v>
      </c>
      <c r="C1306" s="3" t="s">
        <v>26</v>
      </c>
      <c r="D1306" s="3" t="s">
        <v>17</v>
      </c>
      <c r="E1306" s="3" t="s">
        <v>18</v>
      </c>
      <c r="F1306" s="3" t="s">
        <v>39</v>
      </c>
      <c r="G1306" s="0" t="n">
        <v>16</v>
      </c>
      <c r="H1306" s="4" t="n">
        <v>275.1</v>
      </c>
      <c r="I1306" s="4" t="n">
        <v>154.41</v>
      </c>
      <c r="J1306" s="4" t="n">
        <f aca="false">G1306*H1306</f>
        <v>4401.6</v>
      </c>
      <c r="K1306" s="4" t="n">
        <f aca="false">G1306*I1306</f>
        <v>2470.56</v>
      </c>
      <c r="L1306" s="4" t="n">
        <f aca="false">J1306-K1306</f>
        <v>1931.04</v>
      </c>
    </row>
    <row r="1307" customFormat="false" ht="15" hidden="false" customHeight="false" outlineLevel="0" collapsed="false">
      <c r="A1307" s="0" t="n">
        <v>2624</v>
      </c>
      <c r="B1307" s="2" t="n">
        <v>45842</v>
      </c>
      <c r="C1307" s="3" t="s">
        <v>16</v>
      </c>
      <c r="D1307" s="3" t="s">
        <v>20</v>
      </c>
      <c r="E1307" s="3" t="s">
        <v>42</v>
      </c>
      <c r="F1307" s="3" t="s">
        <v>28</v>
      </c>
      <c r="G1307" s="0" t="n">
        <v>29</v>
      </c>
      <c r="H1307" s="4" t="n">
        <v>206.06</v>
      </c>
      <c r="I1307" s="4" t="n">
        <v>136.26</v>
      </c>
      <c r="J1307" s="4" t="n">
        <f aca="false">G1307*H1307</f>
        <v>5975.74</v>
      </c>
      <c r="K1307" s="4" t="n">
        <f aca="false">G1307*I1307</f>
        <v>3951.54</v>
      </c>
      <c r="L1307" s="4" t="n">
        <f aca="false">J1307-K1307</f>
        <v>2024.2</v>
      </c>
    </row>
    <row r="1308" customFormat="false" ht="15" hidden="false" customHeight="false" outlineLevel="0" collapsed="false">
      <c r="A1308" s="0" t="n">
        <v>2202</v>
      </c>
      <c r="B1308" s="2" t="n">
        <v>45843</v>
      </c>
      <c r="C1308" s="3" t="s">
        <v>32</v>
      </c>
      <c r="D1308" s="3" t="s">
        <v>29</v>
      </c>
      <c r="E1308" s="3" t="s">
        <v>37</v>
      </c>
      <c r="F1308" s="3" t="s">
        <v>36</v>
      </c>
      <c r="G1308" s="0" t="n">
        <v>10</v>
      </c>
      <c r="H1308" s="4" t="n">
        <v>326.49</v>
      </c>
      <c r="I1308" s="4" t="n">
        <v>242.49</v>
      </c>
      <c r="J1308" s="4" t="n">
        <f aca="false">G1308*H1308</f>
        <v>3264.9</v>
      </c>
      <c r="K1308" s="4" t="n">
        <f aca="false">G1308*I1308</f>
        <v>2424.9</v>
      </c>
      <c r="L1308" s="4" t="n">
        <f aca="false">J1308-K1308</f>
        <v>840</v>
      </c>
    </row>
    <row r="1309" customFormat="false" ht="15" hidden="false" customHeight="false" outlineLevel="0" collapsed="false">
      <c r="A1309" s="0" t="n">
        <v>2310</v>
      </c>
      <c r="B1309" s="2" t="n">
        <v>45843</v>
      </c>
      <c r="C1309" s="3" t="s">
        <v>26</v>
      </c>
      <c r="D1309" s="3" t="s">
        <v>20</v>
      </c>
      <c r="E1309" s="3" t="s">
        <v>38</v>
      </c>
      <c r="F1309" s="3" t="s">
        <v>28</v>
      </c>
      <c r="G1309" s="0" t="n">
        <v>2</v>
      </c>
      <c r="H1309" s="4" t="n">
        <v>44.31</v>
      </c>
      <c r="I1309" s="4" t="n">
        <v>24.95</v>
      </c>
      <c r="J1309" s="4" t="n">
        <f aca="false">G1309*H1309</f>
        <v>88.62</v>
      </c>
      <c r="K1309" s="4" t="n">
        <f aca="false">G1309*I1309</f>
        <v>49.9</v>
      </c>
      <c r="L1309" s="4" t="n">
        <f aca="false">J1309-K1309</f>
        <v>38.72</v>
      </c>
    </row>
    <row r="1310" customFormat="false" ht="15" hidden="false" customHeight="false" outlineLevel="0" collapsed="false">
      <c r="A1310" s="0" t="n">
        <v>2439</v>
      </c>
      <c r="B1310" s="2" t="n">
        <v>45843</v>
      </c>
      <c r="C1310" s="3" t="s">
        <v>16</v>
      </c>
      <c r="D1310" s="3" t="s">
        <v>17</v>
      </c>
      <c r="E1310" s="3" t="s">
        <v>40</v>
      </c>
      <c r="F1310" s="3" t="s">
        <v>25</v>
      </c>
      <c r="G1310" s="0" t="n">
        <v>17</v>
      </c>
      <c r="H1310" s="4" t="n">
        <v>279.36</v>
      </c>
      <c r="I1310" s="4" t="n">
        <v>173.94</v>
      </c>
      <c r="J1310" s="4" t="n">
        <f aca="false">G1310*H1310</f>
        <v>4749.12</v>
      </c>
      <c r="K1310" s="4" t="n">
        <f aca="false">G1310*I1310</f>
        <v>2956.98</v>
      </c>
      <c r="L1310" s="4" t="n">
        <f aca="false">J1310-K1310</f>
        <v>1792.14</v>
      </c>
    </row>
    <row r="1311" customFormat="false" ht="15" hidden="false" customHeight="false" outlineLevel="0" collapsed="false">
      <c r="A1311" s="0" t="n">
        <v>2528</v>
      </c>
      <c r="B1311" s="2" t="n">
        <v>45843</v>
      </c>
      <c r="C1311" s="3" t="s">
        <v>23</v>
      </c>
      <c r="D1311" s="3" t="s">
        <v>29</v>
      </c>
      <c r="E1311" s="3" t="s">
        <v>43</v>
      </c>
      <c r="F1311" s="3" t="s">
        <v>19</v>
      </c>
      <c r="G1311" s="0" t="n">
        <v>9</v>
      </c>
      <c r="H1311" s="4" t="n">
        <v>221.66</v>
      </c>
      <c r="I1311" s="4" t="n">
        <v>147.92</v>
      </c>
      <c r="J1311" s="4" t="n">
        <f aca="false">G1311*H1311</f>
        <v>1994.94</v>
      </c>
      <c r="K1311" s="4" t="n">
        <f aca="false">G1311*I1311</f>
        <v>1331.28</v>
      </c>
      <c r="L1311" s="4" t="n">
        <f aca="false">J1311-K1311</f>
        <v>663.66</v>
      </c>
    </row>
    <row r="1312" customFormat="false" ht="15" hidden="false" customHeight="false" outlineLevel="0" collapsed="false">
      <c r="A1312" s="0" t="n">
        <v>1835</v>
      </c>
      <c r="B1312" s="2" t="n">
        <v>45844</v>
      </c>
      <c r="C1312" s="3" t="s">
        <v>26</v>
      </c>
      <c r="D1312" s="3" t="s">
        <v>29</v>
      </c>
      <c r="E1312" s="3" t="s">
        <v>43</v>
      </c>
      <c r="F1312" s="3" t="s">
        <v>28</v>
      </c>
      <c r="G1312" s="0" t="n">
        <v>19</v>
      </c>
      <c r="H1312" s="4" t="n">
        <v>345.09</v>
      </c>
      <c r="I1312" s="4" t="n">
        <v>252.18</v>
      </c>
      <c r="J1312" s="4" t="n">
        <f aca="false">G1312*H1312</f>
        <v>6556.71</v>
      </c>
      <c r="K1312" s="4" t="n">
        <f aca="false">G1312*I1312</f>
        <v>4791.42</v>
      </c>
      <c r="L1312" s="4" t="n">
        <f aca="false">J1312-K1312</f>
        <v>1765.29</v>
      </c>
    </row>
    <row r="1313" customFormat="false" ht="15" hidden="false" customHeight="false" outlineLevel="0" collapsed="false">
      <c r="A1313" s="0" t="n">
        <v>2302</v>
      </c>
      <c r="B1313" s="2" t="n">
        <v>45844</v>
      </c>
      <c r="C1313" s="3" t="s">
        <v>12</v>
      </c>
      <c r="D1313" s="3" t="s">
        <v>17</v>
      </c>
      <c r="E1313" s="3" t="s">
        <v>40</v>
      </c>
      <c r="F1313" s="3" t="s">
        <v>19</v>
      </c>
      <c r="G1313" s="0" t="n">
        <v>39</v>
      </c>
      <c r="H1313" s="4" t="n">
        <v>346.99</v>
      </c>
      <c r="I1313" s="4" t="n">
        <v>223.26</v>
      </c>
      <c r="J1313" s="4" t="n">
        <f aca="false">G1313*H1313</f>
        <v>13532.61</v>
      </c>
      <c r="K1313" s="4" t="n">
        <f aca="false">G1313*I1313</f>
        <v>8707.14</v>
      </c>
      <c r="L1313" s="4" t="n">
        <f aca="false">J1313-K1313</f>
        <v>4825.47</v>
      </c>
    </row>
    <row r="1314" customFormat="false" ht="15" hidden="false" customHeight="false" outlineLevel="0" collapsed="false">
      <c r="A1314" s="0" t="n">
        <v>1302</v>
      </c>
      <c r="B1314" s="2" t="n">
        <v>45845</v>
      </c>
      <c r="C1314" s="3" t="s">
        <v>32</v>
      </c>
      <c r="D1314" s="3" t="s">
        <v>29</v>
      </c>
      <c r="E1314" s="3" t="s">
        <v>43</v>
      </c>
      <c r="F1314" s="3" t="s">
        <v>39</v>
      </c>
      <c r="G1314" s="0" t="n">
        <v>7</v>
      </c>
      <c r="H1314" s="4" t="n">
        <v>432.74</v>
      </c>
      <c r="I1314" s="4" t="n">
        <v>255.41</v>
      </c>
      <c r="J1314" s="4" t="n">
        <f aca="false">G1314*H1314</f>
        <v>3029.18</v>
      </c>
      <c r="K1314" s="4" t="n">
        <f aca="false">G1314*I1314</f>
        <v>1787.87</v>
      </c>
      <c r="L1314" s="4" t="n">
        <f aca="false">J1314-K1314</f>
        <v>1241.31</v>
      </c>
    </row>
    <row r="1315" customFormat="false" ht="15" hidden="false" customHeight="false" outlineLevel="0" collapsed="false">
      <c r="A1315" s="0" t="n">
        <v>1416</v>
      </c>
      <c r="B1315" s="2" t="n">
        <v>45845</v>
      </c>
      <c r="C1315" s="3" t="s">
        <v>26</v>
      </c>
      <c r="D1315" s="3" t="s">
        <v>29</v>
      </c>
      <c r="E1315" s="3" t="s">
        <v>41</v>
      </c>
      <c r="F1315" s="3" t="s">
        <v>19</v>
      </c>
      <c r="G1315" s="0" t="n">
        <v>30</v>
      </c>
      <c r="H1315" s="4" t="n">
        <v>273.23</v>
      </c>
      <c r="I1315" s="4" t="n">
        <v>137.42</v>
      </c>
      <c r="J1315" s="4" t="n">
        <f aca="false">G1315*H1315</f>
        <v>8196.9</v>
      </c>
      <c r="K1315" s="4" t="n">
        <f aca="false">G1315*I1315</f>
        <v>4122.6</v>
      </c>
      <c r="L1315" s="4" t="n">
        <f aca="false">J1315-K1315</f>
        <v>4074.3</v>
      </c>
    </row>
    <row r="1316" customFormat="false" ht="15" hidden="false" customHeight="false" outlineLevel="0" collapsed="false">
      <c r="A1316" s="0" t="n">
        <v>2588</v>
      </c>
      <c r="B1316" s="2" t="n">
        <v>45845</v>
      </c>
      <c r="C1316" s="3" t="s">
        <v>26</v>
      </c>
      <c r="D1316" s="3" t="s">
        <v>20</v>
      </c>
      <c r="E1316" s="3" t="s">
        <v>21</v>
      </c>
      <c r="F1316" s="3" t="s">
        <v>33</v>
      </c>
      <c r="G1316" s="0" t="n">
        <v>31</v>
      </c>
      <c r="H1316" s="4" t="n">
        <v>72.9</v>
      </c>
      <c r="I1316" s="4" t="n">
        <v>46.72</v>
      </c>
      <c r="J1316" s="4" t="n">
        <f aca="false">G1316*H1316</f>
        <v>2259.9</v>
      </c>
      <c r="K1316" s="4" t="n">
        <f aca="false">G1316*I1316</f>
        <v>1448.32</v>
      </c>
      <c r="L1316" s="4" t="n">
        <f aca="false">J1316-K1316</f>
        <v>811.58</v>
      </c>
    </row>
    <row r="1317" customFormat="false" ht="15" hidden="false" customHeight="false" outlineLevel="0" collapsed="false">
      <c r="A1317" s="0" t="n">
        <v>1768</v>
      </c>
      <c r="B1317" s="2" t="n">
        <v>45846</v>
      </c>
      <c r="C1317" s="3" t="s">
        <v>23</v>
      </c>
      <c r="D1317" s="3" t="s">
        <v>20</v>
      </c>
      <c r="E1317" s="3" t="s">
        <v>42</v>
      </c>
      <c r="F1317" s="3" t="s">
        <v>39</v>
      </c>
      <c r="G1317" s="0" t="n">
        <v>14</v>
      </c>
      <c r="H1317" s="4" t="n">
        <v>203.12</v>
      </c>
      <c r="I1317" s="4" t="n">
        <v>102.17</v>
      </c>
      <c r="J1317" s="4" t="n">
        <f aca="false">G1317*H1317</f>
        <v>2843.68</v>
      </c>
      <c r="K1317" s="4" t="n">
        <f aca="false">G1317*I1317</f>
        <v>1430.38</v>
      </c>
      <c r="L1317" s="4" t="n">
        <f aca="false">J1317-K1317</f>
        <v>1413.3</v>
      </c>
    </row>
    <row r="1318" customFormat="false" ht="15" hidden="false" customHeight="false" outlineLevel="0" collapsed="false">
      <c r="A1318" s="0" t="n">
        <v>2042</v>
      </c>
      <c r="B1318" s="2" t="n">
        <v>45846</v>
      </c>
      <c r="C1318" s="3" t="s">
        <v>16</v>
      </c>
      <c r="D1318" s="3" t="s">
        <v>13</v>
      </c>
      <c r="E1318" s="3" t="s">
        <v>45</v>
      </c>
      <c r="F1318" s="3" t="s">
        <v>36</v>
      </c>
      <c r="G1318" s="0" t="n">
        <v>13</v>
      </c>
      <c r="H1318" s="4" t="n">
        <v>51.98</v>
      </c>
      <c r="I1318" s="4" t="n">
        <v>35.65</v>
      </c>
      <c r="J1318" s="4" t="n">
        <f aca="false">G1318*H1318</f>
        <v>675.74</v>
      </c>
      <c r="K1318" s="4" t="n">
        <f aca="false">G1318*I1318</f>
        <v>463.45</v>
      </c>
      <c r="L1318" s="4" t="n">
        <f aca="false">J1318-K1318</f>
        <v>212.29</v>
      </c>
    </row>
    <row r="1319" customFormat="false" ht="15" hidden="false" customHeight="false" outlineLevel="0" collapsed="false">
      <c r="A1319" s="0" t="n">
        <v>2056</v>
      </c>
      <c r="B1319" s="2" t="n">
        <v>45846</v>
      </c>
      <c r="C1319" s="3" t="s">
        <v>12</v>
      </c>
      <c r="D1319" s="3" t="s">
        <v>17</v>
      </c>
      <c r="E1319" s="3" t="s">
        <v>35</v>
      </c>
      <c r="F1319" s="3" t="s">
        <v>19</v>
      </c>
      <c r="G1319" s="0" t="n">
        <v>7</v>
      </c>
      <c r="H1319" s="4" t="n">
        <v>673.75</v>
      </c>
      <c r="I1319" s="4" t="n">
        <v>471.1</v>
      </c>
      <c r="J1319" s="4" t="n">
        <f aca="false">G1319*H1319</f>
        <v>4716.25</v>
      </c>
      <c r="K1319" s="4" t="n">
        <f aca="false">G1319*I1319</f>
        <v>3297.7</v>
      </c>
      <c r="L1319" s="4" t="n">
        <f aca="false">J1319-K1319</f>
        <v>1418.55</v>
      </c>
    </row>
    <row r="1320" customFormat="false" ht="15" hidden="false" customHeight="false" outlineLevel="0" collapsed="false">
      <c r="A1320" s="0" t="n">
        <v>2529</v>
      </c>
      <c r="B1320" s="2" t="n">
        <v>45846</v>
      </c>
      <c r="C1320" s="3" t="s">
        <v>32</v>
      </c>
      <c r="D1320" s="3" t="s">
        <v>20</v>
      </c>
      <c r="E1320" s="3" t="s">
        <v>38</v>
      </c>
      <c r="F1320" s="3" t="s">
        <v>33</v>
      </c>
      <c r="G1320" s="0" t="n">
        <v>40</v>
      </c>
      <c r="H1320" s="4" t="n">
        <v>192.03</v>
      </c>
      <c r="I1320" s="4" t="n">
        <v>101.71</v>
      </c>
      <c r="J1320" s="4" t="n">
        <f aca="false">G1320*H1320</f>
        <v>7681.2</v>
      </c>
      <c r="K1320" s="4" t="n">
        <f aca="false">G1320*I1320</f>
        <v>4068.4</v>
      </c>
      <c r="L1320" s="4" t="n">
        <f aca="false">J1320-K1320</f>
        <v>3612.8</v>
      </c>
    </row>
    <row r="1321" customFormat="false" ht="15" hidden="false" customHeight="false" outlineLevel="0" collapsed="false">
      <c r="A1321" s="0" t="n">
        <v>2668</v>
      </c>
      <c r="B1321" s="2" t="n">
        <v>45846</v>
      </c>
      <c r="C1321" s="3" t="s">
        <v>16</v>
      </c>
      <c r="D1321" s="3" t="s">
        <v>13</v>
      </c>
      <c r="E1321" s="3" t="s">
        <v>46</v>
      </c>
      <c r="F1321" s="3" t="s">
        <v>15</v>
      </c>
      <c r="G1321" s="0" t="n">
        <v>12</v>
      </c>
      <c r="H1321" s="4" t="n">
        <v>15.99</v>
      </c>
      <c r="I1321" s="4" t="n">
        <v>10.52</v>
      </c>
      <c r="J1321" s="4" t="n">
        <f aca="false">G1321*H1321</f>
        <v>191.88</v>
      </c>
      <c r="K1321" s="4" t="n">
        <f aca="false">G1321*I1321</f>
        <v>126.24</v>
      </c>
      <c r="L1321" s="4" t="n">
        <f aca="false">J1321-K1321</f>
        <v>65.64</v>
      </c>
    </row>
    <row r="1322" customFormat="false" ht="15" hidden="false" customHeight="false" outlineLevel="0" collapsed="false">
      <c r="A1322" s="0" t="n">
        <v>1209</v>
      </c>
      <c r="B1322" s="2" t="n">
        <v>45847</v>
      </c>
      <c r="C1322" s="3" t="s">
        <v>26</v>
      </c>
      <c r="D1322" s="3" t="s">
        <v>17</v>
      </c>
      <c r="E1322" s="3" t="s">
        <v>27</v>
      </c>
      <c r="F1322" s="3" t="s">
        <v>22</v>
      </c>
      <c r="G1322" s="0" t="n">
        <v>1</v>
      </c>
      <c r="H1322" s="4" t="n">
        <v>406.41</v>
      </c>
      <c r="I1322" s="4" t="n">
        <v>204.13</v>
      </c>
      <c r="J1322" s="4" t="n">
        <f aca="false">G1322*H1322</f>
        <v>406.41</v>
      </c>
      <c r="K1322" s="4" t="n">
        <f aca="false">G1322*I1322</f>
        <v>204.13</v>
      </c>
      <c r="L1322" s="4" t="n">
        <f aca="false">J1322-K1322</f>
        <v>202.28</v>
      </c>
    </row>
    <row r="1323" customFormat="false" ht="15" hidden="false" customHeight="false" outlineLevel="0" collapsed="false">
      <c r="A1323" s="0" t="n">
        <v>1445</v>
      </c>
      <c r="B1323" s="2" t="n">
        <v>45847</v>
      </c>
      <c r="C1323" s="3" t="s">
        <v>23</v>
      </c>
      <c r="D1323" s="3" t="s">
        <v>13</v>
      </c>
      <c r="E1323" s="3" t="s">
        <v>46</v>
      </c>
      <c r="F1323" s="3" t="s">
        <v>19</v>
      </c>
      <c r="G1323" s="0" t="n">
        <v>35</v>
      </c>
      <c r="H1323" s="4" t="n">
        <v>44.75</v>
      </c>
      <c r="I1323" s="4" t="n">
        <v>32.61</v>
      </c>
      <c r="J1323" s="4" t="n">
        <f aca="false">G1323*H1323</f>
        <v>1566.25</v>
      </c>
      <c r="K1323" s="4" t="n">
        <f aca="false">G1323*I1323</f>
        <v>1141.35</v>
      </c>
      <c r="L1323" s="4" t="n">
        <f aca="false">J1323-K1323</f>
        <v>424.9</v>
      </c>
    </row>
    <row r="1324" customFormat="false" ht="15" hidden="false" customHeight="false" outlineLevel="0" collapsed="false">
      <c r="A1324" s="0" t="n">
        <v>2257</v>
      </c>
      <c r="B1324" s="2" t="n">
        <v>45847</v>
      </c>
      <c r="C1324" s="3" t="s">
        <v>16</v>
      </c>
      <c r="D1324" s="3" t="s">
        <v>13</v>
      </c>
      <c r="E1324" s="3" t="s">
        <v>45</v>
      </c>
      <c r="F1324" s="3" t="s">
        <v>25</v>
      </c>
      <c r="G1324" s="0" t="n">
        <v>13</v>
      </c>
      <c r="H1324" s="4" t="n">
        <v>21.32</v>
      </c>
      <c r="I1324" s="4" t="n">
        <v>14.05</v>
      </c>
      <c r="J1324" s="4" t="n">
        <f aca="false">G1324*H1324</f>
        <v>277.16</v>
      </c>
      <c r="K1324" s="4" t="n">
        <f aca="false">G1324*I1324</f>
        <v>182.65</v>
      </c>
      <c r="L1324" s="4" t="n">
        <f aca="false">J1324-K1324</f>
        <v>94.51</v>
      </c>
    </row>
    <row r="1325" customFormat="false" ht="15" hidden="false" customHeight="false" outlineLevel="0" collapsed="false">
      <c r="A1325" s="0" t="n">
        <v>1178</v>
      </c>
      <c r="B1325" s="2" t="n">
        <v>45848</v>
      </c>
      <c r="C1325" s="3" t="s">
        <v>23</v>
      </c>
      <c r="D1325" s="3" t="s">
        <v>20</v>
      </c>
      <c r="E1325" s="3" t="s">
        <v>38</v>
      </c>
      <c r="F1325" s="3" t="s">
        <v>19</v>
      </c>
      <c r="G1325" s="0" t="n">
        <v>19</v>
      </c>
      <c r="H1325" s="4" t="n">
        <v>278.72</v>
      </c>
      <c r="I1325" s="4" t="n">
        <v>185.07</v>
      </c>
      <c r="J1325" s="4" t="n">
        <f aca="false">G1325*H1325</f>
        <v>5295.68</v>
      </c>
      <c r="K1325" s="4" t="n">
        <f aca="false">G1325*I1325</f>
        <v>3516.33</v>
      </c>
      <c r="L1325" s="4" t="n">
        <f aca="false">J1325-K1325</f>
        <v>1779.35</v>
      </c>
    </row>
    <row r="1326" customFormat="false" ht="15" hidden="false" customHeight="false" outlineLevel="0" collapsed="false">
      <c r="A1326" s="0" t="n">
        <v>1184</v>
      </c>
      <c r="B1326" s="2" t="n">
        <v>45848</v>
      </c>
      <c r="C1326" s="3" t="s">
        <v>16</v>
      </c>
      <c r="D1326" s="3" t="s">
        <v>20</v>
      </c>
      <c r="E1326" s="3" t="s">
        <v>34</v>
      </c>
      <c r="F1326" s="3" t="s">
        <v>28</v>
      </c>
      <c r="G1326" s="0" t="n">
        <v>18</v>
      </c>
      <c r="H1326" s="4" t="n">
        <v>148.5</v>
      </c>
      <c r="I1326" s="4" t="n">
        <v>83.8</v>
      </c>
      <c r="J1326" s="4" t="n">
        <f aca="false">G1326*H1326</f>
        <v>2673</v>
      </c>
      <c r="K1326" s="4" t="n">
        <f aca="false">G1326*I1326</f>
        <v>1508.4</v>
      </c>
      <c r="L1326" s="4" t="n">
        <f aca="false">J1326-K1326</f>
        <v>1164.6</v>
      </c>
    </row>
    <row r="1327" customFormat="false" ht="15" hidden="false" customHeight="false" outlineLevel="0" collapsed="false">
      <c r="A1327" s="0" t="n">
        <v>2318</v>
      </c>
      <c r="B1327" s="2" t="n">
        <v>45848</v>
      </c>
      <c r="C1327" s="3" t="s">
        <v>26</v>
      </c>
      <c r="D1327" s="3" t="s">
        <v>20</v>
      </c>
      <c r="E1327" s="3" t="s">
        <v>21</v>
      </c>
      <c r="F1327" s="3" t="s">
        <v>22</v>
      </c>
      <c r="G1327" s="0" t="n">
        <v>18</v>
      </c>
      <c r="H1327" s="4" t="n">
        <v>44.43</v>
      </c>
      <c r="I1327" s="4" t="n">
        <v>31.96</v>
      </c>
      <c r="J1327" s="4" t="n">
        <f aca="false">G1327*H1327</f>
        <v>799.74</v>
      </c>
      <c r="K1327" s="4" t="n">
        <f aca="false">G1327*I1327</f>
        <v>575.28</v>
      </c>
      <c r="L1327" s="4" t="n">
        <f aca="false">J1327-K1327</f>
        <v>224.46</v>
      </c>
    </row>
    <row r="1328" customFormat="false" ht="15" hidden="false" customHeight="false" outlineLevel="0" collapsed="false">
      <c r="A1328" s="0" t="n">
        <v>1071</v>
      </c>
      <c r="B1328" s="2" t="n">
        <v>45849</v>
      </c>
      <c r="C1328" s="3" t="s">
        <v>12</v>
      </c>
      <c r="D1328" s="3" t="s">
        <v>13</v>
      </c>
      <c r="E1328" s="3" t="s">
        <v>31</v>
      </c>
      <c r="F1328" s="3" t="s">
        <v>19</v>
      </c>
      <c r="G1328" s="0" t="n">
        <v>5</v>
      </c>
      <c r="H1328" s="4" t="n">
        <v>48.18</v>
      </c>
      <c r="I1328" s="4" t="n">
        <v>35.19</v>
      </c>
      <c r="J1328" s="4" t="n">
        <f aca="false">G1328*H1328</f>
        <v>240.9</v>
      </c>
      <c r="K1328" s="4" t="n">
        <f aca="false">G1328*I1328</f>
        <v>175.95</v>
      </c>
      <c r="L1328" s="4" t="n">
        <f aca="false">J1328-K1328</f>
        <v>64.95</v>
      </c>
    </row>
    <row r="1329" customFormat="false" ht="15" hidden="false" customHeight="false" outlineLevel="0" collapsed="false">
      <c r="A1329" s="0" t="n">
        <v>2483</v>
      </c>
      <c r="B1329" s="2" t="n">
        <v>45849</v>
      </c>
      <c r="C1329" s="3" t="s">
        <v>12</v>
      </c>
      <c r="D1329" s="3" t="s">
        <v>20</v>
      </c>
      <c r="E1329" s="3" t="s">
        <v>38</v>
      </c>
      <c r="F1329" s="3" t="s">
        <v>25</v>
      </c>
      <c r="G1329" s="0" t="n">
        <v>36</v>
      </c>
      <c r="H1329" s="4" t="n">
        <v>40.39</v>
      </c>
      <c r="I1329" s="4" t="n">
        <v>28.57</v>
      </c>
      <c r="J1329" s="4" t="n">
        <f aca="false">G1329*H1329</f>
        <v>1454.04</v>
      </c>
      <c r="K1329" s="4" t="n">
        <f aca="false">G1329*I1329</f>
        <v>1028.52</v>
      </c>
      <c r="L1329" s="4" t="n">
        <f aca="false">J1329-K1329</f>
        <v>425.52</v>
      </c>
    </row>
    <row r="1330" customFormat="false" ht="15" hidden="false" customHeight="false" outlineLevel="0" collapsed="false">
      <c r="A1330" s="0" t="n">
        <v>2723</v>
      </c>
      <c r="B1330" s="2" t="n">
        <v>45849</v>
      </c>
      <c r="C1330" s="3" t="s">
        <v>16</v>
      </c>
      <c r="D1330" s="3" t="s">
        <v>13</v>
      </c>
      <c r="E1330" s="3" t="s">
        <v>24</v>
      </c>
      <c r="F1330" s="3" t="s">
        <v>19</v>
      </c>
      <c r="G1330" s="0" t="n">
        <v>27</v>
      </c>
      <c r="H1330" s="4" t="n">
        <v>20.16</v>
      </c>
      <c r="I1330" s="4" t="n">
        <v>13.7</v>
      </c>
      <c r="J1330" s="4" t="n">
        <f aca="false">G1330*H1330</f>
        <v>544.32</v>
      </c>
      <c r="K1330" s="4" t="n">
        <f aca="false">G1330*I1330</f>
        <v>369.9</v>
      </c>
      <c r="L1330" s="4" t="n">
        <f aca="false">J1330-K1330</f>
        <v>174.42</v>
      </c>
    </row>
    <row r="1331" customFormat="false" ht="15" hidden="false" customHeight="false" outlineLevel="0" collapsed="false">
      <c r="A1331" s="0" t="n">
        <v>1227</v>
      </c>
      <c r="B1331" s="2" t="n">
        <v>45850</v>
      </c>
      <c r="C1331" s="3" t="s">
        <v>12</v>
      </c>
      <c r="D1331" s="3" t="s">
        <v>17</v>
      </c>
      <c r="E1331" s="3" t="s">
        <v>18</v>
      </c>
      <c r="F1331" s="3" t="s">
        <v>39</v>
      </c>
      <c r="G1331" s="0" t="n">
        <v>29</v>
      </c>
      <c r="H1331" s="4" t="n">
        <v>730.06</v>
      </c>
      <c r="I1331" s="4" t="n">
        <v>510.14</v>
      </c>
      <c r="J1331" s="4" t="n">
        <f aca="false">G1331*H1331</f>
        <v>21171.74</v>
      </c>
      <c r="K1331" s="4" t="n">
        <f aca="false">G1331*I1331</f>
        <v>14794.06</v>
      </c>
      <c r="L1331" s="4" t="n">
        <f aca="false">J1331-K1331</f>
        <v>6377.68</v>
      </c>
    </row>
    <row r="1332" customFormat="false" ht="15" hidden="false" customHeight="false" outlineLevel="0" collapsed="false">
      <c r="A1332" s="0" t="n">
        <v>2667</v>
      </c>
      <c r="B1332" s="2" t="n">
        <v>45850</v>
      </c>
      <c r="C1332" s="3" t="s">
        <v>23</v>
      </c>
      <c r="D1332" s="3" t="s">
        <v>17</v>
      </c>
      <c r="E1332" s="3" t="s">
        <v>18</v>
      </c>
      <c r="F1332" s="3" t="s">
        <v>28</v>
      </c>
      <c r="G1332" s="0" t="n">
        <v>13</v>
      </c>
      <c r="H1332" s="4" t="n">
        <v>554.16</v>
      </c>
      <c r="I1332" s="4" t="n">
        <v>318.58</v>
      </c>
      <c r="J1332" s="4" t="n">
        <f aca="false">G1332*H1332</f>
        <v>7204.08</v>
      </c>
      <c r="K1332" s="4" t="n">
        <f aca="false">G1332*I1332</f>
        <v>4141.54</v>
      </c>
      <c r="L1332" s="4" t="n">
        <f aca="false">J1332-K1332</f>
        <v>3062.54</v>
      </c>
    </row>
    <row r="1333" customFormat="false" ht="15" hidden="false" customHeight="false" outlineLevel="0" collapsed="false">
      <c r="A1333" s="0" t="n">
        <v>1525</v>
      </c>
      <c r="B1333" s="2" t="n">
        <v>45851</v>
      </c>
      <c r="C1333" s="3" t="s">
        <v>16</v>
      </c>
      <c r="D1333" s="3" t="s">
        <v>29</v>
      </c>
      <c r="E1333" s="3" t="s">
        <v>30</v>
      </c>
      <c r="F1333" s="3" t="s">
        <v>22</v>
      </c>
      <c r="G1333" s="0" t="n">
        <v>37</v>
      </c>
      <c r="H1333" s="4" t="n">
        <v>323.71</v>
      </c>
      <c r="I1333" s="4" t="n">
        <v>168.33</v>
      </c>
      <c r="J1333" s="4" t="n">
        <f aca="false">G1333*H1333</f>
        <v>11977.27</v>
      </c>
      <c r="K1333" s="4" t="n">
        <f aca="false">G1333*I1333</f>
        <v>6228.21</v>
      </c>
      <c r="L1333" s="4" t="n">
        <f aca="false">J1333-K1333</f>
        <v>5749.06</v>
      </c>
    </row>
    <row r="1334" customFormat="false" ht="15" hidden="false" customHeight="false" outlineLevel="0" collapsed="false">
      <c r="A1334" s="0" t="n">
        <v>1971</v>
      </c>
      <c r="B1334" s="2" t="n">
        <v>45851</v>
      </c>
      <c r="C1334" s="3" t="s">
        <v>12</v>
      </c>
      <c r="D1334" s="3" t="s">
        <v>20</v>
      </c>
      <c r="E1334" s="3" t="s">
        <v>21</v>
      </c>
      <c r="F1334" s="3" t="s">
        <v>15</v>
      </c>
      <c r="G1334" s="0" t="n">
        <v>19</v>
      </c>
      <c r="H1334" s="4" t="n">
        <v>206.96</v>
      </c>
      <c r="I1334" s="4" t="n">
        <v>123.72</v>
      </c>
      <c r="J1334" s="4" t="n">
        <f aca="false">G1334*H1334</f>
        <v>3932.24</v>
      </c>
      <c r="K1334" s="4" t="n">
        <f aca="false">G1334*I1334</f>
        <v>2350.68</v>
      </c>
      <c r="L1334" s="4" t="n">
        <f aca="false">J1334-K1334</f>
        <v>1581.56</v>
      </c>
    </row>
    <row r="1335" customFormat="false" ht="15" hidden="false" customHeight="false" outlineLevel="0" collapsed="false">
      <c r="A1335" s="0" t="n">
        <v>2045</v>
      </c>
      <c r="B1335" s="2" t="n">
        <v>45851</v>
      </c>
      <c r="C1335" s="3" t="s">
        <v>26</v>
      </c>
      <c r="D1335" s="3" t="s">
        <v>20</v>
      </c>
      <c r="E1335" s="3" t="s">
        <v>34</v>
      </c>
      <c r="F1335" s="3" t="s">
        <v>22</v>
      </c>
      <c r="G1335" s="0" t="n">
        <v>26</v>
      </c>
      <c r="H1335" s="4" t="n">
        <v>50.51</v>
      </c>
      <c r="I1335" s="4" t="n">
        <v>29.18</v>
      </c>
      <c r="J1335" s="4" t="n">
        <f aca="false">G1335*H1335</f>
        <v>1313.26</v>
      </c>
      <c r="K1335" s="4" t="n">
        <f aca="false">G1335*I1335</f>
        <v>758.68</v>
      </c>
      <c r="L1335" s="4" t="n">
        <f aca="false">J1335-K1335</f>
        <v>554.58</v>
      </c>
    </row>
    <row r="1336" customFormat="false" ht="15" hidden="false" customHeight="false" outlineLevel="0" collapsed="false">
      <c r="A1336" s="0" t="n">
        <v>2320</v>
      </c>
      <c r="B1336" s="2" t="n">
        <v>45851</v>
      </c>
      <c r="C1336" s="3" t="s">
        <v>32</v>
      </c>
      <c r="D1336" s="3" t="s">
        <v>29</v>
      </c>
      <c r="E1336" s="3" t="s">
        <v>41</v>
      </c>
      <c r="F1336" s="3" t="s">
        <v>25</v>
      </c>
      <c r="G1336" s="0" t="n">
        <v>12</v>
      </c>
      <c r="H1336" s="4" t="n">
        <v>96.7</v>
      </c>
      <c r="I1336" s="4" t="n">
        <v>55.61</v>
      </c>
      <c r="J1336" s="4" t="n">
        <f aca="false">G1336*H1336</f>
        <v>1160.4</v>
      </c>
      <c r="K1336" s="4" t="n">
        <f aca="false">G1336*I1336</f>
        <v>667.32</v>
      </c>
      <c r="L1336" s="4" t="n">
        <f aca="false">J1336-K1336</f>
        <v>493.08</v>
      </c>
    </row>
    <row r="1337" customFormat="false" ht="15" hidden="false" customHeight="false" outlineLevel="0" collapsed="false">
      <c r="A1337" s="0" t="n">
        <v>1252</v>
      </c>
      <c r="B1337" s="2" t="n">
        <v>45852</v>
      </c>
      <c r="C1337" s="3" t="s">
        <v>16</v>
      </c>
      <c r="D1337" s="3" t="s">
        <v>13</v>
      </c>
      <c r="E1337" s="3" t="s">
        <v>46</v>
      </c>
      <c r="F1337" s="3" t="s">
        <v>28</v>
      </c>
      <c r="G1337" s="0" t="n">
        <v>22</v>
      </c>
      <c r="H1337" s="4" t="n">
        <v>46.45</v>
      </c>
      <c r="I1337" s="4" t="n">
        <v>32.94</v>
      </c>
      <c r="J1337" s="4" t="n">
        <f aca="false">G1337*H1337</f>
        <v>1021.9</v>
      </c>
      <c r="K1337" s="4" t="n">
        <f aca="false">G1337*I1337</f>
        <v>724.68</v>
      </c>
      <c r="L1337" s="4" t="n">
        <f aca="false">J1337-K1337</f>
        <v>297.22</v>
      </c>
    </row>
    <row r="1338" customFormat="false" ht="15" hidden="false" customHeight="false" outlineLevel="0" collapsed="false">
      <c r="A1338" s="0" t="n">
        <v>1336</v>
      </c>
      <c r="B1338" s="2" t="n">
        <v>45852</v>
      </c>
      <c r="C1338" s="3" t="s">
        <v>32</v>
      </c>
      <c r="D1338" s="3" t="s">
        <v>20</v>
      </c>
      <c r="E1338" s="3" t="s">
        <v>34</v>
      </c>
      <c r="F1338" s="3" t="s">
        <v>39</v>
      </c>
      <c r="G1338" s="0" t="n">
        <v>1</v>
      </c>
      <c r="H1338" s="4" t="n">
        <v>95.59</v>
      </c>
      <c r="I1338" s="4" t="n">
        <v>62.27</v>
      </c>
      <c r="J1338" s="4" t="n">
        <f aca="false">G1338*H1338</f>
        <v>95.59</v>
      </c>
      <c r="K1338" s="4" t="n">
        <f aca="false">G1338*I1338</f>
        <v>62.27</v>
      </c>
      <c r="L1338" s="4" t="n">
        <f aca="false">J1338-K1338</f>
        <v>33.32</v>
      </c>
    </row>
    <row r="1339" customFormat="false" ht="15" hidden="false" customHeight="false" outlineLevel="0" collapsed="false">
      <c r="A1339" s="0" t="n">
        <v>1376</v>
      </c>
      <c r="B1339" s="2" t="n">
        <v>45852</v>
      </c>
      <c r="C1339" s="3" t="s">
        <v>26</v>
      </c>
      <c r="D1339" s="3" t="s">
        <v>29</v>
      </c>
      <c r="E1339" s="3" t="s">
        <v>37</v>
      </c>
      <c r="F1339" s="3" t="s">
        <v>33</v>
      </c>
      <c r="G1339" s="0" t="n">
        <v>14</v>
      </c>
      <c r="H1339" s="4" t="n">
        <v>295.27</v>
      </c>
      <c r="I1339" s="4" t="n">
        <v>163.93</v>
      </c>
      <c r="J1339" s="4" t="n">
        <f aca="false">G1339*H1339</f>
        <v>4133.78</v>
      </c>
      <c r="K1339" s="4" t="n">
        <f aca="false">G1339*I1339</f>
        <v>2295.02</v>
      </c>
      <c r="L1339" s="4" t="n">
        <f aca="false">J1339-K1339</f>
        <v>1838.76</v>
      </c>
    </row>
    <row r="1340" customFormat="false" ht="15" hidden="false" customHeight="false" outlineLevel="0" collapsed="false">
      <c r="A1340" s="0" t="n">
        <v>1638</v>
      </c>
      <c r="B1340" s="2" t="n">
        <v>45852</v>
      </c>
      <c r="C1340" s="3" t="s">
        <v>32</v>
      </c>
      <c r="D1340" s="3" t="s">
        <v>20</v>
      </c>
      <c r="E1340" s="3" t="s">
        <v>42</v>
      </c>
      <c r="F1340" s="3" t="s">
        <v>22</v>
      </c>
      <c r="G1340" s="0" t="n">
        <v>12</v>
      </c>
      <c r="H1340" s="4" t="n">
        <v>132.19</v>
      </c>
      <c r="I1340" s="4" t="n">
        <v>86.86</v>
      </c>
      <c r="J1340" s="4" t="n">
        <f aca="false">G1340*H1340</f>
        <v>1586.28</v>
      </c>
      <c r="K1340" s="4" t="n">
        <f aca="false">G1340*I1340</f>
        <v>1042.32</v>
      </c>
      <c r="L1340" s="4" t="n">
        <f aca="false">J1340-K1340</f>
        <v>543.96</v>
      </c>
    </row>
    <row r="1341" customFormat="false" ht="15" hidden="false" customHeight="false" outlineLevel="0" collapsed="false">
      <c r="A1341" s="0" t="n">
        <v>1433</v>
      </c>
      <c r="B1341" s="2" t="n">
        <v>45853</v>
      </c>
      <c r="C1341" s="3" t="s">
        <v>32</v>
      </c>
      <c r="D1341" s="3" t="s">
        <v>13</v>
      </c>
      <c r="E1341" s="3" t="s">
        <v>14</v>
      </c>
      <c r="F1341" s="3" t="s">
        <v>36</v>
      </c>
      <c r="G1341" s="0" t="n">
        <v>26</v>
      </c>
      <c r="H1341" s="4" t="n">
        <v>43.75</v>
      </c>
      <c r="I1341" s="4" t="n">
        <v>24.29</v>
      </c>
      <c r="J1341" s="4" t="n">
        <f aca="false">G1341*H1341</f>
        <v>1137.5</v>
      </c>
      <c r="K1341" s="4" t="n">
        <f aca="false">G1341*I1341</f>
        <v>631.54</v>
      </c>
      <c r="L1341" s="4" t="n">
        <f aca="false">J1341-K1341</f>
        <v>505.96</v>
      </c>
    </row>
    <row r="1342" customFormat="false" ht="15" hidden="false" customHeight="false" outlineLevel="0" collapsed="false">
      <c r="A1342" s="0" t="n">
        <v>1809</v>
      </c>
      <c r="B1342" s="2" t="n">
        <v>45853</v>
      </c>
      <c r="C1342" s="3" t="s">
        <v>23</v>
      </c>
      <c r="D1342" s="3" t="s">
        <v>17</v>
      </c>
      <c r="E1342" s="3" t="s">
        <v>44</v>
      </c>
      <c r="F1342" s="3" t="s">
        <v>33</v>
      </c>
      <c r="G1342" s="0" t="n">
        <v>38</v>
      </c>
      <c r="H1342" s="4" t="n">
        <v>787.32</v>
      </c>
      <c r="I1342" s="4" t="n">
        <v>522.51</v>
      </c>
      <c r="J1342" s="4" t="n">
        <f aca="false">G1342*H1342</f>
        <v>29918.16</v>
      </c>
      <c r="K1342" s="4" t="n">
        <f aca="false">G1342*I1342</f>
        <v>19855.38</v>
      </c>
      <c r="L1342" s="4" t="n">
        <f aca="false">J1342-K1342</f>
        <v>10062.78</v>
      </c>
    </row>
    <row r="1343" customFormat="false" ht="15" hidden="false" customHeight="false" outlineLevel="0" collapsed="false">
      <c r="A1343" s="0" t="n">
        <v>2337</v>
      </c>
      <c r="B1343" s="2" t="n">
        <v>45853</v>
      </c>
      <c r="C1343" s="3" t="s">
        <v>16</v>
      </c>
      <c r="D1343" s="3" t="s">
        <v>29</v>
      </c>
      <c r="E1343" s="3" t="s">
        <v>37</v>
      </c>
      <c r="F1343" s="3" t="s">
        <v>25</v>
      </c>
      <c r="G1343" s="0" t="n">
        <v>28</v>
      </c>
      <c r="H1343" s="4" t="n">
        <v>317.96</v>
      </c>
      <c r="I1343" s="4" t="n">
        <v>185.82</v>
      </c>
      <c r="J1343" s="4" t="n">
        <f aca="false">G1343*H1343</f>
        <v>8902.88</v>
      </c>
      <c r="K1343" s="4" t="n">
        <f aca="false">G1343*I1343</f>
        <v>5202.96</v>
      </c>
      <c r="L1343" s="4" t="n">
        <f aca="false">J1343-K1343</f>
        <v>3699.92</v>
      </c>
    </row>
    <row r="1344" customFormat="false" ht="15" hidden="false" customHeight="false" outlineLevel="0" collapsed="false">
      <c r="A1344" s="0" t="n">
        <v>1350</v>
      </c>
      <c r="B1344" s="2" t="n">
        <v>45854</v>
      </c>
      <c r="C1344" s="3" t="s">
        <v>26</v>
      </c>
      <c r="D1344" s="3" t="s">
        <v>17</v>
      </c>
      <c r="E1344" s="3" t="s">
        <v>35</v>
      </c>
      <c r="F1344" s="3" t="s">
        <v>15</v>
      </c>
      <c r="G1344" s="0" t="n">
        <v>33</v>
      </c>
      <c r="H1344" s="4" t="n">
        <v>532.36</v>
      </c>
      <c r="I1344" s="4" t="n">
        <v>376.02</v>
      </c>
      <c r="J1344" s="4" t="n">
        <f aca="false">G1344*H1344</f>
        <v>17567.88</v>
      </c>
      <c r="K1344" s="4" t="n">
        <f aca="false">G1344*I1344</f>
        <v>12408.66</v>
      </c>
      <c r="L1344" s="4" t="n">
        <f aca="false">J1344-K1344</f>
        <v>5159.22</v>
      </c>
    </row>
    <row r="1345" customFormat="false" ht="15" hidden="false" customHeight="false" outlineLevel="0" collapsed="false">
      <c r="A1345" s="0" t="n">
        <v>2266</v>
      </c>
      <c r="B1345" s="2" t="n">
        <v>45854</v>
      </c>
      <c r="C1345" s="3" t="s">
        <v>32</v>
      </c>
      <c r="D1345" s="3" t="s">
        <v>13</v>
      </c>
      <c r="E1345" s="3" t="s">
        <v>24</v>
      </c>
      <c r="F1345" s="3" t="s">
        <v>28</v>
      </c>
      <c r="G1345" s="0" t="n">
        <v>39</v>
      </c>
      <c r="H1345" s="4" t="n">
        <v>27.67</v>
      </c>
      <c r="I1345" s="4" t="n">
        <v>20.54</v>
      </c>
      <c r="J1345" s="4" t="n">
        <f aca="false">G1345*H1345</f>
        <v>1079.13</v>
      </c>
      <c r="K1345" s="4" t="n">
        <f aca="false">G1345*I1345</f>
        <v>801.06</v>
      </c>
      <c r="L1345" s="4" t="n">
        <f aca="false">J1345-K1345</f>
        <v>278.07</v>
      </c>
    </row>
    <row r="1346" customFormat="false" ht="15" hidden="false" customHeight="false" outlineLevel="0" collapsed="false">
      <c r="A1346" s="0" t="n">
        <v>1181</v>
      </c>
      <c r="B1346" s="2" t="n">
        <v>45855</v>
      </c>
      <c r="C1346" s="3" t="s">
        <v>12</v>
      </c>
      <c r="D1346" s="3" t="s">
        <v>20</v>
      </c>
      <c r="E1346" s="3" t="s">
        <v>21</v>
      </c>
      <c r="F1346" s="3" t="s">
        <v>28</v>
      </c>
      <c r="G1346" s="0" t="n">
        <v>13</v>
      </c>
      <c r="H1346" s="4" t="n">
        <v>36.57</v>
      </c>
      <c r="I1346" s="4" t="n">
        <v>25.31</v>
      </c>
      <c r="J1346" s="4" t="n">
        <f aca="false">G1346*H1346</f>
        <v>475.41</v>
      </c>
      <c r="K1346" s="4" t="n">
        <f aca="false">G1346*I1346</f>
        <v>329.03</v>
      </c>
      <c r="L1346" s="4" t="n">
        <f aca="false">J1346-K1346</f>
        <v>146.38</v>
      </c>
    </row>
    <row r="1347" customFormat="false" ht="15" hidden="false" customHeight="false" outlineLevel="0" collapsed="false">
      <c r="A1347" s="0" t="n">
        <v>1402</v>
      </c>
      <c r="B1347" s="2" t="n">
        <v>45855</v>
      </c>
      <c r="C1347" s="3" t="s">
        <v>16</v>
      </c>
      <c r="D1347" s="3" t="s">
        <v>17</v>
      </c>
      <c r="E1347" s="3" t="s">
        <v>44</v>
      </c>
      <c r="F1347" s="3" t="s">
        <v>36</v>
      </c>
      <c r="G1347" s="0" t="n">
        <v>1</v>
      </c>
      <c r="H1347" s="4" t="n">
        <v>735.67</v>
      </c>
      <c r="I1347" s="4" t="n">
        <v>384.05</v>
      </c>
      <c r="J1347" s="4" t="n">
        <f aca="false">G1347*H1347</f>
        <v>735.67</v>
      </c>
      <c r="K1347" s="4" t="n">
        <f aca="false">G1347*I1347</f>
        <v>384.05</v>
      </c>
      <c r="L1347" s="4" t="n">
        <f aca="false">J1347-K1347</f>
        <v>351.62</v>
      </c>
    </row>
    <row r="1348" customFormat="false" ht="15" hidden="false" customHeight="false" outlineLevel="0" collapsed="false">
      <c r="A1348" s="0" t="n">
        <v>2640</v>
      </c>
      <c r="B1348" s="2" t="n">
        <v>45855</v>
      </c>
      <c r="C1348" s="3" t="s">
        <v>12</v>
      </c>
      <c r="D1348" s="3" t="s">
        <v>13</v>
      </c>
      <c r="E1348" s="3" t="s">
        <v>31</v>
      </c>
      <c r="F1348" s="3" t="s">
        <v>15</v>
      </c>
      <c r="G1348" s="0" t="n">
        <v>27</v>
      </c>
      <c r="H1348" s="4" t="n">
        <v>36.56</v>
      </c>
      <c r="I1348" s="4" t="n">
        <v>18.6</v>
      </c>
      <c r="J1348" s="4" t="n">
        <f aca="false">G1348*H1348</f>
        <v>987.12</v>
      </c>
      <c r="K1348" s="4" t="n">
        <f aca="false">G1348*I1348</f>
        <v>502.2</v>
      </c>
      <c r="L1348" s="4" t="n">
        <f aca="false">J1348-K1348</f>
        <v>484.92</v>
      </c>
    </row>
    <row r="1349" customFormat="false" ht="15" hidden="false" customHeight="false" outlineLevel="0" collapsed="false">
      <c r="A1349" s="0" t="n">
        <v>1079</v>
      </c>
      <c r="B1349" s="2" t="n">
        <v>45856</v>
      </c>
      <c r="C1349" s="3" t="s">
        <v>26</v>
      </c>
      <c r="D1349" s="3" t="s">
        <v>20</v>
      </c>
      <c r="E1349" s="3" t="s">
        <v>42</v>
      </c>
      <c r="F1349" s="3" t="s">
        <v>39</v>
      </c>
      <c r="G1349" s="0" t="n">
        <v>8</v>
      </c>
      <c r="H1349" s="4" t="n">
        <v>159.55</v>
      </c>
      <c r="I1349" s="4" t="n">
        <v>108.36</v>
      </c>
      <c r="J1349" s="4" t="n">
        <f aca="false">G1349*H1349</f>
        <v>1276.4</v>
      </c>
      <c r="K1349" s="4" t="n">
        <f aca="false">G1349*I1349</f>
        <v>866.88</v>
      </c>
      <c r="L1349" s="4" t="n">
        <f aca="false">J1349-K1349</f>
        <v>409.52</v>
      </c>
    </row>
    <row r="1350" customFormat="false" ht="15" hidden="false" customHeight="false" outlineLevel="0" collapsed="false">
      <c r="A1350" s="0" t="n">
        <v>1157</v>
      </c>
      <c r="B1350" s="2" t="n">
        <v>45856</v>
      </c>
      <c r="C1350" s="3" t="s">
        <v>12</v>
      </c>
      <c r="D1350" s="3" t="s">
        <v>17</v>
      </c>
      <c r="E1350" s="3" t="s">
        <v>27</v>
      </c>
      <c r="F1350" s="3" t="s">
        <v>15</v>
      </c>
      <c r="G1350" s="0" t="n">
        <v>26</v>
      </c>
      <c r="H1350" s="4" t="n">
        <v>899.66</v>
      </c>
      <c r="I1350" s="4" t="n">
        <v>635.01</v>
      </c>
      <c r="J1350" s="4" t="n">
        <f aca="false">G1350*H1350</f>
        <v>23391.16</v>
      </c>
      <c r="K1350" s="4" t="n">
        <f aca="false">G1350*I1350</f>
        <v>16510.26</v>
      </c>
      <c r="L1350" s="4" t="n">
        <f aca="false">J1350-K1350</f>
        <v>6880.9</v>
      </c>
    </row>
    <row r="1351" customFormat="false" ht="15" hidden="false" customHeight="false" outlineLevel="0" collapsed="false">
      <c r="A1351" s="0" t="n">
        <v>2249</v>
      </c>
      <c r="B1351" s="2" t="n">
        <v>45856</v>
      </c>
      <c r="C1351" s="3" t="s">
        <v>26</v>
      </c>
      <c r="D1351" s="3" t="s">
        <v>13</v>
      </c>
      <c r="E1351" s="3" t="s">
        <v>46</v>
      </c>
      <c r="F1351" s="3" t="s">
        <v>22</v>
      </c>
      <c r="G1351" s="0" t="n">
        <v>37</v>
      </c>
      <c r="H1351" s="4" t="n">
        <v>24.7</v>
      </c>
      <c r="I1351" s="4" t="n">
        <v>12.57</v>
      </c>
      <c r="J1351" s="4" t="n">
        <f aca="false">G1351*H1351</f>
        <v>913.9</v>
      </c>
      <c r="K1351" s="4" t="n">
        <f aca="false">G1351*I1351</f>
        <v>465.09</v>
      </c>
      <c r="L1351" s="4" t="n">
        <f aca="false">J1351-K1351</f>
        <v>448.81</v>
      </c>
    </row>
    <row r="1352" customFormat="false" ht="15" hidden="false" customHeight="false" outlineLevel="0" collapsed="false">
      <c r="A1352" s="0" t="n">
        <v>2402</v>
      </c>
      <c r="B1352" s="2" t="n">
        <v>45856</v>
      </c>
      <c r="C1352" s="3" t="s">
        <v>32</v>
      </c>
      <c r="D1352" s="3" t="s">
        <v>17</v>
      </c>
      <c r="E1352" s="3" t="s">
        <v>35</v>
      </c>
      <c r="F1352" s="3" t="s">
        <v>22</v>
      </c>
      <c r="G1352" s="0" t="n">
        <v>21</v>
      </c>
      <c r="H1352" s="4" t="n">
        <v>266.67</v>
      </c>
      <c r="I1352" s="4" t="n">
        <v>140.44</v>
      </c>
      <c r="J1352" s="4" t="n">
        <f aca="false">G1352*H1352</f>
        <v>5600.07</v>
      </c>
      <c r="K1352" s="4" t="n">
        <f aca="false">G1352*I1352</f>
        <v>2949.24</v>
      </c>
      <c r="L1352" s="4" t="n">
        <f aca="false">J1352-K1352</f>
        <v>2650.83</v>
      </c>
    </row>
    <row r="1353" customFormat="false" ht="15" hidden="false" customHeight="false" outlineLevel="0" collapsed="false">
      <c r="A1353" s="0" t="n">
        <v>2420</v>
      </c>
      <c r="B1353" s="2" t="n">
        <v>45856</v>
      </c>
      <c r="C1353" s="3" t="s">
        <v>16</v>
      </c>
      <c r="D1353" s="3" t="s">
        <v>13</v>
      </c>
      <c r="E1353" s="3" t="s">
        <v>45</v>
      </c>
      <c r="F1353" s="3" t="s">
        <v>15</v>
      </c>
      <c r="G1353" s="0" t="n">
        <v>24</v>
      </c>
      <c r="H1353" s="4" t="n">
        <v>42.32</v>
      </c>
      <c r="I1353" s="4" t="n">
        <v>29.62</v>
      </c>
      <c r="J1353" s="4" t="n">
        <f aca="false">G1353*H1353</f>
        <v>1015.68</v>
      </c>
      <c r="K1353" s="4" t="n">
        <f aca="false">G1353*I1353</f>
        <v>710.88</v>
      </c>
      <c r="L1353" s="4" t="n">
        <f aca="false">J1353-K1353</f>
        <v>304.8</v>
      </c>
    </row>
    <row r="1354" customFormat="false" ht="15" hidden="false" customHeight="false" outlineLevel="0" collapsed="false">
      <c r="A1354" s="0" t="n">
        <v>1362</v>
      </c>
      <c r="B1354" s="2" t="n">
        <v>45857</v>
      </c>
      <c r="C1354" s="3" t="s">
        <v>26</v>
      </c>
      <c r="D1354" s="3" t="s">
        <v>17</v>
      </c>
      <c r="E1354" s="3" t="s">
        <v>40</v>
      </c>
      <c r="F1354" s="3" t="s">
        <v>39</v>
      </c>
      <c r="G1354" s="0" t="n">
        <v>40</v>
      </c>
      <c r="H1354" s="4" t="n">
        <v>789.83</v>
      </c>
      <c r="I1354" s="4" t="n">
        <v>520.06</v>
      </c>
      <c r="J1354" s="4" t="n">
        <f aca="false">G1354*H1354</f>
        <v>31593.2</v>
      </c>
      <c r="K1354" s="4" t="n">
        <f aca="false">G1354*I1354</f>
        <v>20802.4</v>
      </c>
      <c r="L1354" s="4" t="n">
        <f aca="false">J1354-K1354</f>
        <v>10790.8</v>
      </c>
    </row>
    <row r="1355" customFormat="false" ht="15" hidden="false" customHeight="false" outlineLevel="0" collapsed="false">
      <c r="A1355" s="0" t="n">
        <v>1272</v>
      </c>
      <c r="B1355" s="2" t="n">
        <v>45858</v>
      </c>
      <c r="C1355" s="3" t="s">
        <v>23</v>
      </c>
      <c r="D1355" s="3" t="s">
        <v>17</v>
      </c>
      <c r="E1355" s="3" t="s">
        <v>40</v>
      </c>
      <c r="F1355" s="3" t="s">
        <v>39</v>
      </c>
      <c r="G1355" s="0" t="n">
        <v>19</v>
      </c>
      <c r="H1355" s="4" t="n">
        <v>533.6</v>
      </c>
      <c r="I1355" s="4" t="n">
        <v>345.73</v>
      </c>
      <c r="J1355" s="4" t="n">
        <f aca="false">G1355*H1355</f>
        <v>10138.4</v>
      </c>
      <c r="K1355" s="4" t="n">
        <f aca="false">G1355*I1355</f>
        <v>6568.87</v>
      </c>
      <c r="L1355" s="4" t="n">
        <f aca="false">J1355-K1355</f>
        <v>3569.53</v>
      </c>
    </row>
    <row r="1356" customFormat="false" ht="15" hidden="false" customHeight="false" outlineLevel="0" collapsed="false">
      <c r="A1356" s="0" t="n">
        <v>1760</v>
      </c>
      <c r="B1356" s="2" t="n">
        <v>45858</v>
      </c>
      <c r="C1356" s="3" t="s">
        <v>26</v>
      </c>
      <c r="D1356" s="3" t="s">
        <v>29</v>
      </c>
      <c r="E1356" s="3" t="s">
        <v>30</v>
      </c>
      <c r="F1356" s="3" t="s">
        <v>25</v>
      </c>
      <c r="G1356" s="0" t="n">
        <v>33</v>
      </c>
      <c r="H1356" s="4" t="n">
        <v>269.39</v>
      </c>
      <c r="I1356" s="4" t="n">
        <v>168.78</v>
      </c>
      <c r="J1356" s="4" t="n">
        <f aca="false">G1356*H1356</f>
        <v>8889.87</v>
      </c>
      <c r="K1356" s="4" t="n">
        <f aca="false">G1356*I1356</f>
        <v>5569.74</v>
      </c>
      <c r="L1356" s="4" t="n">
        <f aca="false">J1356-K1356</f>
        <v>3320.13</v>
      </c>
    </row>
    <row r="1357" customFormat="false" ht="15" hidden="false" customHeight="false" outlineLevel="0" collapsed="false">
      <c r="A1357" s="0" t="n">
        <v>2038</v>
      </c>
      <c r="B1357" s="2" t="n">
        <v>45858</v>
      </c>
      <c r="C1357" s="3" t="s">
        <v>26</v>
      </c>
      <c r="D1357" s="3" t="s">
        <v>17</v>
      </c>
      <c r="E1357" s="3" t="s">
        <v>35</v>
      </c>
      <c r="F1357" s="3" t="s">
        <v>39</v>
      </c>
      <c r="G1357" s="0" t="n">
        <v>24</v>
      </c>
      <c r="H1357" s="4" t="n">
        <v>509.8</v>
      </c>
      <c r="I1357" s="4" t="n">
        <v>346.39</v>
      </c>
      <c r="J1357" s="4" t="n">
        <f aca="false">G1357*H1357</f>
        <v>12235.2</v>
      </c>
      <c r="K1357" s="4" t="n">
        <f aca="false">G1357*I1357</f>
        <v>8313.36</v>
      </c>
      <c r="L1357" s="4" t="n">
        <f aca="false">J1357-K1357</f>
        <v>3921.84</v>
      </c>
    </row>
    <row r="1358" customFormat="false" ht="15" hidden="false" customHeight="false" outlineLevel="0" collapsed="false">
      <c r="A1358" s="0" t="n">
        <v>2348</v>
      </c>
      <c r="B1358" s="2" t="n">
        <v>45858</v>
      </c>
      <c r="C1358" s="3" t="s">
        <v>26</v>
      </c>
      <c r="D1358" s="3" t="s">
        <v>29</v>
      </c>
      <c r="E1358" s="3" t="s">
        <v>30</v>
      </c>
      <c r="F1358" s="3" t="s">
        <v>15</v>
      </c>
      <c r="G1358" s="0" t="n">
        <v>29</v>
      </c>
      <c r="H1358" s="4" t="n">
        <v>263.08</v>
      </c>
      <c r="I1358" s="4" t="n">
        <v>143.77</v>
      </c>
      <c r="J1358" s="4" t="n">
        <f aca="false">G1358*H1358</f>
        <v>7629.32</v>
      </c>
      <c r="K1358" s="4" t="n">
        <f aca="false">G1358*I1358</f>
        <v>4169.33</v>
      </c>
      <c r="L1358" s="4" t="n">
        <f aca="false">J1358-K1358</f>
        <v>3459.99</v>
      </c>
    </row>
    <row r="1359" customFormat="false" ht="15" hidden="false" customHeight="false" outlineLevel="0" collapsed="false">
      <c r="A1359" s="0" t="n">
        <v>2739</v>
      </c>
      <c r="B1359" s="2" t="n">
        <v>45858</v>
      </c>
      <c r="C1359" s="3" t="s">
        <v>12</v>
      </c>
      <c r="D1359" s="3" t="s">
        <v>13</v>
      </c>
      <c r="E1359" s="3" t="s">
        <v>45</v>
      </c>
      <c r="F1359" s="3" t="s">
        <v>28</v>
      </c>
      <c r="G1359" s="0" t="n">
        <v>28</v>
      </c>
      <c r="H1359" s="4" t="n">
        <v>46.44</v>
      </c>
      <c r="I1359" s="4" t="n">
        <v>27.89</v>
      </c>
      <c r="J1359" s="4" t="n">
        <f aca="false">G1359*H1359</f>
        <v>1300.32</v>
      </c>
      <c r="K1359" s="4" t="n">
        <f aca="false">G1359*I1359</f>
        <v>780.92</v>
      </c>
      <c r="L1359" s="4" t="n">
        <f aca="false">J1359-K1359</f>
        <v>519.4</v>
      </c>
    </row>
    <row r="1360" customFormat="false" ht="15" hidden="false" customHeight="false" outlineLevel="0" collapsed="false">
      <c r="A1360" s="0" t="n">
        <v>1446</v>
      </c>
      <c r="B1360" s="2" t="n">
        <v>45859</v>
      </c>
      <c r="C1360" s="3" t="s">
        <v>12</v>
      </c>
      <c r="D1360" s="3" t="s">
        <v>17</v>
      </c>
      <c r="E1360" s="3" t="s">
        <v>35</v>
      </c>
      <c r="F1360" s="3" t="s">
        <v>19</v>
      </c>
      <c r="G1360" s="0" t="n">
        <v>29</v>
      </c>
      <c r="H1360" s="4" t="n">
        <v>308.37</v>
      </c>
      <c r="I1360" s="4" t="n">
        <v>203.37</v>
      </c>
      <c r="J1360" s="4" t="n">
        <f aca="false">G1360*H1360</f>
        <v>8942.73</v>
      </c>
      <c r="K1360" s="4" t="n">
        <f aca="false">G1360*I1360</f>
        <v>5897.73</v>
      </c>
      <c r="L1360" s="4" t="n">
        <f aca="false">J1360-K1360</f>
        <v>3045</v>
      </c>
    </row>
    <row r="1361" customFormat="false" ht="15" hidden="false" customHeight="false" outlineLevel="0" collapsed="false">
      <c r="A1361" s="0" t="n">
        <v>1831</v>
      </c>
      <c r="B1361" s="2" t="n">
        <v>45859</v>
      </c>
      <c r="C1361" s="3" t="s">
        <v>23</v>
      </c>
      <c r="D1361" s="3" t="s">
        <v>17</v>
      </c>
      <c r="E1361" s="3" t="s">
        <v>18</v>
      </c>
      <c r="F1361" s="3" t="s">
        <v>19</v>
      </c>
      <c r="G1361" s="0" t="n">
        <v>31</v>
      </c>
      <c r="H1361" s="4" t="n">
        <v>478.16</v>
      </c>
      <c r="I1361" s="4" t="n">
        <v>253.99</v>
      </c>
      <c r="J1361" s="4" t="n">
        <f aca="false">G1361*H1361</f>
        <v>14822.96</v>
      </c>
      <c r="K1361" s="4" t="n">
        <f aca="false">G1361*I1361</f>
        <v>7873.69</v>
      </c>
      <c r="L1361" s="4" t="n">
        <f aca="false">J1361-K1361</f>
        <v>6949.27</v>
      </c>
    </row>
    <row r="1362" customFormat="false" ht="15" hidden="false" customHeight="false" outlineLevel="0" collapsed="false">
      <c r="A1362" s="0" t="n">
        <v>1221</v>
      </c>
      <c r="B1362" s="2" t="n">
        <v>45860</v>
      </c>
      <c r="C1362" s="3" t="s">
        <v>16</v>
      </c>
      <c r="D1362" s="3" t="s">
        <v>20</v>
      </c>
      <c r="E1362" s="3" t="s">
        <v>42</v>
      </c>
      <c r="F1362" s="3" t="s">
        <v>22</v>
      </c>
      <c r="G1362" s="0" t="n">
        <v>6</v>
      </c>
      <c r="H1362" s="4" t="n">
        <v>110.84</v>
      </c>
      <c r="I1362" s="4" t="n">
        <v>66.09</v>
      </c>
      <c r="J1362" s="4" t="n">
        <f aca="false">G1362*H1362</f>
        <v>665.04</v>
      </c>
      <c r="K1362" s="4" t="n">
        <f aca="false">G1362*I1362</f>
        <v>396.54</v>
      </c>
      <c r="L1362" s="4" t="n">
        <f aca="false">J1362-K1362</f>
        <v>268.5</v>
      </c>
    </row>
    <row r="1363" customFormat="false" ht="15" hidden="false" customHeight="false" outlineLevel="0" collapsed="false">
      <c r="A1363" s="0" t="n">
        <v>1817</v>
      </c>
      <c r="B1363" s="2" t="n">
        <v>45860</v>
      </c>
      <c r="C1363" s="3" t="s">
        <v>23</v>
      </c>
      <c r="D1363" s="3" t="s">
        <v>29</v>
      </c>
      <c r="E1363" s="3" t="s">
        <v>30</v>
      </c>
      <c r="F1363" s="3" t="s">
        <v>22</v>
      </c>
      <c r="G1363" s="0" t="n">
        <v>9</v>
      </c>
      <c r="H1363" s="4" t="n">
        <v>116.88</v>
      </c>
      <c r="I1363" s="4" t="n">
        <v>80.44</v>
      </c>
      <c r="J1363" s="4" t="n">
        <f aca="false">G1363*H1363</f>
        <v>1051.92</v>
      </c>
      <c r="K1363" s="4" t="n">
        <f aca="false">G1363*I1363</f>
        <v>723.96</v>
      </c>
      <c r="L1363" s="4" t="n">
        <f aca="false">J1363-K1363</f>
        <v>327.96</v>
      </c>
    </row>
    <row r="1364" customFormat="false" ht="15" hidden="false" customHeight="false" outlineLevel="0" collapsed="false">
      <c r="A1364" s="0" t="n">
        <v>2608</v>
      </c>
      <c r="B1364" s="2" t="n">
        <v>45860</v>
      </c>
      <c r="C1364" s="3" t="s">
        <v>23</v>
      </c>
      <c r="D1364" s="3" t="s">
        <v>13</v>
      </c>
      <c r="E1364" s="3" t="s">
        <v>14</v>
      </c>
      <c r="F1364" s="3" t="s">
        <v>33</v>
      </c>
      <c r="G1364" s="0" t="n">
        <v>16</v>
      </c>
      <c r="H1364" s="4" t="n">
        <v>43.43</v>
      </c>
      <c r="I1364" s="4" t="n">
        <v>24.54</v>
      </c>
      <c r="J1364" s="4" t="n">
        <f aca="false">G1364*H1364</f>
        <v>694.88</v>
      </c>
      <c r="K1364" s="4" t="n">
        <f aca="false">G1364*I1364</f>
        <v>392.64</v>
      </c>
      <c r="L1364" s="4" t="n">
        <f aca="false">J1364-K1364</f>
        <v>302.24</v>
      </c>
    </row>
    <row r="1365" customFormat="false" ht="15" hidden="false" customHeight="false" outlineLevel="0" collapsed="false">
      <c r="A1365" s="0" t="n">
        <v>1111</v>
      </c>
      <c r="B1365" s="2" t="n">
        <v>45861</v>
      </c>
      <c r="C1365" s="3" t="s">
        <v>26</v>
      </c>
      <c r="D1365" s="3" t="s">
        <v>29</v>
      </c>
      <c r="E1365" s="3" t="s">
        <v>30</v>
      </c>
      <c r="F1365" s="3" t="s">
        <v>36</v>
      </c>
      <c r="G1365" s="0" t="n">
        <v>23</v>
      </c>
      <c r="H1365" s="4" t="n">
        <v>257.63</v>
      </c>
      <c r="I1365" s="4" t="n">
        <v>132.13</v>
      </c>
      <c r="J1365" s="4" t="n">
        <f aca="false">G1365*H1365</f>
        <v>5925.49</v>
      </c>
      <c r="K1365" s="4" t="n">
        <f aca="false">G1365*I1365</f>
        <v>3038.99</v>
      </c>
      <c r="L1365" s="4" t="n">
        <f aca="false">J1365-K1365</f>
        <v>2886.5</v>
      </c>
    </row>
    <row r="1366" customFormat="false" ht="15" hidden="false" customHeight="false" outlineLevel="0" collapsed="false">
      <c r="A1366" s="0" t="n">
        <v>1113</v>
      </c>
      <c r="B1366" s="2" t="n">
        <v>45861</v>
      </c>
      <c r="C1366" s="3" t="s">
        <v>32</v>
      </c>
      <c r="D1366" s="3" t="s">
        <v>17</v>
      </c>
      <c r="E1366" s="3" t="s">
        <v>40</v>
      </c>
      <c r="F1366" s="3" t="s">
        <v>39</v>
      </c>
      <c r="G1366" s="0" t="n">
        <v>28</v>
      </c>
      <c r="H1366" s="4" t="n">
        <v>769.93</v>
      </c>
      <c r="I1366" s="4" t="n">
        <v>508.67</v>
      </c>
      <c r="J1366" s="4" t="n">
        <f aca="false">G1366*H1366</f>
        <v>21558.04</v>
      </c>
      <c r="K1366" s="4" t="n">
        <f aca="false">G1366*I1366</f>
        <v>14242.76</v>
      </c>
      <c r="L1366" s="4" t="n">
        <f aca="false">J1366-K1366</f>
        <v>7315.28</v>
      </c>
    </row>
    <row r="1367" customFormat="false" ht="15" hidden="false" customHeight="false" outlineLevel="0" collapsed="false">
      <c r="A1367" s="0" t="n">
        <v>2696</v>
      </c>
      <c r="B1367" s="2" t="n">
        <v>45861</v>
      </c>
      <c r="C1367" s="3" t="s">
        <v>16</v>
      </c>
      <c r="D1367" s="3" t="s">
        <v>17</v>
      </c>
      <c r="E1367" s="3" t="s">
        <v>27</v>
      </c>
      <c r="F1367" s="3" t="s">
        <v>33</v>
      </c>
      <c r="G1367" s="0" t="n">
        <v>16</v>
      </c>
      <c r="H1367" s="4" t="n">
        <v>462.15</v>
      </c>
      <c r="I1367" s="4" t="n">
        <v>238.84</v>
      </c>
      <c r="J1367" s="4" t="n">
        <f aca="false">G1367*H1367</f>
        <v>7394.4</v>
      </c>
      <c r="K1367" s="4" t="n">
        <f aca="false">G1367*I1367</f>
        <v>3821.44</v>
      </c>
      <c r="L1367" s="4" t="n">
        <f aca="false">J1367-K1367</f>
        <v>3572.96</v>
      </c>
    </row>
    <row r="1368" customFormat="false" ht="15" hidden="false" customHeight="false" outlineLevel="0" collapsed="false">
      <c r="A1368" s="0" t="n">
        <v>2782</v>
      </c>
      <c r="B1368" s="2" t="n">
        <v>45861</v>
      </c>
      <c r="C1368" s="3" t="s">
        <v>32</v>
      </c>
      <c r="D1368" s="3" t="s">
        <v>20</v>
      </c>
      <c r="E1368" s="3" t="s">
        <v>34</v>
      </c>
      <c r="F1368" s="3" t="s">
        <v>39</v>
      </c>
      <c r="G1368" s="0" t="n">
        <v>2</v>
      </c>
      <c r="H1368" s="4" t="n">
        <v>56.91</v>
      </c>
      <c r="I1368" s="4" t="n">
        <v>30.26</v>
      </c>
      <c r="J1368" s="4" t="n">
        <f aca="false">G1368*H1368</f>
        <v>113.82</v>
      </c>
      <c r="K1368" s="4" t="n">
        <f aca="false">G1368*I1368</f>
        <v>60.52</v>
      </c>
      <c r="L1368" s="4" t="n">
        <f aca="false">J1368-K1368</f>
        <v>53.3</v>
      </c>
    </row>
    <row r="1369" customFormat="false" ht="15" hidden="false" customHeight="false" outlineLevel="0" collapsed="false">
      <c r="A1369" s="0" t="n">
        <v>2611</v>
      </c>
      <c r="B1369" s="2" t="n">
        <v>45862</v>
      </c>
      <c r="C1369" s="3" t="s">
        <v>16</v>
      </c>
      <c r="D1369" s="3" t="s">
        <v>20</v>
      </c>
      <c r="E1369" s="3" t="s">
        <v>21</v>
      </c>
      <c r="F1369" s="3" t="s">
        <v>28</v>
      </c>
      <c r="G1369" s="0" t="n">
        <v>27</v>
      </c>
      <c r="H1369" s="4" t="n">
        <v>24.02</v>
      </c>
      <c r="I1369" s="4" t="n">
        <v>16.76</v>
      </c>
      <c r="J1369" s="4" t="n">
        <f aca="false">G1369*H1369</f>
        <v>648.54</v>
      </c>
      <c r="K1369" s="4" t="n">
        <f aca="false">G1369*I1369</f>
        <v>452.52</v>
      </c>
      <c r="L1369" s="4" t="n">
        <f aca="false">J1369-K1369</f>
        <v>196.02</v>
      </c>
    </row>
    <row r="1370" customFormat="false" ht="15" hidden="false" customHeight="false" outlineLevel="0" collapsed="false">
      <c r="A1370" s="0" t="n">
        <v>2622</v>
      </c>
      <c r="B1370" s="2" t="n">
        <v>45862</v>
      </c>
      <c r="C1370" s="3" t="s">
        <v>12</v>
      </c>
      <c r="D1370" s="3" t="s">
        <v>29</v>
      </c>
      <c r="E1370" s="3" t="s">
        <v>43</v>
      </c>
      <c r="F1370" s="3" t="s">
        <v>33</v>
      </c>
      <c r="G1370" s="0" t="n">
        <v>18</v>
      </c>
      <c r="H1370" s="4" t="n">
        <v>260.28</v>
      </c>
      <c r="I1370" s="4" t="n">
        <v>154.05</v>
      </c>
      <c r="J1370" s="4" t="n">
        <f aca="false">G1370*H1370</f>
        <v>4685.04</v>
      </c>
      <c r="K1370" s="4" t="n">
        <f aca="false">G1370*I1370</f>
        <v>2772.9</v>
      </c>
      <c r="L1370" s="4" t="n">
        <f aca="false">J1370-K1370</f>
        <v>1912.14</v>
      </c>
    </row>
    <row r="1371" customFormat="false" ht="15" hidden="false" customHeight="false" outlineLevel="0" collapsed="false">
      <c r="A1371" s="0" t="n">
        <v>1347</v>
      </c>
      <c r="B1371" s="2" t="n">
        <v>45863</v>
      </c>
      <c r="C1371" s="3" t="s">
        <v>16</v>
      </c>
      <c r="D1371" s="3" t="s">
        <v>17</v>
      </c>
      <c r="E1371" s="3" t="s">
        <v>27</v>
      </c>
      <c r="F1371" s="3" t="s">
        <v>19</v>
      </c>
      <c r="G1371" s="0" t="n">
        <v>33</v>
      </c>
      <c r="H1371" s="4" t="n">
        <v>773.03</v>
      </c>
      <c r="I1371" s="4" t="n">
        <v>481.53</v>
      </c>
      <c r="J1371" s="4" t="n">
        <f aca="false">G1371*H1371</f>
        <v>25509.99</v>
      </c>
      <c r="K1371" s="4" t="n">
        <f aca="false">G1371*I1371</f>
        <v>15890.49</v>
      </c>
      <c r="L1371" s="4" t="n">
        <f aca="false">J1371-K1371</f>
        <v>9619.5</v>
      </c>
    </row>
    <row r="1372" customFormat="false" ht="15" hidden="false" customHeight="false" outlineLevel="0" collapsed="false">
      <c r="A1372" s="0" t="n">
        <v>2283</v>
      </c>
      <c r="B1372" s="2" t="n">
        <v>45863</v>
      </c>
      <c r="C1372" s="3" t="s">
        <v>26</v>
      </c>
      <c r="D1372" s="3" t="s">
        <v>17</v>
      </c>
      <c r="E1372" s="3" t="s">
        <v>44</v>
      </c>
      <c r="F1372" s="3" t="s">
        <v>28</v>
      </c>
      <c r="G1372" s="0" t="n">
        <v>3</v>
      </c>
      <c r="H1372" s="4" t="n">
        <v>95.43</v>
      </c>
      <c r="I1372" s="4" t="n">
        <v>51</v>
      </c>
      <c r="J1372" s="4" t="n">
        <f aca="false">G1372*H1372</f>
        <v>286.29</v>
      </c>
      <c r="K1372" s="4" t="n">
        <f aca="false">G1372*I1372</f>
        <v>153</v>
      </c>
      <c r="L1372" s="4" t="n">
        <f aca="false">J1372-K1372</f>
        <v>133.29</v>
      </c>
    </row>
    <row r="1373" customFormat="false" ht="15" hidden="false" customHeight="false" outlineLevel="0" collapsed="false">
      <c r="A1373" s="0" t="n">
        <v>1407</v>
      </c>
      <c r="B1373" s="2" t="n">
        <v>45864</v>
      </c>
      <c r="C1373" s="3" t="s">
        <v>16</v>
      </c>
      <c r="D1373" s="3" t="s">
        <v>29</v>
      </c>
      <c r="E1373" s="3" t="s">
        <v>43</v>
      </c>
      <c r="F1373" s="3" t="s">
        <v>15</v>
      </c>
      <c r="G1373" s="0" t="n">
        <v>15</v>
      </c>
      <c r="H1373" s="4" t="n">
        <v>470.48</v>
      </c>
      <c r="I1373" s="4" t="n">
        <v>265.95</v>
      </c>
      <c r="J1373" s="4" t="n">
        <f aca="false">G1373*H1373</f>
        <v>7057.2</v>
      </c>
      <c r="K1373" s="4" t="n">
        <f aca="false">G1373*I1373</f>
        <v>3989.25</v>
      </c>
      <c r="L1373" s="4" t="n">
        <f aca="false">J1373-K1373</f>
        <v>3067.95</v>
      </c>
    </row>
    <row r="1374" customFormat="false" ht="15" hidden="false" customHeight="false" outlineLevel="0" collapsed="false">
      <c r="A1374" s="0" t="n">
        <v>1571</v>
      </c>
      <c r="B1374" s="2" t="n">
        <v>45864</v>
      </c>
      <c r="C1374" s="3" t="s">
        <v>26</v>
      </c>
      <c r="D1374" s="3" t="s">
        <v>13</v>
      </c>
      <c r="E1374" s="3" t="s">
        <v>24</v>
      </c>
      <c r="F1374" s="3" t="s">
        <v>33</v>
      </c>
      <c r="G1374" s="0" t="n">
        <v>16</v>
      </c>
      <c r="H1374" s="4" t="n">
        <v>40</v>
      </c>
      <c r="I1374" s="4" t="n">
        <v>28.71</v>
      </c>
      <c r="J1374" s="4" t="n">
        <f aca="false">G1374*H1374</f>
        <v>640</v>
      </c>
      <c r="K1374" s="4" t="n">
        <f aca="false">G1374*I1374</f>
        <v>459.36</v>
      </c>
      <c r="L1374" s="4" t="n">
        <f aca="false">J1374-K1374</f>
        <v>180.64</v>
      </c>
    </row>
    <row r="1375" customFormat="false" ht="15" hidden="false" customHeight="false" outlineLevel="0" collapsed="false">
      <c r="A1375" s="0" t="n">
        <v>1649</v>
      </c>
      <c r="B1375" s="2" t="n">
        <v>45864</v>
      </c>
      <c r="C1375" s="3" t="s">
        <v>26</v>
      </c>
      <c r="D1375" s="3" t="s">
        <v>13</v>
      </c>
      <c r="E1375" s="3" t="s">
        <v>31</v>
      </c>
      <c r="F1375" s="3" t="s">
        <v>19</v>
      </c>
      <c r="G1375" s="0" t="n">
        <v>33</v>
      </c>
      <c r="H1375" s="4" t="n">
        <v>22.33</v>
      </c>
      <c r="I1375" s="4" t="n">
        <v>15.13</v>
      </c>
      <c r="J1375" s="4" t="n">
        <f aca="false">G1375*H1375</f>
        <v>736.89</v>
      </c>
      <c r="K1375" s="4" t="n">
        <f aca="false">G1375*I1375</f>
        <v>499.29</v>
      </c>
      <c r="L1375" s="4" t="n">
        <f aca="false">J1375-K1375</f>
        <v>237.6</v>
      </c>
    </row>
    <row r="1376" customFormat="false" ht="15" hidden="false" customHeight="false" outlineLevel="0" collapsed="false">
      <c r="A1376" s="0" t="n">
        <v>2299</v>
      </c>
      <c r="B1376" s="2" t="n">
        <v>45864</v>
      </c>
      <c r="C1376" s="3" t="s">
        <v>23</v>
      </c>
      <c r="D1376" s="3" t="s">
        <v>13</v>
      </c>
      <c r="E1376" s="3" t="s">
        <v>45</v>
      </c>
      <c r="F1376" s="3" t="s">
        <v>15</v>
      </c>
      <c r="G1376" s="0" t="n">
        <v>24</v>
      </c>
      <c r="H1376" s="4" t="n">
        <v>23.94</v>
      </c>
      <c r="I1376" s="4" t="n">
        <v>14.2</v>
      </c>
      <c r="J1376" s="4" t="n">
        <f aca="false">G1376*H1376</f>
        <v>574.56</v>
      </c>
      <c r="K1376" s="4" t="n">
        <f aca="false">G1376*I1376</f>
        <v>340.8</v>
      </c>
      <c r="L1376" s="4" t="n">
        <f aca="false">J1376-K1376</f>
        <v>233.76</v>
      </c>
    </row>
    <row r="1377" customFormat="false" ht="15" hidden="false" customHeight="false" outlineLevel="0" collapsed="false">
      <c r="A1377" s="0" t="n">
        <v>1853</v>
      </c>
      <c r="B1377" s="2" t="n">
        <v>45865</v>
      </c>
      <c r="C1377" s="3" t="s">
        <v>32</v>
      </c>
      <c r="D1377" s="3" t="s">
        <v>29</v>
      </c>
      <c r="E1377" s="3" t="s">
        <v>41</v>
      </c>
      <c r="F1377" s="3" t="s">
        <v>25</v>
      </c>
      <c r="G1377" s="0" t="n">
        <v>28</v>
      </c>
      <c r="H1377" s="4" t="n">
        <v>471.16</v>
      </c>
      <c r="I1377" s="4" t="n">
        <v>238.16</v>
      </c>
      <c r="J1377" s="4" t="n">
        <f aca="false">G1377*H1377</f>
        <v>13192.48</v>
      </c>
      <c r="K1377" s="4" t="n">
        <f aca="false">G1377*I1377</f>
        <v>6668.48</v>
      </c>
      <c r="L1377" s="4" t="n">
        <f aca="false">J1377-K1377</f>
        <v>6524</v>
      </c>
    </row>
    <row r="1378" customFormat="false" ht="15" hidden="false" customHeight="false" outlineLevel="0" collapsed="false">
      <c r="A1378" s="0" t="n">
        <v>1587</v>
      </c>
      <c r="B1378" s="2" t="n">
        <v>45866</v>
      </c>
      <c r="C1378" s="3" t="s">
        <v>26</v>
      </c>
      <c r="D1378" s="3" t="s">
        <v>13</v>
      </c>
      <c r="E1378" s="3" t="s">
        <v>14</v>
      </c>
      <c r="F1378" s="3" t="s">
        <v>36</v>
      </c>
      <c r="G1378" s="0" t="n">
        <v>29</v>
      </c>
      <c r="H1378" s="4" t="n">
        <v>48.92</v>
      </c>
      <c r="I1378" s="4" t="n">
        <v>35.42</v>
      </c>
      <c r="J1378" s="4" t="n">
        <f aca="false">G1378*H1378</f>
        <v>1418.68</v>
      </c>
      <c r="K1378" s="4" t="n">
        <f aca="false">G1378*I1378</f>
        <v>1027.18</v>
      </c>
      <c r="L1378" s="4" t="n">
        <f aca="false">J1378-K1378</f>
        <v>391.5</v>
      </c>
    </row>
    <row r="1379" customFormat="false" ht="15" hidden="false" customHeight="false" outlineLevel="0" collapsed="false">
      <c r="A1379" s="0" t="n">
        <v>1361</v>
      </c>
      <c r="B1379" s="2" t="n">
        <v>45867</v>
      </c>
      <c r="C1379" s="3" t="s">
        <v>12</v>
      </c>
      <c r="D1379" s="3" t="s">
        <v>20</v>
      </c>
      <c r="E1379" s="3" t="s">
        <v>34</v>
      </c>
      <c r="F1379" s="3" t="s">
        <v>15</v>
      </c>
      <c r="G1379" s="0" t="n">
        <v>4</v>
      </c>
      <c r="H1379" s="4" t="n">
        <v>293.23</v>
      </c>
      <c r="I1379" s="4" t="n">
        <v>169.53</v>
      </c>
      <c r="J1379" s="4" t="n">
        <f aca="false">G1379*H1379</f>
        <v>1172.92</v>
      </c>
      <c r="K1379" s="4" t="n">
        <f aca="false">G1379*I1379</f>
        <v>678.12</v>
      </c>
      <c r="L1379" s="4" t="n">
        <f aca="false">J1379-K1379</f>
        <v>494.8</v>
      </c>
    </row>
    <row r="1380" customFormat="false" ht="15" hidden="false" customHeight="false" outlineLevel="0" collapsed="false">
      <c r="A1380" s="0" t="n">
        <v>2035</v>
      </c>
      <c r="B1380" s="2" t="n">
        <v>45867</v>
      </c>
      <c r="C1380" s="3" t="s">
        <v>32</v>
      </c>
      <c r="D1380" s="3" t="s">
        <v>29</v>
      </c>
      <c r="E1380" s="3" t="s">
        <v>43</v>
      </c>
      <c r="F1380" s="3" t="s">
        <v>36</v>
      </c>
      <c r="G1380" s="0" t="n">
        <v>26</v>
      </c>
      <c r="H1380" s="4" t="n">
        <v>189.49</v>
      </c>
      <c r="I1380" s="4" t="n">
        <v>117.74</v>
      </c>
      <c r="J1380" s="4" t="n">
        <f aca="false">G1380*H1380</f>
        <v>4926.74</v>
      </c>
      <c r="K1380" s="4" t="n">
        <f aca="false">G1380*I1380</f>
        <v>3061.24</v>
      </c>
      <c r="L1380" s="4" t="n">
        <f aca="false">J1380-K1380</f>
        <v>1865.5</v>
      </c>
    </row>
    <row r="1381" customFormat="false" ht="15" hidden="false" customHeight="false" outlineLevel="0" collapsed="false">
      <c r="A1381" s="0" t="n">
        <v>2745</v>
      </c>
      <c r="B1381" s="2" t="n">
        <v>45867</v>
      </c>
      <c r="C1381" s="3" t="s">
        <v>32</v>
      </c>
      <c r="D1381" s="3" t="s">
        <v>13</v>
      </c>
      <c r="E1381" s="3" t="s">
        <v>45</v>
      </c>
      <c r="F1381" s="3" t="s">
        <v>25</v>
      </c>
      <c r="G1381" s="0" t="n">
        <v>15</v>
      </c>
      <c r="H1381" s="4" t="n">
        <v>12.95</v>
      </c>
      <c r="I1381" s="4" t="n">
        <v>7.4</v>
      </c>
      <c r="J1381" s="4" t="n">
        <f aca="false">G1381*H1381</f>
        <v>194.25</v>
      </c>
      <c r="K1381" s="4" t="n">
        <f aca="false">G1381*I1381</f>
        <v>111</v>
      </c>
      <c r="L1381" s="4" t="n">
        <f aca="false">J1381-K1381</f>
        <v>83.25</v>
      </c>
    </row>
    <row r="1382" customFormat="false" ht="15" hidden="false" customHeight="false" outlineLevel="0" collapsed="false">
      <c r="A1382" s="0" t="n">
        <v>1311</v>
      </c>
      <c r="B1382" s="2" t="n">
        <v>45868</v>
      </c>
      <c r="C1382" s="3" t="s">
        <v>26</v>
      </c>
      <c r="D1382" s="3" t="s">
        <v>29</v>
      </c>
      <c r="E1382" s="3" t="s">
        <v>43</v>
      </c>
      <c r="F1382" s="3" t="s">
        <v>36</v>
      </c>
      <c r="G1382" s="0" t="n">
        <v>17</v>
      </c>
      <c r="H1382" s="4" t="n">
        <v>335.76</v>
      </c>
      <c r="I1382" s="4" t="n">
        <v>191</v>
      </c>
      <c r="J1382" s="4" t="n">
        <f aca="false">G1382*H1382</f>
        <v>5707.92</v>
      </c>
      <c r="K1382" s="4" t="n">
        <f aca="false">G1382*I1382</f>
        <v>3247</v>
      </c>
      <c r="L1382" s="4" t="n">
        <f aca="false">J1382-K1382</f>
        <v>2460.92</v>
      </c>
    </row>
    <row r="1383" customFormat="false" ht="15" hidden="false" customHeight="false" outlineLevel="0" collapsed="false">
      <c r="A1383" s="0" t="n">
        <v>1661</v>
      </c>
      <c r="B1383" s="2" t="n">
        <v>45868</v>
      </c>
      <c r="C1383" s="3" t="s">
        <v>16</v>
      </c>
      <c r="D1383" s="3" t="s">
        <v>20</v>
      </c>
      <c r="E1383" s="3" t="s">
        <v>42</v>
      </c>
      <c r="F1383" s="3" t="s">
        <v>36</v>
      </c>
      <c r="G1383" s="0" t="n">
        <v>24</v>
      </c>
      <c r="H1383" s="4" t="n">
        <v>31.32</v>
      </c>
      <c r="I1383" s="4" t="n">
        <v>18.34</v>
      </c>
      <c r="J1383" s="4" t="n">
        <f aca="false">G1383*H1383</f>
        <v>751.68</v>
      </c>
      <c r="K1383" s="4" t="n">
        <f aca="false">G1383*I1383</f>
        <v>440.16</v>
      </c>
      <c r="L1383" s="4" t="n">
        <f aca="false">J1383-K1383</f>
        <v>311.52</v>
      </c>
    </row>
    <row r="1384" customFormat="false" ht="15" hidden="false" customHeight="false" outlineLevel="0" collapsed="false">
      <c r="A1384" s="0" t="n">
        <v>2230</v>
      </c>
      <c r="B1384" s="2" t="n">
        <v>45868</v>
      </c>
      <c r="C1384" s="3" t="s">
        <v>26</v>
      </c>
      <c r="D1384" s="3" t="s">
        <v>20</v>
      </c>
      <c r="E1384" s="3" t="s">
        <v>42</v>
      </c>
      <c r="F1384" s="3" t="s">
        <v>39</v>
      </c>
      <c r="G1384" s="0" t="n">
        <v>3</v>
      </c>
      <c r="H1384" s="4" t="n">
        <v>275.03</v>
      </c>
      <c r="I1384" s="4" t="n">
        <v>201.96</v>
      </c>
      <c r="J1384" s="4" t="n">
        <f aca="false">G1384*H1384</f>
        <v>825.09</v>
      </c>
      <c r="K1384" s="4" t="n">
        <f aca="false">G1384*I1384</f>
        <v>605.88</v>
      </c>
      <c r="L1384" s="4" t="n">
        <f aca="false">J1384-K1384</f>
        <v>219.21</v>
      </c>
    </row>
    <row r="1385" customFormat="false" ht="15" hidden="false" customHeight="false" outlineLevel="0" collapsed="false">
      <c r="A1385" s="0" t="n">
        <v>1190</v>
      </c>
      <c r="B1385" s="2" t="n">
        <v>45869</v>
      </c>
      <c r="C1385" s="3" t="s">
        <v>26</v>
      </c>
      <c r="D1385" s="3" t="s">
        <v>17</v>
      </c>
      <c r="E1385" s="3" t="s">
        <v>35</v>
      </c>
      <c r="F1385" s="3" t="s">
        <v>39</v>
      </c>
      <c r="G1385" s="0" t="n">
        <v>37</v>
      </c>
      <c r="H1385" s="4" t="n">
        <v>510.79</v>
      </c>
      <c r="I1385" s="4" t="n">
        <v>342.27</v>
      </c>
      <c r="J1385" s="4" t="n">
        <f aca="false">G1385*H1385</f>
        <v>18899.23</v>
      </c>
      <c r="K1385" s="4" t="n">
        <f aca="false">G1385*I1385</f>
        <v>12663.99</v>
      </c>
      <c r="L1385" s="4" t="n">
        <f aca="false">J1385-K1385</f>
        <v>6235.24</v>
      </c>
    </row>
    <row r="1386" customFormat="false" ht="15" hidden="false" customHeight="false" outlineLevel="0" collapsed="false">
      <c r="A1386" s="0" t="n">
        <v>1392</v>
      </c>
      <c r="B1386" s="2" t="n">
        <v>45869</v>
      </c>
      <c r="C1386" s="3" t="s">
        <v>26</v>
      </c>
      <c r="D1386" s="3" t="s">
        <v>29</v>
      </c>
      <c r="E1386" s="3" t="s">
        <v>30</v>
      </c>
      <c r="F1386" s="3" t="s">
        <v>39</v>
      </c>
      <c r="G1386" s="0" t="n">
        <v>29</v>
      </c>
      <c r="H1386" s="4" t="n">
        <v>282.3</v>
      </c>
      <c r="I1386" s="4" t="n">
        <v>170.14</v>
      </c>
      <c r="J1386" s="4" t="n">
        <f aca="false">G1386*H1386</f>
        <v>8186.7</v>
      </c>
      <c r="K1386" s="4" t="n">
        <f aca="false">G1386*I1386</f>
        <v>4934.06</v>
      </c>
      <c r="L1386" s="4" t="n">
        <f aca="false">J1386-K1386</f>
        <v>3252.64</v>
      </c>
    </row>
    <row r="1387" customFormat="false" ht="15" hidden="false" customHeight="false" outlineLevel="0" collapsed="false">
      <c r="A1387" s="0" t="n">
        <v>1823</v>
      </c>
      <c r="B1387" s="2" t="n">
        <v>45869</v>
      </c>
      <c r="C1387" s="3" t="s">
        <v>16</v>
      </c>
      <c r="D1387" s="3" t="s">
        <v>13</v>
      </c>
      <c r="E1387" s="3" t="s">
        <v>14</v>
      </c>
      <c r="F1387" s="3" t="s">
        <v>19</v>
      </c>
      <c r="G1387" s="0" t="n">
        <v>21</v>
      </c>
      <c r="H1387" s="4" t="n">
        <v>27.72</v>
      </c>
      <c r="I1387" s="4" t="n">
        <v>14.4</v>
      </c>
      <c r="J1387" s="4" t="n">
        <f aca="false">G1387*H1387</f>
        <v>582.12</v>
      </c>
      <c r="K1387" s="4" t="n">
        <f aca="false">G1387*I1387</f>
        <v>302.4</v>
      </c>
      <c r="L1387" s="4" t="n">
        <f aca="false">J1387-K1387</f>
        <v>279.72</v>
      </c>
    </row>
    <row r="1388" customFormat="false" ht="15" hidden="false" customHeight="false" outlineLevel="0" collapsed="false">
      <c r="A1388" s="0" t="n">
        <v>1476</v>
      </c>
      <c r="B1388" s="2" t="n">
        <v>45870</v>
      </c>
      <c r="C1388" s="3" t="s">
        <v>12</v>
      </c>
      <c r="D1388" s="3" t="s">
        <v>29</v>
      </c>
      <c r="E1388" s="3" t="s">
        <v>30</v>
      </c>
      <c r="F1388" s="3" t="s">
        <v>25</v>
      </c>
      <c r="G1388" s="0" t="n">
        <v>12</v>
      </c>
      <c r="H1388" s="4" t="n">
        <v>385.37</v>
      </c>
      <c r="I1388" s="4" t="n">
        <v>277.48</v>
      </c>
      <c r="J1388" s="4" t="n">
        <f aca="false">G1388*H1388</f>
        <v>4624.44</v>
      </c>
      <c r="K1388" s="4" t="n">
        <f aca="false">G1388*I1388</f>
        <v>3329.76</v>
      </c>
      <c r="L1388" s="4" t="n">
        <f aca="false">J1388-K1388</f>
        <v>1294.68</v>
      </c>
    </row>
    <row r="1389" customFormat="false" ht="15" hidden="false" customHeight="false" outlineLevel="0" collapsed="false">
      <c r="A1389" s="0" t="n">
        <v>1056</v>
      </c>
      <c r="B1389" s="2" t="n">
        <v>45871</v>
      </c>
      <c r="C1389" s="3" t="s">
        <v>26</v>
      </c>
      <c r="D1389" s="3" t="s">
        <v>29</v>
      </c>
      <c r="E1389" s="3" t="s">
        <v>41</v>
      </c>
      <c r="F1389" s="3" t="s">
        <v>33</v>
      </c>
      <c r="G1389" s="0" t="n">
        <v>5</v>
      </c>
      <c r="H1389" s="4" t="n">
        <v>436.82</v>
      </c>
      <c r="I1389" s="4" t="n">
        <v>229.94</v>
      </c>
      <c r="J1389" s="4" t="n">
        <f aca="false">G1389*H1389</f>
        <v>2184.1</v>
      </c>
      <c r="K1389" s="4" t="n">
        <f aca="false">G1389*I1389</f>
        <v>1149.7</v>
      </c>
      <c r="L1389" s="4" t="n">
        <f aca="false">J1389-K1389</f>
        <v>1034.4</v>
      </c>
    </row>
    <row r="1390" customFormat="false" ht="15" hidden="false" customHeight="false" outlineLevel="0" collapsed="false">
      <c r="A1390" s="0" t="n">
        <v>1115</v>
      </c>
      <c r="B1390" s="2" t="n">
        <v>45871</v>
      </c>
      <c r="C1390" s="3" t="s">
        <v>23</v>
      </c>
      <c r="D1390" s="3" t="s">
        <v>17</v>
      </c>
      <c r="E1390" s="3" t="s">
        <v>44</v>
      </c>
      <c r="F1390" s="3" t="s">
        <v>22</v>
      </c>
      <c r="G1390" s="0" t="n">
        <v>6</v>
      </c>
      <c r="H1390" s="4" t="n">
        <v>686.73</v>
      </c>
      <c r="I1390" s="4" t="n">
        <v>406.9</v>
      </c>
      <c r="J1390" s="4" t="n">
        <f aca="false">G1390*H1390</f>
        <v>4120.38</v>
      </c>
      <c r="K1390" s="4" t="n">
        <f aca="false">G1390*I1390</f>
        <v>2441.4</v>
      </c>
      <c r="L1390" s="4" t="n">
        <f aca="false">J1390-K1390</f>
        <v>1678.98</v>
      </c>
    </row>
    <row r="1391" customFormat="false" ht="15" hidden="false" customHeight="false" outlineLevel="0" collapsed="false">
      <c r="A1391" s="0" t="n">
        <v>1717</v>
      </c>
      <c r="B1391" s="2" t="n">
        <v>45871</v>
      </c>
      <c r="C1391" s="3" t="s">
        <v>16</v>
      </c>
      <c r="D1391" s="3" t="s">
        <v>13</v>
      </c>
      <c r="E1391" s="3" t="s">
        <v>45</v>
      </c>
      <c r="F1391" s="3" t="s">
        <v>19</v>
      </c>
      <c r="G1391" s="0" t="n">
        <v>5</v>
      </c>
      <c r="H1391" s="4" t="n">
        <v>56.21</v>
      </c>
      <c r="I1391" s="4" t="n">
        <v>38.35</v>
      </c>
      <c r="J1391" s="4" t="n">
        <f aca="false">G1391*H1391</f>
        <v>281.05</v>
      </c>
      <c r="K1391" s="4" t="n">
        <f aca="false">G1391*I1391</f>
        <v>191.75</v>
      </c>
      <c r="L1391" s="4" t="n">
        <f aca="false">J1391-K1391</f>
        <v>89.3</v>
      </c>
    </row>
    <row r="1392" customFormat="false" ht="15" hidden="false" customHeight="false" outlineLevel="0" collapsed="false">
      <c r="A1392" s="0" t="n">
        <v>2070</v>
      </c>
      <c r="B1392" s="2" t="n">
        <v>45871</v>
      </c>
      <c r="C1392" s="3" t="s">
        <v>23</v>
      </c>
      <c r="D1392" s="3" t="s">
        <v>17</v>
      </c>
      <c r="E1392" s="3" t="s">
        <v>27</v>
      </c>
      <c r="F1392" s="3" t="s">
        <v>25</v>
      </c>
      <c r="G1392" s="0" t="n">
        <v>12</v>
      </c>
      <c r="H1392" s="4" t="n">
        <v>672.82</v>
      </c>
      <c r="I1392" s="4" t="n">
        <v>465.38</v>
      </c>
      <c r="J1392" s="4" t="n">
        <f aca="false">G1392*H1392</f>
        <v>8073.84</v>
      </c>
      <c r="K1392" s="4" t="n">
        <f aca="false">G1392*I1392</f>
        <v>5584.56</v>
      </c>
      <c r="L1392" s="4" t="n">
        <f aca="false">J1392-K1392</f>
        <v>2489.28</v>
      </c>
    </row>
    <row r="1393" customFormat="false" ht="15" hidden="false" customHeight="false" outlineLevel="0" collapsed="false">
      <c r="A1393" s="0" t="n">
        <v>1643</v>
      </c>
      <c r="B1393" s="2" t="n">
        <v>45872</v>
      </c>
      <c r="C1393" s="3" t="s">
        <v>26</v>
      </c>
      <c r="D1393" s="3" t="s">
        <v>17</v>
      </c>
      <c r="E1393" s="3" t="s">
        <v>35</v>
      </c>
      <c r="F1393" s="3" t="s">
        <v>36</v>
      </c>
      <c r="G1393" s="0" t="n">
        <v>30</v>
      </c>
      <c r="H1393" s="4" t="n">
        <v>754.9</v>
      </c>
      <c r="I1393" s="4" t="n">
        <v>555.99</v>
      </c>
      <c r="J1393" s="4" t="n">
        <f aca="false">G1393*H1393</f>
        <v>22647</v>
      </c>
      <c r="K1393" s="4" t="n">
        <f aca="false">G1393*I1393</f>
        <v>16679.7</v>
      </c>
      <c r="L1393" s="4" t="n">
        <f aca="false">J1393-K1393</f>
        <v>5967.3</v>
      </c>
    </row>
    <row r="1394" customFormat="false" ht="15" hidden="false" customHeight="false" outlineLevel="0" collapsed="false">
      <c r="A1394" s="0" t="n">
        <v>2187</v>
      </c>
      <c r="B1394" s="2" t="n">
        <v>45872</v>
      </c>
      <c r="C1394" s="3" t="s">
        <v>12</v>
      </c>
      <c r="D1394" s="3" t="s">
        <v>17</v>
      </c>
      <c r="E1394" s="3" t="s">
        <v>40</v>
      </c>
      <c r="F1394" s="3" t="s">
        <v>25</v>
      </c>
      <c r="G1394" s="0" t="n">
        <v>19</v>
      </c>
      <c r="H1394" s="4" t="n">
        <v>833.36</v>
      </c>
      <c r="I1394" s="4" t="n">
        <v>469.5</v>
      </c>
      <c r="J1394" s="4" t="n">
        <f aca="false">G1394*H1394</f>
        <v>15833.84</v>
      </c>
      <c r="K1394" s="4" t="n">
        <f aca="false">G1394*I1394</f>
        <v>8920.5</v>
      </c>
      <c r="L1394" s="4" t="n">
        <f aca="false">J1394-K1394</f>
        <v>6913.34</v>
      </c>
    </row>
    <row r="1395" customFormat="false" ht="15" hidden="false" customHeight="false" outlineLevel="0" collapsed="false">
      <c r="A1395" s="0" t="n">
        <v>2635</v>
      </c>
      <c r="B1395" s="2" t="n">
        <v>45873</v>
      </c>
      <c r="C1395" s="3" t="s">
        <v>26</v>
      </c>
      <c r="D1395" s="3" t="s">
        <v>13</v>
      </c>
      <c r="E1395" s="3" t="s">
        <v>45</v>
      </c>
      <c r="F1395" s="3" t="s">
        <v>28</v>
      </c>
      <c r="G1395" s="0" t="n">
        <v>2</v>
      </c>
      <c r="H1395" s="4" t="n">
        <v>49.56</v>
      </c>
      <c r="I1395" s="4" t="n">
        <v>36.96</v>
      </c>
      <c r="J1395" s="4" t="n">
        <f aca="false">G1395*H1395</f>
        <v>99.12</v>
      </c>
      <c r="K1395" s="4" t="n">
        <f aca="false">G1395*I1395</f>
        <v>73.92</v>
      </c>
      <c r="L1395" s="4" t="n">
        <f aca="false">J1395-K1395</f>
        <v>25.2</v>
      </c>
    </row>
    <row r="1396" customFormat="false" ht="15" hidden="false" customHeight="false" outlineLevel="0" collapsed="false">
      <c r="A1396" s="0" t="n">
        <v>1344</v>
      </c>
      <c r="B1396" s="2" t="n">
        <v>45874</v>
      </c>
      <c r="C1396" s="3" t="s">
        <v>23</v>
      </c>
      <c r="D1396" s="3" t="s">
        <v>13</v>
      </c>
      <c r="E1396" s="3" t="s">
        <v>46</v>
      </c>
      <c r="F1396" s="3" t="s">
        <v>36</v>
      </c>
      <c r="G1396" s="0" t="n">
        <v>23</v>
      </c>
      <c r="H1396" s="4" t="n">
        <v>52.17</v>
      </c>
      <c r="I1396" s="4" t="n">
        <v>37.72</v>
      </c>
      <c r="J1396" s="4" t="n">
        <f aca="false">G1396*H1396</f>
        <v>1199.91</v>
      </c>
      <c r="K1396" s="4" t="n">
        <f aca="false">G1396*I1396</f>
        <v>867.56</v>
      </c>
      <c r="L1396" s="4" t="n">
        <f aca="false">J1396-K1396</f>
        <v>332.35</v>
      </c>
    </row>
    <row r="1397" customFormat="false" ht="15" hidden="false" customHeight="false" outlineLevel="0" collapsed="false">
      <c r="A1397" s="0" t="n">
        <v>1499</v>
      </c>
      <c r="B1397" s="2" t="n">
        <v>45874</v>
      </c>
      <c r="C1397" s="3" t="s">
        <v>16</v>
      </c>
      <c r="D1397" s="3" t="s">
        <v>17</v>
      </c>
      <c r="E1397" s="3" t="s">
        <v>44</v>
      </c>
      <c r="F1397" s="3" t="s">
        <v>39</v>
      </c>
      <c r="G1397" s="0" t="n">
        <v>22</v>
      </c>
      <c r="H1397" s="4" t="n">
        <v>760.41</v>
      </c>
      <c r="I1397" s="4" t="n">
        <v>386.96</v>
      </c>
      <c r="J1397" s="4" t="n">
        <f aca="false">G1397*H1397</f>
        <v>16729.02</v>
      </c>
      <c r="K1397" s="4" t="n">
        <f aca="false">G1397*I1397</f>
        <v>8513.12</v>
      </c>
      <c r="L1397" s="4" t="n">
        <f aca="false">J1397-K1397</f>
        <v>8215.9</v>
      </c>
    </row>
    <row r="1398" customFormat="false" ht="15" hidden="false" customHeight="false" outlineLevel="0" collapsed="false">
      <c r="A1398" s="0" t="n">
        <v>1893</v>
      </c>
      <c r="B1398" s="2" t="n">
        <v>45874</v>
      </c>
      <c r="C1398" s="3" t="s">
        <v>23</v>
      </c>
      <c r="D1398" s="3" t="s">
        <v>17</v>
      </c>
      <c r="E1398" s="3" t="s">
        <v>40</v>
      </c>
      <c r="F1398" s="3" t="s">
        <v>15</v>
      </c>
      <c r="G1398" s="0" t="n">
        <v>26</v>
      </c>
      <c r="H1398" s="4" t="n">
        <v>403.59</v>
      </c>
      <c r="I1398" s="4" t="n">
        <v>253.5</v>
      </c>
      <c r="J1398" s="4" t="n">
        <f aca="false">G1398*H1398</f>
        <v>10493.34</v>
      </c>
      <c r="K1398" s="4" t="n">
        <f aca="false">G1398*I1398</f>
        <v>6591</v>
      </c>
      <c r="L1398" s="4" t="n">
        <f aca="false">J1398-K1398</f>
        <v>3902.34</v>
      </c>
    </row>
    <row r="1399" customFormat="false" ht="15" hidden="false" customHeight="false" outlineLevel="0" collapsed="false">
      <c r="A1399" s="0" t="n">
        <v>2261</v>
      </c>
      <c r="B1399" s="2" t="n">
        <v>45874</v>
      </c>
      <c r="C1399" s="3" t="s">
        <v>32</v>
      </c>
      <c r="D1399" s="3" t="s">
        <v>29</v>
      </c>
      <c r="E1399" s="3" t="s">
        <v>41</v>
      </c>
      <c r="F1399" s="3" t="s">
        <v>33</v>
      </c>
      <c r="G1399" s="0" t="n">
        <v>31</v>
      </c>
      <c r="H1399" s="4" t="n">
        <v>285.42</v>
      </c>
      <c r="I1399" s="4" t="n">
        <v>195.87</v>
      </c>
      <c r="J1399" s="4" t="n">
        <f aca="false">G1399*H1399</f>
        <v>8848.02</v>
      </c>
      <c r="K1399" s="4" t="n">
        <f aca="false">G1399*I1399</f>
        <v>6071.97</v>
      </c>
      <c r="L1399" s="4" t="n">
        <f aca="false">J1399-K1399</f>
        <v>2776.05</v>
      </c>
    </row>
    <row r="1400" customFormat="false" ht="15" hidden="false" customHeight="false" outlineLevel="0" collapsed="false">
      <c r="A1400" s="0" t="n">
        <v>2280</v>
      </c>
      <c r="B1400" s="2" t="n">
        <v>45874</v>
      </c>
      <c r="C1400" s="3" t="s">
        <v>26</v>
      </c>
      <c r="D1400" s="3" t="s">
        <v>17</v>
      </c>
      <c r="E1400" s="3" t="s">
        <v>44</v>
      </c>
      <c r="F1400" s="3" t="s">
        <v>28</v>
      </c>
      <c r="G1400" s="0" t="n">
        <v>5</v>
      </c>
      <c r="H1400" s="4" t="n">
        <v>838.64</v>
      </c>
      <c r="I1400" s="4" t="n">
        <v>568.99</v>
      </c>
      <c r="J1400" s="4" t="n">
        <f aca="false">G1400*H1400</f>
        <v>4193.2</v>
      </c>
      <c r="K1400" s="4" t="n">
        <f aca="false">G1400*I1400</f>
        <v>2844.95</v>
      </c>
      <c r="L1400" s="4" t="n">
        <f aca="false">J1400-K1400</f>
        <v>1348.25</v>
      </c>
    </row>
    <row r="1401" customFormat="false" ht="15" hidden="false" customHeight="false" outlineLevel="0" collapsed="false">
      <c r="A1401" s="0" t="n">
        <v>2549</v>
      </c>
      <c r="B1401" s="2" t="n">
        <v>45874</v>
      </c>
      <c r="C1401" s="3" t="s">
        <v>23</v>
      </c>
      <c r="D1401" s="3" t="s">
        <v>29</v>
      </c>
      <c r="E1401" s="3" t="s">
        <v>37</v>
      </c>
      <c r="F1401" s="3" t="s">
        <v>33</v>
      </c>
      <c r="G1401" s="0" t="n">
        <v>33</v>
      </c>
      <c r="H1401" s="4" t="n">
        <v>304.7</v>
      </c>
      <c r="I1401" s="4" t="n">
        <v>213.19</v>
      </c>
      <c r="J1401" s="4" t="n">
        <f aca="false">G1401*H1401</f>
        <v>10055.1</v>
      </c>
      <c r="K1401" s="4" t="n">
        <f aca="false">G1401*I1401</f>
        <v>7035.27</v>
      </c>
      <c r="L1401" s="4" t="n">
        <f aca="false">J1401-K1401</f>
        <v>3019.83</v>
      </c>
    </row>
    <row r="1402" customFormat="false" ht="15" hidden="false" customHeight="false" outlineLevel="0" collapsed="false">
      <c r="A1402" s="0" t="n">
        <v>2201</v>
      </c>
      <c r="B1402" s="2" t="n">
        <v>45875</v>
      </c>
      <c r="C1402" s="3" t="s">
        <v>32</v>
      </c>
      <c r="D1402" s="3" t="s">
        <v>17</v>
      </c>
      <c r="E1402" s="3" t="s">
        <v>35</v>
      </c>
      <c r="F1402" s="3" t="s">
        <v>28</v>
      </c>
      <c r="G1402" s="0" t="n">
        <v>28</v>
      </c>
      <c r="H1402" s="4" t="n">
        <v>651.54</v>
      </c>
      <c r="I1402" s="4" t="n">
        <v>399.41</v>
      </c>
      <c r="J1402" s="4" t="n">
        <f aca="false">G1402*H1402</f>
        <v>18243.12</v>
      </c>
      <c r="K1402" s="4" t="n">
        <f aca="false">G1402*I1402</f>
        <v>11183.48</v>
      </c>
      <c r="L1402" s="4" t="n">
        <f aca="false">J1402-K1402</f>
        <v>7059.64</v>
      </c>
    </row>
    <row r="1403" customFormat="false" ht="15" hidden="false" customHeight="false" outlineLevel="0" collapsed="false">
      <c r="A1403" s="0" t="n">
        <v>2289</v>
      </c>
      <c r="B1403" s="2" t="n">
        <v>45875</v>
      </c>
      <c r="C1403" s="3" t="s">
        <v>32</v>
      </c>
      <c r="D1403" s="3" t="s">
        <v>13</v>
      </c>
      <c r="E1403" s="3" t="s">
        <v>46</v>
      </c>
      <c r="F1403" s="3" t="s">
        <v>15</v>
      </c>
      <c r="G1403" s="0" t="n">
        <v>24</v>
      </c>
      <c r="H1403" s="4" t="n">
        <v>39.93</v>
      </c>
      <c r="I1403" s="4" t="n">
        <v>28.39</v>
      </c>
      <c r="J1403" s="4" t="n">
        <f aca="false">G1403*H1403</f>
        <v>958.32</v>
      </c>
      <c r="K1403" s="4" t="n">
        <f aca="false">G1403*I1403</f>
        <v>681.36</v>
      </c>
      <c r="L1403" s="4" t="n">
        <f aca="false">J1403-K1403</f>
        <v>276.96</v>
      </c>
    </row>
    <row r="1404" customFormat="false" ht="15" hidden="false" customHeight="false" outlineLevel="0" collapsed="false">
      <c r="A1404" s="0" t="n">
        <v>1655</v>
      </c>
      <c r="B1404" s="2" t="n">
        <v>45876</v>
      </c>
      <c r="C1404" s="3" t="s">
        <v>12</v>
      </c>
      <c r="D1404" s="3" t="s">
        <v>20</v>
      </c>
      <c r="E1404" s="3" t="s">
        <v>42</v>
      </c>
      <c r="F1404" s="3" t="s">
        <v>39</v>
      </c>
      <c r="G1404" s="0" t="n">
        <v>32</v>
      </c>
      <c r="H1404" s="4" t="n">
        <v>210.77</v>
      </c>
      <c r="I1404" s="4" t="n">
        <v>141.25</v>
      </c>
      <c r="J1404" s="4" t="n">
        <f aca="false">G1404*H1404</f>
        <v>6744.64</v>
      </c>
      <c r="K1404" s="4" t="n">
        <f aca="false">G1404*I1404</f>
        <v>4520</v>
      </c>
      <c r="L1404" s="4" t="n">
        <f aca="false">J1404-K1404</f>
        <v>2224.64</v>
      </c>
    </row>
    <row r="1405" customFormat="false" ht="15" hidden="false" customHeight="false" outlineLevel="0" collapsed="false">
      <c r="A1405" s="0" t="n">
        <v>2714</v>
      </c>
      <c r="B1405" s="2" t="n">
        <v>45876</v>
      </c>
      <c r="C1405" s="3" t="s">
        <v>23</v>
      </c>
      <c r="D1405" s="3" t="s">
        <v>29</v>
      </c>
      <c r="E1405" s="3" t="s">
        <v>37</v>
      </c>
      <c r="F1405" s="3" t="s">
        <v>39</v>
      </c>
      <c r="G1405" s="0" t="n">
        <v>36</v>
      </c>
      <c r="H1405" s="4" t="n">
        <v>136.27</v>
      </c>
      <c r="I1405" s="4" t="n">
        <v>101.84</v>
      </c>
      <c r="J1405" s="4" t="n">
        <f aca="false">G1405*H1405</f>
        <v>4905.72</v>
      </c>
      <c r="K1405" s="4" t="n">
        <f aca="false">G1405*I1405</f>
        <v>3666.24</v>
      </c>
      <c r="L1405" s="4" t="n">
        <f aca="false">J1405-K1405</f>
        <v>1239.48</v>
      </c>
    </row>
    <row r="1406" customFormat="false" ht="15" hidden="false" customHeight="false" outlineLevel="0" collapsed="false">
      <c r="A1406" s="0" t="n">
        <v>1419</v>
      </c>
      <c r="B1406" s="2" t="n">
        <v>45877</v>
      </c>
      <c r="C1406" s="3" t="s">
        <v>12</v>
      </c>
      <c r="D1406" s="3" t="s">
        <v>13</v>
      </c>
      <c r="E1406" s="3" t="s">
        <v>45</v>
      </c>
      <c r="F1406" s="3" t="s">
        <v>15</v>
      </c>
      <c r="G1406" s="0" t="n">
        <v>16</v>
      </c>
      <c r="H1406" s="4" t="n">
        <v>51.81</v>
      </c>
      <c r="I1406" s="4" t="n">
        <v>35.47</v>
      </c>
      <c r="J1406" s="4" t="n">
        <f aca="false">G1406*H1406</f>
        <v>828.96</v>
      </c>
      <c r="K1406" s="4" t="n">
        <f aca="false">G1406*I1406</f>
        <v>567.52</v>
      </c>
      <c r="L1406" s="4" t="n">
        <f aca="false">J1406-K1406</f>
        <v>261.44</v>
      </c>
    </row>
    <row r="1407" customFormat="false" ht="15" hidden="false" customHeight="false" outlineLevel="0" collapsed="false">
      <c r="A1407" s="0" t="n">
        <v>1495</v>
      </c>
      <c r="B1407" s="2" t="n">
        <v>45877</v>
      </c>
      <c r="C1407" s="3" t="s">
        <v>16</v>
      </c>
      <c r="D1407" s="3" t="s">
        <v>17</v>
      </c>
      <c r="E1407" s="3" t="s">
        <v>18</v>
      </c>
      <c r="F1407" s="3" t="s">
        <v>15</v>
      </c>
      <c r="G1407" s="0" t="n">
        <v>28</v>
      </c>
      <c r="H1407" s="4" t="n">
        <v>571.43</v>
      </c>
      <c r="I1407" s="4" t="n">
        <v>336.27</v>
      </c>
      <c r="J1407" s="4" t="n">
        <f aca="false">G1407*H1407</f>
        <v>16000.04</v>
      </c>
      <c r="K1407" s="4" t="n">
        <f aca="false">G1407*I1407</f>
        <v>9415.56</v>
      </c>
      <c r="L1407" s="4" t="n">
        <f aca="false">J1407-K1407</f>
        <v>6584.48</v>
      </c>
    </row>
    <row r="1408" customFormat="false" ht="15" hidden="false" customHeight="false" outlineLevel="0" collapsed="false">
      <c r="A1408" s="0" t="n">
        <v>1798</v>
      </c>
      <c r="B1408" s="2" t="n">
        <v>45877</v>
      </c>
      <c r="C1408" s="3" t="s">
        <v>16</v>
      </c>
      <c r="D1408" s="3" t="s">
        <v>17</v>
      </c>
      <c r="E1408" s="3" t="s">
        <v>44</v>
      </c>
      <c r="F1408" s="3" t="s">
        <v>28</v>
      </c>
      <c r="G1408" s="0" t="n">
        <v>6</v>
      </c>
      <c r="H1408" s="4" t="n">
        <v>313.13</v>
      </c>
      <c r="I1408" s="4" t="n">
        <v>169.72</v>
      </c>
      <c r="J1408" s="4" t="n">
        <f aca="false">G1408*H1408</f>
        <v>1878.78</v>
      </c>
      <c r="K1408" s="4" t="n">
        <f aca="false">G1408*I1408</f>
        <v>1018.32</v>
      </c>
      <c r="L1408" s="4" t="n">
        <f aca="false">J1408-K1408</f>
        <v>860.46</v>
      </c>
    </row>
    <row r="1409" customFormat="false" ht="15" hidden="false" customHeight="false" outlineLevel="0" collapsed="false">
      <c r="A1409" s="0" t="n">
        <v>2099</v>
      </c>
      <c r="B1409" s="2" t="n">
        <v>45879</v>
      </c>
      <c r="C1409" s="3" t="s">
        <v>23</v>
      </c>
      <c r="D1409" s="3" t="s">
        <v>13</v>
      </c>
      <c r="E1409" s="3" t="s">
        <v>14</v>
      </c>
      <c r="F1409" s="3" t="s">
        <v>15</v>
      </c>
      <c r="G1409" s="0" t="n">
        <v>12</v>
      </c>
      <c r="H1409" s="4" t="n">
        <v>41.27</v>
      </c>
      <c r="I1409" s="4" t="n">
        <v>27.63</v>
      </c>
      <c r="J1409" s="4" t="n">
        <f aca="false">G1409*H1409</f>
        <v>495.24</v>
      </c>
      <c r="K1409" s="4" t="n">
        <f aca="false">G1409*I1409</f>
        <v>331.56</v>
      </c>
      <c r="L1409" s="4" t="n">
        <f aca="false">J1409-K1409</f>
        <v>163.68</v>
      </c>
    </row>
    <row r="1410" customFormat="false" ht="15" hidden="false" customHeight="false" outlineLevel="0" collapsed="false">
      <c r="A1410" s="0" t="n">
        <v>2496</v>
      </c>
      <c r="B1410" s="2" t="n">
        <v>45879</v>
      </c>
      <c r="C1410" s="3" t="s">
        <v>32</v>
      </c>
      <c r="D1410" s="3" t="s">
        <v>20</v>
      </c>
      <c r="E1410" s="3" t="s">
        <v>42</v>
      </c>
      <c r="F1410" s="3" t="s">
        <v>39</v>
      </c>
      <c r="G1410" s="0" t="n">
        <v>14</v>
      </c>
      <c r="H1410" s="4" t="n">
        <v>105.99</v>
      </c>
      <c r="I1410" s="4" t="n">
        <v>68.7</v>
      </c>
      <c r="J1410" s="4" t="n">
        <f aca="false">G1410*H1410</f>
        <v>1483.86</v>
      </c>
      <c r="K1410" s="4" t="n">
        <f aca="false">G1410*I1410</f>
        <v>961.8</v>
      </c>
      <c r="L1410" s="4" t="n">
        <f aca="false">J1410-K1410</f>
        <v>522.06</v>
      </c>
    </row>
    <row r="1411" customFormat="false" ht="15" hidden="false" customHeight="false" outlineLevel="0" collapsed="false">
      <c r="A1411" s="0" t="n">
        <v>1409</v>
      </c>
      <c r="B1411" s="2" t="n">
        <v>45880</v>
      </c>
      <c r="C1411" s="3" t="s">
        <v>32</v>
      </c>
      <c r="D1411" s="3" t="s">
        <v>20</v>
      </c>
      <c r="E1411" s="3" t="s">
        <v>21</v>
      </c>
      <c r="F1411" s="3" t="s">
        <v>28</v>
      </c>
      <c r="G1411" s="0" t="n">
        <v>16</v>
      </c>
      <c r="H1411" s="4" t="n">
        <v>149</v>
      </c>
      <c r="I1411" s="4" t="n">
        <v>96.36</v>
      </c>
      <c r="J1411" s="4" t="n">
        <f aca="false">G1411*H1411</f>
        <v>2384</v>
      </c>
      <c r="K1411" s="4" t="n">
        <f aca="false">G1411*I1411</f>
        <v>1541.76</v>
      </c>
      <c r="L1411" s="4" t="n">
        <f aca="false">J1411-K1411</f>
        <v>842.24</v>
      </c>
    </row>
    <row r="1412" customFormat="false" ht="15" hidden="false" customHeight="false" outlineLevel="0" collapsed="false">
      <c r="A1412" s="0" t="n">
        <v>2151</v>
      </c>
      <c r="B1412" s="2" t="n">
        <v>45880</v>
      </c>
      <c r="C1412" s="3" t="s">
        <v>32</v>
      </c>
      <c r="D1412" s="3" t="s">
        <v>13</v>
      </c>
      <c r="E1412" s="3" t="s">
        <v>24</v>
      </c>
      <c r="F1412" s="3" t="s">
        <v>19</v>
      </c>
      <c r="G1412" s="0" t="n">
        <v>14</v>
      </c>
      <c r="H1412" s="4" t="n">
        <v>8.75</v>
      </c>
      <c r="I1412" s="4" t="n">
        <v>4.46</v>
      </c>
      <c r="J1412" s="4" t="n">
        <f aca="false">G1412*H1412</f>
        <v>122.5</v>
      </c>
      <c r="K1412" s="4" t="n">
        <f aca="false">G1412*I1412</f>
        <v>62.44</v>
      </c>
      <c r="L1412" s="4" t="n">
        <f aca="false">J1412-K1412</f>
        <v>60.06</v>
      </c>
    </row>
    <row r="1413" customFormat="false" ht="15" hidden="false" customHeight="false" outlineLevel="0" collapsed="false">
      <c r="A1413" s="0" t="n">
        <v>1423</v>
      </c>
      <c r="B1413" s="2" t="n">
        <v>45881</v>
      </c>
      <c r="C1413" s="3" t="s">
        <v>16</v>
      </c>
      <c r="D1413" s="3" t="s">
        <v>13</v>
      </c>
      <c r="E1413" s="3" t="s">
        <v>31</v>
      </c>
      <c r="F1413" s="3" t="s">
        <v>33</v>
      </c>
      <c r="G1413" s="0" t="n">
        <v>21</v>
      </c>
      <c r="H1413" s="4" t="n">
        <v>30.79</v>
      </c>
      <c r="I1413" s="4" t="n">
        <v>18.33</v>
      </c>
      <c r="J1413" s="4" t="n">
        <f aca="false">G1413*H1413</f>
        <v>646.59</v>
      </c>
      <c r="K1413" s="4" t="n">
        <f aca="false">G1413*I1413</f>
        <v>384.93</v>
      </c>
      <c r="L1413" s="4" t="n">
        <f aca="false">J1413-K1413</f>
        <v>261.66</v>
      </c>
    </row>
    <row r="1414" customFormat="false" ht="15" hidden="false" customHeight="false" outlineLevel="0" collapsed="false">
      <c r="A1414" s="0" t="n">
        <v>1593</v>
      </c>
      <c r="B1414" s="2" t="n">
        <v>45881</v>
      </c>
      <c r="C1414" s="3" t="s">
        <v>26</v>
      </c>
      <c r="D1414" s="3" t="s">
        <v>29</v>
      </c>
      <c r="E1414" s="3" t="s">
        <v>37</v>
      </c>
      <c r="F1414" s="3" t="s">
        <v>22</v>
      </c>
      <c r="G1414" s="0" t="n">
        <v>10</v>
      </c>
      <c r="H1414" s="4" t="n">
        <v>136.91</v>
      </c>
      <c r="I1414" s="4" t="n">
        <v>77.79</v>
      </c>
      <c r="J1414" s="4" t="n">
        <f aca="false">G1414*H1414</f>
        <v>1369.1</v>
      </c>
      <c r="K1414" s="4" t="n">
        <f aca="false">G1414*I1414</f>
        <v>777.9</v>
      </c>
      <c r="L1414" s="4" t="n">
        <f aca="false">J1414-K1414</f>
        <v>591.2</v>
      </c>
    </row>
    <row r="1415" customFormat="false" ht="15" hidden="false" customHeight="false" outlineLevel="0" collapsed="false">
      <c r="A1415" s="0" t="n">
        <v>1811</v>
      </c>
      <c r="B1415" s="2" t="n">
        <v>45881</v>
      </c>
      <c r="C1415" s="3" t="s">
        <v>26</v>
      </c>
      <c r="D1415" s="3" t="s">
        <v>13</v>
      </c>
      <c r="E1415" s="3" t="s">
        <v>14</v>
      </c>
      <c r="F1415" s="3" t="s">
        <v>36</v>
      </c>
      <c r="G1415" s="0" t="n">
        <v>11</v>
      </c>
      <c r="H1415" s="4" t="n">
        <v>8.47</v>
      </c>
      <c r="I1415" s="4" t="n">
        <v>4.35</v>
      </c>
      <c r="J1415" s="4" t="n">
        <f aca="false">G1415*H1415</f>
        <v>93.17</v>
      </c>
      <c r="K1415" s="4" t="n">
        <f aca="false">G1415*I1415</f>
        <v>47.85</v>
      </c>
      <c r="L1415" s="4" t="n">
        <f aca="false">J1415-K1415</f>
        <v>45.32</v>
      </c>
    </row>
    <row r="1416" customFormat="false" ht="15" hidden="false" customHeight="false" outlineLevel="0" collapsed="false">
      <c r="A1416" s="0" t="n">
        <v>2734</v>
      </c>
      <c r="B1416" s="2" t="n">
        <v>45881</v>
      </c>
      <c r="C1416" s="3" t="s">
        <v>23</v>
      </c>
      <c r="D1416" s="3" t="s">
        <v>13</v>
      </c>
      <c r="E1416" s="3" t="s">
        <v>31</v>
      </c>
      <c r="F1416" s="3" t="s">
        <v>19</v>
      </c>
      <c r="G1416" s="0" t="n">
        <v>24</v>
      </c>
      <c r="H1416" s="4" t="n">
        <v>23.08</v>
      </c>
      <c r="I1416" s="4" t="n">
        <v>12.77</v>
      </c>
      <c r="J1416" s="4" t="n">
        <f aca="false">G1416*H1416</f>
        <v>553.92</v>
      </c>
      <c r="K1416" s="4" t="n">
        <f aca="false">G1416*I1416</f>
        <v>306.48</v>
      </c>
      <c r="L1416" s="4" t="n">
        <f aca="false">J1416-K1416</f>
        <v>247.44</v>
      </c>
    </row>
    <row r="1417" customFormat="false" ht="15" hidden="false" customHeight="false" outlineLevel="0" collapsed="false">
      <c r="A1417" s="0" t="n">
        <v>1346</v>
      </c>
      <c r="B1417" s="2" t="n">
        <v>45882</v>
      </c>
      <c r="C1417" s="3" t="s">
        <v>16</v>
      </c>
      <c r="D1417" s="3" t="s">
        <v>13</v>
      </c>
      <c r="E1417" s="3" t="s">
        <v>31</v>
      </c>
      <c r="F1417" s="3" t="s">
        <v>25</v>
      </c>
      <c r="G1417" s="0" t="n">
        <v>28</v>
      </c>
      <c r="H1417" s="4" t="n">
        <v>17.17</v>
      </c>
      <c r="I1417" s="4" t="n">
        <v>10.24</v>
      </c>
      <c r="J1417" s="4" t="n">
        <f aca="false">G1417*H1417</f>
        <v>480.76</v>
      </c>
      <c r="K1417" s="4" t="n">
        <f aca="false">G1417*I1417</f>
        <v>286.72</v>
      </c>
      <c r="L1417" s="4" t="n">
        <f aca="false">J1417-K1417</f>
        <v>194.04</v>
      </c>
    </row>
    <row r="1418" customFormat="false" ht="15" hidden="false" customHeight="false" outlineLevel="0" collapsed="false">
      <c r="A1418" s="0" t="n">
        <v>2448</v>
      </c>
      <c r="B1418" s="2" t="n">
        <v>45882</v>
      </c>
      <c r="C1418" s="3" t="s">
        <v>23</v>
      </c>
      <c r="D1418" s="3" t="s">
        <v>17</v>
      </c>
      <c r="E1418" s="3" t="s">
        <v>35</v>
      </c>
      <c r="F1418" s="3" t="s">
        <v>22</v>
      </c>
      <c r="G1418" s="0" t="n">
        <v>31</v>
      </c>
      <c r="H1418" s="4" t="n">
        <v>104.55</v>
      </c>
      <c r="I1418" s="4" t="n">
        <v>66.87</v>
      </c>
      <c r="J1418" s="4" t="n">
        <f aca="false">G1418*H1418</f>
        <v>3241.05</v>
      </c>
      <c r="K1418" s="4" t="n">
        <f aca="false">G1418*I1418</f>
        <v>2072.97</v>
      </c>
      <c r="L1418" s="4" t="n">
        <f aca="false">J1418-K1418</f>
        <v>1168.08</v>
      </c>
    </row>
    <row r="1419" customFormat="false" ht="15" hidden="false" customHeight="false" outlineLevel="0" collapsed="false">
      <c r="A1419" s="0" t="n">
        <v>2753</v>
      </c>
      <c r="B1419" s="2" t="n">
        <v>45882</v>
      </c>
      <c r="C1419" s="3" t="s">
        <v>16</v>
      </c>
      <c r="D1419" s="3" t="s">
        <v>20</v>
      </c>
      <c r="E1419" s="3" t="s">
        <v>21</v>
      </c>
      <c r="F1419" s="3" t="s">
        <v>33</v>
      </c>
      <c r="G1419" s="0" t="n">
        <v>16</v>
      </c>
      <c r="H1419" s="4" t="n">
        <v>211.78</v>
      </c>
      <c r="I1419" s="4" t="n">
        <v>153.55</v>
      </c>
      <c r="J1419" s="4" t="n">
        <f aca="false">G1419*H1419</f>
        <v>3388.48</v>
      </c>
      <c r="K1419" s="4" t="n">
        <f aca="false">G1419*I1419</f>
        <v>2456.8</v>
      </c>
      <c r="L1419" s="4" t="n">
        <f aca="false">J1419-K1419</f>
        <v>931.68</v>
      </c>
    </row>
    <row r="1420" customFormat="false" ht="15" hidden="false" customHeight="false" outlineLevel="0" collapsed="false">
      <c r="A1420" s="0" t="n">
        <v>1237</v>
      </c>
      <c r="B1420" s="2" t="n">
        <v>45883</v>
      </c>
      <c r="C1420" s="3" t="s">
        <v>26</v>
      </c>
      <c r="D1420" s="3" t="s">
        <v>13</v>
      </c>
      <c r="E1420" s="3" t="s">
        <v>31</v>
      </c>
      <c r="F1420" s="3" t="s">
        <v>33</v>
      </c>
      <c r="G1420" s="0" t="n">
        <v>13</v>
      </c>
      <c r="H1420" s="4" t="n">
        <v>17.95</v>
      </c>
      <c r="I1420" s="4" t="n">
        <v>11.84</v>
      </c>
      <c r="J1420" s="4" t="n">
        <f aca="false">G1420*H1420</f>
        <v>233.35</v>
      </c>
      <c r="K1420" s="4" t="n">
        <f aca="false">G1420*I1420</f>
        <v>153.92</v>
      </c>
      <c r="L1420" s="4" t="n">
        <f aca="false">J1420-K1420</f>
        <v>79.43</v>
      </c>
    </row>
    <row r="1421" customFormat="false" ht="15" hidden="false" customHeight="false" outlineLevel="0" collapsed="false">
      <c r="A1421" s="0" t="n">
        <v>1299</v>
      </c>
      <c r="B1421" s="2" t="n">
        <v>45883</v>
      </c>
      <c r="C1421" s="3" t="s">
        <v>12</v>
      </c>
      <c r="D1421" s="3" t="s">
        <v>13</v>
      </c>
      <c r="E1421" s="3" t="s">
        <v>14</v>
      </c>
      <c r="F1421" s="3" t="s">
        <v>25</v>
      </c>
      <c r="G1421" s="0" t="n">
        <v>3</v>
      </c>
      <c r="H1421" s="4" t="n">
        <v>21.17</v>
      </c>
      <c r="I1421" s="4" t="n">
        <v>11.49</v>
      </c>
      <c r="J1421" s="4" t="n">
        <f aca="false">G1421*H1421</f>
        <v>63.51</v>
      </c>
      <c r="K1421" s="4" t="n">
        <f aca="false">G1421*I1421</f>
        <v>34.47</v>
      </c>
      <c r="L1421" s="4" t="n">
        <f aca="false">J1421-K1421</f>
        <v>29.04</v>
      </c>
    </row>
    <row r="1422" customFormat="false" ht="15" hidden="false" customHeight="false" outlineLevel="0" collapsed="false">
      <c r="A1422" s="0" t="n">
        <v>1810</v>
      </c>
      <c r="B1422" s="2" t="n">
        <v>45883</v>
      </c>
      <c r="C1422" s="3" t="s">
        <v>12</v>
      </c>
      <c r="D1422" s="3" t="s">
        <v>20</v>
      </c>
      <c r="E1422" s="3" t="s">
        <v>21</v>
      </c>
      <c r="F1422" s="3" t="s">
        <v>15</v>
      </c>
      <c r="G1422" s="0" t="n">
        <v>10</v>
      </c>
      <c r="H1422" s="4" t="n">
        <v>202.35</v>
      </c>
      <c r="I1422" s="4" t="n">
        <v>119.5</v>
      </c>
      <c r="J1422" s="4" t="n">
        <f aca="false">G1422*H1422</f>
        <v>2023.5</v>
      </c>
      <c r="K1422" s="4" t="n">
        <f aca="false">G1422*I1422</f>
        <v>1195</v>
      </c>
      <c r="L1422" s="4" t="n">
        <f aca="false">J1422-K1422</f>
        <v>828.5</v>
      </c>
    </row>
    <row r="1423" customFormat="false" ht="15" hidden="false" customHeight="false" outlineLevel="0" collapsed="false">
      <c r="A1423" s="0" t="n">
        <v>1913</v>
      </c>
      <c r="B1423" s="2" t="n">
        <v>45883</v>
      </c>
      <c r="C1423" s="3" t="s">
        <v>23</v>
      </c>
      <c r="D1423" s="3" t="s">
        <v>13</v>
      </c>
      <c r="E1423" s="3" t="s">
        <v>14</v>
      </c>
      <c r="F1423" s="3" t="s">
        <v>19</v>
      </c>
      <c r="G1423" s="0" t="n">
        <v>26</v>
      </c>
      <c r="H1423" s="4" t="n">
        <v>32.48</v>
      </c>
      <c r="I1423" s="4" t="n">
        <v>22.75</v>
      </c>
      <c r="J1423" s="4" t="n">
        <f aca="false">G1423*H1423</f>
        <v>844.48</v>
      </c>
      <c r="K1423" s="4" t="n">
        <f aca="false">G1423*I1423</f>
        <v>591.5</v>
      </c>
      <c r="L1423" s="4" t="n">
        <f aca="false">J1423-K1423</f>
        <v>252.98</v>
      </c>
    </row>
    <row r="1424" customFormat="false" ht="15" hidden="false" customHeight="false" outlineLevel="0" collapsed="false">
      <c r="A1424" s="0" t="n">
        <v>1387</v>
      </c>
      <c r="B1424" s="2" t="n">
        <v>45884</v>
      </c>
      <c r="C1424" s="3" t="s">
        <v>16</v>
      </c>
      <c r="D1424" s="3" t="s">
        <v>13</v>
      </c>
      <c r="E1424" s="3" t="s">
        <v>14</v>
      </c>
      <c r="F1424" s="3" t="s">
        <v>36</v>
      </c>
      <c r="G1424" s="0" t="n">
        <v>24</v>
      </c>
      <c r="H1424" s="4" t="n">
        <v>54.2</v>
      </c>
      <c r="I1424" s="4" t="n">
        <v>40.28</v>
      </c>
      <c r="J1424" s="4" t="n">
        <f aca="false">G1424*H1424</f>
        <v>1300.8</v>
      </c>
      <c r="K1424" s="4" t="n">
        <f aca="false">G1424*I1424</f>
        <v>966.72</v>
      </c>
      <c r="L1424" s="4" t="n">
        <f aca="false">J1424-K1424</f>
        <v>334.08</v>
      </c>
    </row>
    <row r="1425" customFormat="false" ht="15" hidden="false" customHeight="false" outlineLevel="0" collapsed="false">
      <c r="A1425" s="0" t="n">
        <v>1622</v>
      </c>
      <c r="B1425" s="2" t="n">
        <v>45884</v>
      </c>
      <c r="C1425" s="3" t="s">
        <v>26</v>
      </c>
      <c r="D1425" s="3" t="s">
        <v>29</v>
      </c>
      <c r="E1425" s="3" t="s">
        <v>43</v>
      </c>
      <c r="F1425" s="3" t="s">
        <v>25</v>
      </c>
      <c r="G1425" s="0" t="n">
        <v>37</v>
      </c>
      <c r="H1425" s="4" t="n">
        <v>168.09</v>
      </c>
      <c r="I1425" s="4" t="n">
        <v>111.42</v>
      </c>
      <c r="J1425" s="4" t="n">
        <f aca="false">G1425*H1425</f>
        <v>6219.33</v>
      </c>
      <c r="K1425" s="4" t="n">
        <f aca="false">G1425*I1425</f>
        <v>4122.54</v>
      </c>
      <c r="L1425" s="4" t="n">
        <f aca="false">J1425-K1425</f>
        <v>2096.79</v>
      </c>
    </row>
    <row r="1426" customFormat="false" ht="15" hidden="false" customHeight="false" outlineLevel="0" collapsed="false">
      <c r="A1426" s="0" t="n">
        <v>1094</v>
      </c>
      <c r="B1426" s="2" t="n">
        <v>45885</v>
      </c>
      <c r="C1426" s="3" t="s">
        <v>32</v>
      </c>
      <c r="D1426" s="3" t="s">
        <v>13</v>
      </c>
      <c r="E1426" s="3" t="s">
        <v>45</v>
      </c>
      <c r="F1426" s="3" t="s">
        <v>15</v>
      </c>
      <c r="G1426" s="0" t="n">
        <v>21</v>
      </c>
      <c r="H1426" s="4" t="n">
        <v>13.01</v>
      </c>
      <c r="I1426" s="4" t="n">
        <v>9.66</v>
      </c>
      <c r="J1426" s="4" t="n">
        <f aca="false">G1426*H1426</f>
        <v>273.21</v>
      </c>
      <c r="K1426" s="4" t="n">
        <f aca="false">G1426*I1426</f>
        <v>202.86</v>
      </c>
      <c r="L1426" s="4" t="n">
        <f aca="false">J1426-K1426</f>
        <v>70.35</v>
      </c>
    </row>
    <row r="1427" customFormat="false" ht="15" hidden="false" customHeight="false" outlineLevel="0" collapsed="false">
      <c r="A1427" s="0" t="n">
        <v>1527</v>
      </c>
      <c r="B1427" s="2" t="n">
        <v>45885</v>
      </c>
      <c r="C1427" s="3" t="s">
        <v>32</v>
      </c>
      <c r="D1427" s="3" t="s">
        <v>17</v>
      </c>
      <c r="E1427" s="3" t="s">
        <v>40</v>
      </c>
      <c r="F1427" s="3" t="s">
        <v>22</v>
      </c>
      <c r="G1427" s="0" t="n">
        <v>31</v>
      </c>
      <c r="H1427" s="4" t="n">
        <v>441.39</v>
      </c>
      <c r="I1427" s="4" t="n">
        <v>259.64</v>
      </c>
      <c r="J1427" s="4" t="n">
        <f aca="false">G1427*H1427</f>
        <v>13683.09</v>
      </c>
      <c r="K1427" s="4" t="n">
        <f aca="false">G1427*I1427</f>
        <v>8048.84</v>
      </c>
      <c r="L1427" s="4" t="n">
        <f aca="false">J1427-K1427</f>
        <v>5634.25</v>
      </c>
    </row>
    <row r="1428" customFormat="false" ht="15" hidden="false" customHeight="false" outlineLevel="0" collapsed="false">
      <c r="A1428" s="0" t="n">
        <v>1602</v>
      </c>
      <c r="B1428" s="2" t="n">
        <v>45885</v>
      </c>
      <c r="C1428" s="3" t="s">
        <v>32</v>
      </c>
      <c r="D1428" s="3" t="s">
        <v>29</v>
      </c>
      <c r="E1428" s="3" t="s">
        <v>37</v>
      </c>
      <c r="F1428" s="3" t="s">
        <v>39</v>
      </c>
      <c r="G1428" s="0" t="n">
        <v>33</v>
      </c>
      <c r="H1428" s="4" t="n">
        <v>322.82</v>
      </c>
      <c r="I1428" s="4" t="n">
        <v>178.92</v>
      </c>
      <c r="J1428" s="4" t="n">
        <f aca="false">G1428*H1428</f>
        <v>10653.06</v>
      </c>
      <c r="K1428" s="4" t="n">
        <f aca="false">G1428*I1428</f>
        <v>5904.36</v>
      </c>
      <c r="L1428" s="4" t="n">
        <f aca="false">J1428-K1428</f>
        <v>4748.7</v>
      </c>
    </row>
    <row r="1429" customFormat="false" ht="15" hidden="false" customHeight="false" outlineLevel="0" collapsed="false">
      <c r="A1429" s="0" t="n">
        <v>1747</v>
      </c>
      <c r="B1429" s="2" t="n">
        <v>45885</v>
      </c>
      <c r="C1429" s="3" t="s">
        <v>26</v>
      </c>
      <c r="D1429" s="3" t="s">
        <v>20</v>
      </c>
      <c r="E1429" s="3" t="s">
        <v>34</v>
      </c>
      <c r="F1429" s="3" t="s">
        <v>36</v>
      </c>
      <c r="G1429" s="0" t="n">
        <v>15</v>
      </c>
      <c r="H1429" s="4" t="n">
        <v>164.43</v>
      </c>
      <c r="I1429" s="4" t="n">
        <v>114.52</v>
      </c>
      <c r="J1429" s="4" t="n">
        <f aca="false">G1429*H1429</f>
        <v>2466.45</v>
      </c>
      <c r="K1429" s="4" t="n">
        <f aca="false">G1429*I1429</f>
        <v>1717.8</v>
      </c>
      <c r="L1429" s="4" t="n">
        <f aca="false">J1429-K1429</f>
        <v>748.65</v>
      </c>
    </row>
    <row r="1430" customFormat="false" ht="15" hidden="false" customHeight="false" outlineLevel="0" collapsed="false">
      <c r="A1430" s="0" t="n">
        <v>2117</v>
      </c>
      <c r="B1430" s="2" t="n">
        <v>45885</v>
      </c>
      <c r="C1430" s="3" t="s">
        <v>26</v>
      </c>
      <c r="D1430" s="3" t="s">
        <v>13</v>
      </c>
      <c r="E1430" s="3" t="s">
        <v>31</v>
      </c>
      <c r="F1430" s="3" t="s">
        <v>36</v>
      </c>
      <c r="G1430" s="0" t="n">
        <v>22</v>
      </c>
      <c r="H1430" s="4" t="n">
        <v>16.85</v>
      </c>
      <c r="I1430" s="4" t="n">
        <v>9.82</v>
      </c>
      <c r="J1430" s="4" t="n">
        <f aca="false">G1430*H1430</f>
        <v>370.7</v>
      </c>
      <c r="K1430" s="4" t="n">
        <f aca="false">G1430*I1430</f>
        <v>216.04</v>
      </c>
      <c r="L1430" s="4" t="n">
        <f aca="false">J1430-K1430</f>
        <v>154.66</v>
      </c>
    </row>
    <row r="1431" customFormat="false" ht="15" hidden="false" customHeight="false" outlineLevel="0" collapsed="false">
      <c r="A1431" s="0" t="n">
        <v>2389</v>
      </c>
      <c r="B1431" s="2" t="n">
        <v>45885</v>
      </c>
      <c r="C1431" s="3" t="s">
        <v>32</v>
      </c>
      <c r="D1431" s="3" t="s">
        <v>20</v>
      </c>
      <c r="E1431" s="3" t="s">
        <v>38</v>
      </c>
      <c r="F1431" s="3" t="s">
        <v>22</v>
      </c>
      <c r="G1431" s="0" t="n">
        <v>34</v>
      </c>
      <c r="H1431" s="4" t="n">
        <v>86.91</v>
      </c>
      <c r="I1431" s="4" t="n">
        <v>43.5</v>
      </c>
      <c r="J1431" s="4" t="n">
        <f aca="false">G1431*H1431</f>
        <v>2954.94</v>
      </c>
      <c r="K1431" s="4" t="n">
        <f aca="false">G1431*I1431</f>
        <v>1479</v>
      </c>
      <c r="L1431" s="4" t="n">
        <f aca="false">J1431-K1431</f>
        <v>1475.94</v>
      </c>
    </row>
    <row r="1432" customFormat="false" ht="15" hidden="false" customHeight="false" outlineLevel="0" collapsed="false">
      <c r="A1432" s="0" t="n">
        <v>1378</v>
      </c>
      <c r="B1432" s="2" t="n">
        <v>45886</v>
      </c>
      <c r="C1432" s="3" t="s">
        <v>23</v>
      </c>
      <c r="D1432" s="3" t="s">
        <v>29</v>
      </c>
      <c r="E1432" s="3" t="s">
        <v>43</v>
      </c>
      <c r="F1432" s="3" t="s">
        <v>19</v>
      </c>
      <c r="G1432" s="0" t="n">
        <v>16</v>
      </c>
      <c r="H1432" s="4" t="n">
        <v>458.05</v>
      </c>
      <c r="I1432" s="4" t="n">
        <v>280.63</v>
      </c>
      <c r="J1432" s="4" t="n">
        <f aca="false">G1432*H1432</f>
        <v>7328.8</v>
      </c>
      <c r="K1432" s="4" t="n">
        <f aca="false">G1432*I1432</f>
        <v>4490.08</v>
      </c>
      <c r="L1432" s="4" t="n">
        <f aca="false">J1432-K1432</f>
        <v>2838.72</v>
      </c>
    </row>
    <row r="1433" customFormat="false" ht="15" hidden="false" customHeight="false" outlineLevel="0" collapsed="false">
      <c r="A1433" s="0" t="n">
        <v>1690</v>
      </c>
      <c r="B1433" s="2" t="n">
        <v>45887</v>
      </c>
      <c r="C1433" s="3" t="s">
        <v>16</v>
      </c>
      <c r="D1433" s="3" t="s">
        <v>13</v>
      </c>
      <c r="E1433" s="3" t="s">
        <v>31</v>
      </c>
      <c r="F1433" s="3" t="s">
        <v>15</v>
      </c>
      <c r="G1433" s="0" t="n">
        <v>19</v>
      </c>
      <c r="H1433" s="4" t="n">
        <v>49.46</v>
      </c>
      <c r="I1433" s="4" t="n">
        <v>29.4</v>
      </c>
      <c r="J1433" s="4" t="n">
        <f aca="false">G1433*H1433</f>
        <v>939.74</v>
      </c>
      <c r="K1433" s="4" t="n">
        <f aca="false">G1433*I1433</f>
        <v>558.6</v>
      </c>
      <c r="L1433" s="4" t="n">
        <f aca="false">J1433-K1433</f>
        <v>381.14</v>
      </c>
    </row>
    <row r="1434" customFormat="false" ht="15" hidden="false" customHeight="false" outlineLevel="0" collapsed="false">
      <c r="A1434" s="0" t="n">
        <v>2011</v>
      </c>
      <c r="B1434" s="2" t="n">
        <v>45887</v>
      </c>
      <c r="C1434" s="3" t="s">
        <v>32</v>
      </c>
      <c r="D1434" s="3" t="s">
        <v>13</v>
      </c>
      <c r="E1434" s="3" t="s">
        <v>14</v>
      </c>
      <c r="F1434" s="3" t="s">
        <v>22</v>
      </c>
      <c r="G1434" s="0" t="n">
        <v>10</v>
      </c>
      <c r="H1434" s="4" t="n">
        <v>59.88</v>
      </c>
      <c r="I1434" s="4" t="n">
        <v>43.94</v>
      </c>
      <c r="J1434" s="4" t="n">
        <f aca="false">G1434*H1434</f>
        <v>598.8</v>
      </c>
      <c r="K1434" s="4" t="n">
        <f aca="false">G1434*I1434</f>
        <v>439.4</v>
      </c>
      <c r="L1434" s="4" t="n">
        <f aca="false">J1434-K1434</f>
        <v>159.4</v>
      </c>
    </row>
    <row r="1435" customFormat="false" ht="15" hidden="false" customHeight="false" outlineLevel="0" collapsed="false">
      <c r="A1435" s="0" t="n">
        <v>2437</v>
      </c>
      <c r="B1435" s="2" t="n">
        <v>45887</v>
      </c>
      <c r="C1435" s="3" t="s">
        <v>26</v>
      </c>
      <c r="D1435" s="3" t="s">
        <v>13</v>
      </c>
      <c r="E1435" s="3" t="s">
        <v>45</v>
      </c>
      <c r="F1435" s="3" t="s">
        <v>39</v>
      </c>
      <c r="G1435" s="0" t="n">
        <v>35</v>
      </c>
      <c r="H1435" s="4" t="n">
        <v>9.45</v>
      </c>
      <c r="I1435" s="4" t="n">
        <v>6.1</v>
      </c>
      <c r="J1435" s="4" t="n">
        <f aca="false">G1435*H1435</f>
        <v>330.75</v>
      </c>
      <c r="K1435" s="4" t="n">
        <f aca="false">G1435*I1435</f>
        <v>213.5</v>
      </c>
      <c r="L1435" s="4" t="n">
        <f aca="false">J1435-K1435</f>
        <v>117.25</v>
      </c>
    </row>
    <row r="1436" customFormat="false" ht="15" hidden="false" customHeight="false" outlineLevel="0" collapsed="false">
      <c r="A1436" s="0" t="n">
        <v>2605</v>
      </c>
      <c r="B1436" s="2" t="n">
        <v>45887</v>
      </c>
      <c r="C1436" s="3" t="s">
        <v>23</v>
      </c>
      <c r="D1436" s="3" t="s">
        <v>20</v>
      </c>
      <c r="E1436" s="3" t="s">
        <v>38</v>
      </c>
      <c r="F1436" s="3" t="s">
        <v>36</v>
      </c>
      <c r="G1436" s="0" t="n">
        <v>37</v>
      </c>
      <c r="H1436" s="4" t="n">
        <v>115.28</v>
      </c>
      <c r="I1436" s="4" t="n">
        <v>65.17</v>
      </c>
      <c r="J1436" s="4" t="n">
        <f aca="false">G1436*H1436</f>
        <v>4265.36</v>
      </c>
      <c r="K1436" s="4" t="n">
        <f aca="false">G1436*I1436</f>
        <v>2411.29</v>
      </c>
      <c r="L1436" s="4" t="n">
        <f aca="false">J1436-K1436</f>
        <v>1854.07</v>
      </c>
    </row>
    <row r="1437" customFormat="false" ht="15" hidden="false" customHeight="false" outlineLevel="0" collapsed="false">
      <c r="A1437" s="0" t="n">
        <v>1282</v>
      </c>
      <c r="B1437" s="2" t="n">
        <v>45888</v>
      </c>
      <c r="C1437" s="3" t="s">
        <v>16</v>
      </c>
      <c r="D1437" s="3" t="s">
        <v>29</v>
      </c>
      <c r="E1437" s="3" t="s">
        <v>30</v>
      </c>
      <c r="F1437" s="3" t="s">
        <v>22</v>
      </c>
      <c r="G1437" s="0" t="n">
        <v>5</v>
      </c>
      <c r="H1437" s="4" t="n">
        <v>419.91</v>
      </c>
      <c r="I1437" s="4" t="n">
        <v>298.9</v>
      </c>
      <c r="J1437" s="4" t="n">
        <f aca="false">G1437*H1437</f>
        <v>2099.55</v>
      </c>
      <c r="K1437" s="4" t="n">
        <f aca="false">G1437*I1437</f>
        <v>1494.5</v>
      </c>
      <c r="L1437" s="4" t="n">
        <f aca="false">J1437-K1437</f>
        <v>605.05</v>
      </c>
    </row>
    <row r="1438" customFormat="false" ht="15" hidden="false" customHeight="false" outlineLevel="0" collapsed="false">
      <c r="A1438" s="0" t="n">
        <v>1167</v>
      </c>
      <c r="B1438" s="2" t="n">
        <v>45889</v>
      </c>
      <c r="C1438" s="3" t="s">
        <v>32</v>
      </c>
      <c r="D1438" s="3" t="s">
        <v>17</v>
      </c>
      <c r="E1438" s="3" t="s">
        <v>27</v>
      </c>
      <c r="F1438" s="3" t="s">
        <v>15</v>
      </c>
      <c r="G1438" s="0" t="n">
        <v>32</v>
      </c>
      <c r="H1438" s="4" t="n">
        <v>561.92</v>
      </c>
      <c r="I1438" s="4" t="n">
        <v>282.11</v>
      </c>
      <c r="J1438" s="4" t="n">
        <f aca="false">G1438*H1438</f>
        <v>17981.44</v>
      </c>
      <c r="K1438" s="4" t="n">
        <f aca="false">G1438*I1438</f>
        <v>9027.52</v>
      </c>
      <c r="L1438" s="4" t="n">
        <f aca="false">J1438-K1438</f>
        <v>8953.92</v>
      </c>
    </row>
    <row r="1439" customFormat="false" ht="15" hidden="false" customHeight="false" outlineLevel="0" collapsed="false">
      <c r="A1439" s="0" t="n">
        <v>1191</v>
      </c>
      <c r="B1439" s="2" t="n">
        <v>45889</v>
      </c>
      <c r="C1439" s="3" t="s">
        <v>23</v>
      </c>
      <c r="D1439" s="3" t="s">
        <v>17</v>
      </c>
      <c r="E1439" s="3" t="s">
        <v>35</v>
      </c>
      <c r="F1439" s="3" t="s">
        <v>28</v>
      </c>
      <c r="G1439" s="0" t="n">
        <v>4</v>
      </c>
      <c r="H1439" s="4" t="n">
        <v>440.88</v>
      </c>
      <c r="I1439" s="4" t="n">
        <v>271.4</v>
      </c>
      <c r="J1439" s="4" t="n">
        <f aca="false">G1439*H1439</f>
        <v>1763.52</v>
      </c>
      <c r="K1439" s="4" t="n">
        <f aca="false">G1439*I1439</f>
        <v>1085.6</v>
      </c>
      <c r="L1439" s="4" t="n">
        <f aca="false">J1439-K1439</f>
        <v>677.92</v>
      </c>
    </row>
    <row r="1440" customFormat="false" ht="15" hidden="false" customHeight="false" outlineLevel="0" collapsed="false">
      <c r="A1440" s="0" t="n">
        <v>1207</v>
      </c>
      <c r="B1440" s="2" t="n">
        <v>45890</v>
      </c>
      <c r="C1440" s="3" t="s">
        <v>16</v>
      </c>
      <c r="D1440" s="3" t="s">
        <v>20</v>
      </c>
      <c r="E1440" s="3" t="s">
        <v>38</v>
      </c>
      <c r="F1440" s="3" t="s">
        <v>19</v>
      </c>
      <c r="G1440" s="0" t="n">
        <v>13</v>
      </c>
      <c r="H1440" s="4" t="n">
        <v>159.8</v>
      </c>
      <c r="I1440" s="4" t="n">
        <v>106.05</v>
      </c>
      <c r="J1440" s="4" t="n">
        <f aca="false">G1440*H1440</f>
        <v>2077.4</v>
      </c>
      <c r="K1440" s="4" t="n">
        <f aca="false">G1440*I1440</f>
        <v>1378.65</v>
      </c>
      <c r="L1440" s="4" t="n">
        <f aca="false">J1440-K1440</f>
        <v>698.75</v>
      </c>
    </row>
    <row r="1441" customFormat="false" ht="15" hidden="false" customHeight="false" outlineLevel="0" collapsed="false">
      <c r="A1441" s="0" t="n">
        <v>1321</v>
      </c>
      <c r="B1441" s="2" t="n">
        <v>45890</v>
      </c>
      <c r="C1441" s="3" t="s">
        <v>26</v>
      </c>
      <c r="D1441" s="3" t="s">
        <v>17</v>
      </c>
      <c r="E1441" s="3" t="s">
        <v>35</v>
      </c>
      <c r="F1441" s="3" t="s">
        <v>33</v>
      </c>
      <c r="G1441" s="0" t="n">
        <v>36</v>
      </c>
      <c r="H1441" s="4" t="n">
        <v>603.77</v>
      </c>
      <c r="I1441" s="4" t="n">
        <v>311.52</v>
      </c>
      <c r="J1441" s="4" t="n">
        <f aca="false">G1441*H1441</f>
        <v>21735.72</v>
      </c>
      <c r="K1441" s="4" t="n">
        <f aca="false">G1441*I1441</f>
        <v>11214.72</v>
      </c>
      <c r="L1441" s="4" t="n">
        <f aca="false">J1441-K1441</f>
        <v>10521</v>
      </c>
    </row>
    <row r="1442" customFormat="false" ht="15" hidden="false" customHeight="false" outlineLevel="0" collapsed="false">
      <c r="A1442" s="0" t="n">
        <v>1693</v>
      </c>
      <c r="B1442" s="2" t="n">
        <v>45890</v>
      </c>
      <c r="C1442" s="3" t="s">
        <v>23</v>
      </c>
      <c r="D1442" s="3" t="s">
        <v>20</v>
      </c>
      <c r="E1442" s="3" t="s">
        <v>21</v>
      </c>
      <c r="F1442" s="3" t="s">
        <v>28</v>
      </c>
      <c r="G1442" s="0" t="n">
        <v>27</v>
      </c>
      <c r="H1442" s="4" t="n">
        <v>219.12</v>
      </c>
      <c r="I1442" s="4" t="n">
        <v>116.65</v>
      </c>
      <c r="J1442" s="4" t="n">
        <f aca="false">G1442*H1442</f>
        <v>5916.24</v>
      </c>
      <c r="K1442" s="4" t="n">
        <f aca="false">G1442*I1442</f>
        <v>3149.55</v>
      </c>
      <c r="L1442" s="4" t="n">
        <f aca="false">J1442-K1442</f>
        <v>2766.69</v>
      </c>
    </row>
    <row r="1443" customFormat="false" ht="15" hidden="false" customHeight="false" outlineLevel="0" collapsed="false">
      <c r="A1443" s="0" t="n">
        <v>1739</v>
      </c>
      <c r="B1443" s="2" t="n">
        <v>45890</v>
      </c>
      <c r="C1443" s="3" t="s">
        <v>23</v>
      </c>
      <c r="D1443" s="3" t="s">
        <v>13</v>
      </c>
      <c r="E1443" s="3" t="s">
        <v>45</v>
      </c>
      <c r="F1443" s="3" t="s">
        <v>28</v>
      </c>
      <c r="G1443" s="0" t="n">
        <v>40</v>
      </c>
      <c r="H1443" s="4" t="n">
        <v>31.99</v>
      </c>
      <c r="I1443" s="4" t="n">
        <v>20.07</v>
      </c>
      <c r="J1443" s="4" t="n">
        <f aca="false">G1443*H1443</f>
        <v>1279.6</v>
      </c>
      <c r="K1443" s="4" t="n">
        <f aca="false">G1443*I1443</f>
        <v>802.8</v>
      </c>
      <c r="L1443" s="4" t="n">
        <f aca="false">J1443-K1443</f>
        <v>476.8</v>
      </c>
    </row>
    <row r="1444" customFormat="false" ht="15" hidden="false" customHeight="false" outlineLevel="0" collapsed="false">
      <c r="A1444" s="0" t="n">
        <v>2585</v>
      </c>
      <c r="B1444" s="2" t="n">
        <v>45890</v>
      </c>
      <c r="C1444" s="3" t="s">
        <v>23</v>
      </c>
      <c r="D1444" s="3" t="s">
        <v>13</v>
      </c>
      <c r="E1444" s="3" t="s">
        <v>45</v>
      </c>
      <c r="F1444" s="3" t="s">
        <v>25</v>
      </c>
      <c r="G1444" s="0" t="n">
        <v>29</v>
      </c>
      <c r="H1444" s="4" t="n">
        <v>44.66</v>
      </c>
      <c r="I1444" s="4" t="n">
        <v>33.1</v>
      </c>
      <c r="J1444" s="4" t="n">
        <f aca="false">G1444*H1444</f>
        <v>1295.14</v>
      </c>
      <c r="K1444" s="4" t="n">
        <f aca="false">G1444*I1444</f>
        <v>959.9</v>
      </c>
      <c r="L1444" s="4" t="n">
        <f aca="false">J1444-K1444</f>
        <v>335.24</v>
      </c>
    </row>
    <row r="1445" customFormat="false" ht="15" hidden="false" customHeight="false" outlineLevel="0" collapsed="false">
      <c r="A1445" s="0" t="n">
        <v>1103</v>
      </c>
      <c r="B1445" s="2" t="n">
        <v>45892</v>
      </c>
      <c r="C1445" s="3" t="s">
        <v>12</v>
      </c>
      <c r="D1445" s="3" t="s">
        <v>13</v>
      </c>
      <c r="E1445" s="3" t="s">
        <v>31</v>
      </c>
      <c r="F1445" s="3" t="s">
        <v>19</v>
      </c>
      <c r="G1445" s="0" t="n">
        <v>39</v>
      </c>
      <c r="H1445" s="4" t="n">
        <v>51.93</v>
      </c>
      <c r="I1445" s="4" t="n">
        <v>29.22</v>
      </c>
      <c r="J1445" s="4" t="n">
        <f aca="false">G1445*H1445</f>
        <v>2025.27</v>
      </c>
      <c r="K1445" s="4" t="n">
        <f aca="false">G1445*I1445</f>
        <v>1139.58</v>
      </c>
      <c r="L1445" s="4" t="n">
        <f aca="false">J1445-K1445</f>
        <v>885.69</v>
      </c>
    </row>
    <row r="1446" customFormat="false" ht="15" hidden="false" customHeight="false" outlineLevel="0" collapsed="false">
      <c r="A1446" s="0" t="n">
        <v>1888</v>
      </c>
      <c r="B1446" s="2" t="n">
        <v>45892</v>
      </c>
      <c r="C1446" s="3" t="s">
        <v>26</v>
      </c>
      <c r="D1446" s="3" t="s">
        <v>29</v>
      </c>
      <c r="E1446" s="3" t="s">
        <v>37</v>
      </c>
      <c r="F1446" s="3" t="s">
        <v>19</v>
      </c>
      <c r="G1446" s="0" t="n">
        <v>30</v>
      </c>
      <c r="H1446" s="4" t="n">
        <v>480.18</v>
      </c>
      <c r="I1446" s="4" t="n">
        <v>265.98</v>
      </c>
      <c r="J1446" s="4" t="n">
        <f aca="false">G1446*H1446</f>
        <v>14405.4</v>
      </c>
      <c r="K1446" s="4" t="n">
        <f aca="false">G1446*I1446</f>
        <v>7979.4</v>
      </c>
      <c r="L1446" s="4" t="n">
        <f aca="false">J1446-K1446</f>
        <v>6426</v>
      </c>
    </row>
    <row r="1447" customFormat="false" ht="15" hidden="false" customHeight="false" outlineLevel="0" collapsed="false">
      <c r="A1447" s="0" t="n">
        <v>2063</v>
      </c>
      <c r="B1447" s="2" t="n">
        <v>45892</v>
      </c>
      <c r="C1447" s="3" t="s">
        <v>32</v>
      </c>
      <c r="D1447" s="3" t="s">
        <v>29</v>
      </c>
      <c r="E1447" s="3" t="s">
        <v>30</v>
      </c>
      <c r="F1447" s="3" t="s">
        <v>33</v>
      </c>
      <c r="G1447" s="0" t="n">
        <v>17</v>
      </c>
      <c r="H1447" s="4" t="n">
        <v>194.67</v>
      </c>
      <c r="I1447" s="4" t="n">
        <v>128.56</v>
      </c>
      <c r="J1447" s="4" t="n">
        <f aca="false">G1447*H1447</f>
        <v>3309.39</v>
      </c>
      <c r="K1447" s="4" t="n">
        <f aca="false">G1447*I1447</f>
        <v>2185.52</v>
      </c>
      <c r="L1447" s="4" t="n">
        <f aca="false">J1447-K1447</f>
        <v>1123.87</v>
      </c>
    </row>
    <row r="1448" customFormat="false" ht="15" hidden="false" customHeight="false" outlineLevel="0" collapsed="false">
      <c r="A1448" s="0" t="n">
        <v>1426</v>
      </c>
      <c r="B1448" s="2" t="n">
        <v>45893</v>
      </c>
      <c r="C1448" s="3" t="s">
        <v>16</v>
      </c>
      <c r="D1448" s="3" t="s">
        <v>20</v>
      </c>
      <c r="E1448" s="3" t="s">
        <v>21</v>
      </c>
      <c r="F1448" s="3" t="s">
        <v>19</v>
      </c>
      <c r="G1448" s="0" t="n">
        <v>12</v>
      </c>
      <c r="H1448" s="4" t="n">
        <v>90.46</v>
      </c>
      <c r="I1448" s="4" t="n">
        <v>62.05</v>
      </c>
      <c r="J1448" s="4" t="n">
        <f aca="false">G1448*H1448</f>
        <v>1085.52</v>
      </c>
      <c r="K1448" s="4" t="n">
        <f aca="false">G1448*I1448</f>
        <v>744.6</v>
      </c>
      <c r="L1448" s="4" t="n">
        <f aca="false">J1448-K1448</f>
        <v>340.92</v>
      </c>
    </row>
    <row r="1449" customFormat="false" ht="15" hidden="false" customHeight="false" outlineLevel="0" collapsed="false">
      <c r="A1449" s="0" t="n">
        <v>2057</v>
      </c>
      <c r="B1449" s="2" t="n">
        <v>45893</v>
      </c>
      <c r="C1449" s="3" t="s">
        <v>23</v>
      </c>
      <c r="D1449" s="3" t="s">
        <v>29</v>
      </c>
      <c r="E1449" s="3" t="s">
        <v>43</v>
      </c>
      <c r="F1449" s="3" t="s">
        <v>28</v>
      </c>
      <c r="G1449" s="0" t="n">
        <v>14</v>
      </c>
      <c r="H1449" s="4" t="n">
        <v>495.42</v>
      </c>
      <c r="I1449" s="4" t="n">
        <v>347.21</v>
      </c>
      <c r="J1449" s="4" t="n">
        <f aca="false">G1449*H1449</f>
        <v>6935.88</v>
      </c>
      <c r="K1449" s="4" t="n">
        <f aca="false">G1449*I1449</f>
        <v>4860.94</v>
      </c>
      <c r="L1449" s="4" t="n">
        <f aca="false">J1449-K1449</f>
        <v>2074.94</v>
      </c>
    </row>
    <row r="1450" customFormat="false" ht="15" hidden="false" customHeight="false" outlineLevel="0" collapsed="false">
      <c r="A1450" s="0" t="n">
        <v>2653</v>
      </c>
      <c r="B1450" s="2" t="n">
        <v>45893</v>
      </c>
      <c r="C1450" s="3" t="s">
        <v>26</v>
      </c>
      <c r="D1450" s="3" t="s">
        <v>20</v>
      </c>
      <c r="E1450" s="3" t="s">
        <v>42</v>
      </c>
      <c r="F1450" s="3" t="s">
        <v>15</v>
      </c>
      <c r="G1450" s="0" t="n">
        <v>24</v>
      </c>
      <c r="H1450" s="4" t="n">
        <v>117.05</v>
      </c>
      <c r="I1450" s="4" t="n">
        <v>67.12</v>
      </c>
      <c r="J1450" s="4" t="n">
        <f aca="false">G1450*H1450</f>
        <v>2809.2</v>
      </c>
      <c r="K1450" s="4" t="n">
        <f aca="false">G1450*I1450</f>
        <v>1610.88</v>
      </c>
      <c r="L1450" s="4" t="n">
        <f aca="false">J1450-K1450</f>
        <v>1198.32</v>
      </c>
    </row>
    <row r="1451" customFormat="false" ht="15" hidden="false" customHeight="false" outlineLevel="0" collapsed="false">
      <c r="A1451" s="0" t="n">
        <v>1017</v>
      </c>
      <c r="B1451" s="2" t="n">
        <v>45894</v>
      </c>
      <c r="C1451" s="3" t="s">
        <v>16</v>
      </c>
      <c r="D1451" s="3" t="s">
        <v>13</v>
      </c>
      <c r="E1451" s="3" t="s">
        <v>46</v>
      </c>
      <c r="F1451" s="3" t="s">
        <v>39</v>
      </c>
      <c r="G1451" s="0" t="n">
        <v>1</v>
      </c>
      <c r="H1451" s="4" t="n">
        <v>38.97</v>
      </c>
      <c r="I1451" s="4" t="n">
        <v>27.86</v>
      </c>
      <c r="J1451" s="4" t="n">
        <f aca="false">G1451*H1451</f>
        <v>38.97</v>
      </c>
      <c r="K1451" s="4" t="n">
        <f aca="false">G1451*I1451</f>
        <v>27.86</v>
      </c>
      <c r="L1451" s="4" t="n">
        <f aca="false">J1451-K1451</f>
        <v>11.11</v>
      </c>
    </row>
    <row r="1452" customFormat="false" ht="15" hidden="false" customHeight="false" outlineLevel="0" collapsed="false">
      <c r="A1452" s="0" t="n">
        <v>1490</v>
      </c>
      <c r="B1452" s="2" t="n">
        <v>45894</v>
      </c>
      <c r="C1452" s="3" t="s">
        <v>23</v>
      </c>
      <c r="D1452" s="3" t="s">
        <v>20</v>
      </c>
      <c r="E1452" s="3" t="s">
        <v>21</v>
      </c>
      <c r="F1452" s="3" t="s">
        <v>28</v>
      </c>
      <c r="G1452" s="0" t="n">
        <v>6</v>
      </c>
      <c r="H1452" s="4" t="n">
        <v>97.87</v>
      </c>
      <c r="I1452" s="4" t="n">
        <v>64.32</v>
      </c>
      <c r="J1452" s="4" t="n">
        <f aca="false">G1452*H1452</f>
        <v>587.22</v>
      </c>
      <c r="K1452" s="4" t="n">
        <f aca="false">G1452*I1452</f>
        <v>385.92</v>
      </c>
      <c r="L1452" s="4" t="n">
        <f aca="false">J1452-K1452</f>
        <v>201.3</v>
      </c>
    </row>
    <row r="1453" customFormat="false" ht="15" hidden="false" customHeight="false" outlineLevel="0" collapsed="false">
      <c r="A1453" s="0" t="n">
        <v>2021</v>
      </c>
      <c r="B1453" s="2" t="n">
        <v>45894</v>
      </c>
      <c r="C1453" s="3" t="s">
        <v>32</v>
      </c>
      <c r="D1453" s="3" t="s">
        <v>17</v>
      </c>
      <c r="E1453" s="3" t="s">
        <v>44</v>
      </c>
      <c r="F1453" s="3" t="s">
        <v>15</v>
      </c>
      <c r="G1453" s="0" t="n">
        <v>32</v>
      </c>
      <c r="H1453" s="4" t="n">
        <v>346.54</v>
      </c>
      <c r="I1453" s="4" t="n">
        <v>246.4</v>
      </c>
      <c r="J1453" s="4" t="n">
        <f aca="false">G1453*H1453</f>
        <v>11089.28</v>
      </c>
      <c r="K1453" s="4" t="n">
        <f aca="false">G1453*I1453</f>
        <v>7884.8</v>
      </c>
      <c r="L1453" s="4" t="n">
        <f aca="false">J1453-K1453</f>
        <v>3204.48</v>
      </c>
    </row>
    <row r="1454" customFormat="false" ht="15" hidden="false" customHeight="false" outlineLevel="0" collapsed="false">
      <c r="A1454" s="0" t="n">
        <v>2428</v>
      </c>
      <c r="B1454" s="2" t="n">
        <v>45894</v>
      </c>
      <c r="C1454" s="3" t="s">
        <v>23</v>
      </c>
      <c r="D1454" s="3" t="s">
        <v>13</v>
      </c>
      <c r="E1454" s="3" t="s">
        <v>45</v>
      </c>
      <c r="F1454" s="3" t="s">
        <v>33</v>
      </c>
      <c r="G1454" s="0" t="n">
        <v>16</v>
      </c>
      <c r="H1454" s="4" t="n">
        <v>8.33</v>
      </c>
      <c r="I1454" s="4" t="n">
        <v>5.72</v>
      </c>
      <c r="J1454" s="4" t="n">
        <f aca="false">G1454*H1454</f>
        <v>133.28</v>
      </c>
      <c r="K1454" s="4" t="n">
        <f aca="false">G1454*I1454</f>
        <v>91.52</v>
      </c>
      <c r="L1454" s="4" t="n">
        <f aca="false">J1454-K1454</f>
        <v>41.76</v>
      </c>
    </row>
    <row r="1455" customFormat="false" ht="15" hidden="false" customHeight="false" outlineLevel="0" collapsed="false">
      <c r="A1455" s="0" t="n">
        <v>2020</v>
      </c>
      <c r="B1455" s="2" t="n">
        <v>45895</v>
      </c>
      <c r="C1455" s="3" t="s">
        <v>16</v>
      </c>
      <c r="D1455" s="3" t="s">
        <v>17</v>
      </c>
      <c r="E1455" s="3" t="s">
        <v>44</v>
      </c>
      <c r="F1455" s="3" t="s">
        <v>22</v>
      </c>
      <c r="G1455" s="0" t="n">
        <v>38</v>
      </c>
      <c r="H1455" s="4" t="n">
        <v>558.16</v>
      </c>
      <c r="I1455" s="4" t="n">
        <v>303.74</v>
      </c>
      <c r="J1455" s="4" t="n">
        <f aca="false">G1455*H1455</f>
        <v>21210.08</v>
      </c>
      <c r="K1455" s="4" t="n">
        <f aca="false">G1455*I1455</f>
        <v>11542.12</v>
      </c>
      <c r="L1455" s="4" t="n">
        <f aca="false">J1455-K1455</f>
        <v>9667.96</v>
      </c>
    </row>
    <row r="1456" customFormat="false" ht="15" hidden="false" customHeight="false" outlineLevel="0" collapsed="false">
      <c r="A1456" s="0" t="n">
        <v>2309</v>
      </c>
      <c r="B1456" s="2" t="n">
        <v>45895</v>
      </c>
      <c r="C1456" s="3" t="s">
        <v>23</v>
      </c>
      <c r="D1456" s="3" t="s">
        <v>17</v>
      </c>
      <c r="E1456" s="3" t="s">
        <v>18</v>
      </c>
      <c r="F1456" s="3" t="s">
        <v>22</v>
      </c>
      <c r="G1456" s="0" t="n">
        <v>32</v>
      </c>
      <c r="H1456" s="4" t="n">
        <v>328.49</v>
      </c>
      <c r="I1456" s="4" t="n">
        <v>195.76</v>
      </c>
      <c r="J1456" s="4" t="n">
        <f aca="false">G1456*H1456</f>
        <v>10511.68</v>
      </c>
      <c r="K1456" s="4" t="n">
        <f aca="false">G1456*I1456</f>
        <v>6264.32</v>
      </c>
      <c r="L1456" s="4" t="n">
        <f aca="false">J1456-K1456</f>
        <v>4247.36</v>
      </c>
    </row>
    <row r="1457" customFormat="false" ht="15" hidden="false" customHeight="false" outlineLevel="0" collapsed="false">
      <c r="A1457" s="0" t="n">
        <v>2166</v>
      </c>
      <c r="B1457" s="2" t="n">
        <v>45896</v>
      </c>
      <c r="C1457" s="3" t="s">
        <v>16</v>
      </c>
      <c r="D1457" s="3" t="s">
        <v>29</v>
      </c>
      <c r="E1457" s="3" t="s">
        <v>37</v>
      </c>
      <c r="F1457" s="3" t="s">
        <v>33</v>
      </c>
      <c r="G1457" s="0" t="n">
        <v>28</v>
      </c>
      <c r="H1457" s="4" t="n">
        <v>389.29</v>
      </c>
      <c r="I1457" s="4" t="n">
        <v>267.44</v>
      </c>
      <c r="J1457" s="4" t="n">
        <f aca="false">G1457*H1457</f>
        <v>10900.12</v>
      </c>
      <c r="K1457" s="4" t="n">
        <f aca="false">G1457*I1457</f>
        <v>7488.32</v>
      </c>
      <c r="L1457" s="4" t="n">
        <f aca="false">J1457-K1457</f>
        <v>3411.8</v>
      </c>
    </row>
    <row r="1458" customFormat="false" ht="15" hidden="false" customHeight="false" outlineLevel="0" collapsed="false">
      <c r="A1458" s="0" t="n">
        <v>2000</v>
      </c>
      <c r="B1458" s="2" t="n">
        <v>45897</v>
      </c>
      <c r="C1458" s="3" t="s">
        <v>12</v>
      </c>
      <c r="D1458" s="3" t="s">
        <v>17</v>
      </c>
      <c r="E1458" s="3" t="s">
        <v>40</v>
      </c>
      <c r="F1458" s="3" t="s">
        <v>36</v>
      </c>
      <c r="G1458" s="0" t="n">
        <v>28</v>
      </c>
      <c r="H1458" s="4" t="n">
        <v>717.39</v>
      </c>
      <c r="I1458" s="4" t="n">
        <v>457.93</v>
      </c>
      <c r="J1458" s="4" t="n">
        <f aca="false">G1458*H1458</f>
        <v>20086.92</v>
      </c>
      <c r="K1458" s="4" t="n">
        <f aca="false">G1458*I1458</f>
        <v>12822.04</v>
      </c>
      <c r="L1458" s="4" t="n">
        <f aca="false">J1458-K1458</f>
        <v>7264.88</v>
      </c>
    </row>
    <row r="1459" customFormat="false" ht="15" hidden="false" customHeight="false" outlineLevel="0" collapsed="false">
      <c r="A1459" s="0" t="n">
        <v>2213</v>
      </c>
      <c r="B1459" s="2" t="n">
        <v>45897</v>
      </c>
      <c r="C1459" s="3" t="s">
        <v>26</v>
      </c>
      <c r="D1459" s="3" t="s">
        <v>17</v>
      </c>
      <c r="E1459" s="3" t="s">
        <v>40</v>
      </c>
      <c r="F1459" s="3" t="s">
        <v>36</v>
      </c>
      <c r="G1459" s="0" t="n">
        <v>35</v>
      </c>
      <c r="H1459" s="4" t="n">
        <v>600.29</v>
      </c>
      <c r="I1459" s="4" t="n">
        <v>344.11</v>
      </c>
      <c r="J1459" s="4" t="n">
        <f aca="false">G1459*H1459</f>
        <v>21010.15</v>
      </c>
      <c r="K1459" s="4" t="n">
        <f aca="false">G1459*I1459</f>
        <v>12043.85</v>
      </c>
      <c r="L1459" s="4" t="n">
        <f aca="false">J1459-K1459</f>
        <v>8966.3</v>
      </c>
    </row>
    <row r="1460" customFormat="false" ht="15" hidden="false" customHeight="false" outlineLevel="0" collapsed="false">
      <c r="A1460" s="0" t="n">
        <v>1161</v>
      </c>
      <c r="B1460" s="2" t="n">
        <v>45898</v>
      </c>
      <c r="C1460" s="3" t="s">
        <v>16</v>
      </c>
      <c r="D1460" s="3" t="s">
        <v>13</v>
      </c>
      <c r="E1460" s="3" t="s">
        <v>24</v>
      </c>
      <c r="F1460" s="3" t="s">
        <v>33</v>
      </c>
      <c r="G1460" s="0" t="n">
        <v>37</v>
      </c>
      <c r="H1460" s="4" t="n">
        <v>52.24</v>
      </c>
      <c r="I1460" s="4" t="n">
        <v>36.19</v>
      </c>
      <c r="J1460" s="4" t="n">
        <f aca="false">G1460*H1460</f>
        <v>1932.88</v>
      </c>
      <c r="K1460" s="4" t="n">
        <f aca="false">G1460*I1460</f>
        <v>1339.03</v>
      </c>
      <c r="L1460" s="4" t="n">
        <f aca="false">J1460-K1460</f>
        <v>593.85</v>
      </c>
    </row>
    <row r="1461" customFormat="false" ht="15" hidden="false" customHeight="false" outlineLevel="0" collapsed="false">
      <c r="A1461" s="0" t="n">
        <v>1391</v>
      </c>
      <c r="B1461" s="2" t="n">
        <v>45898</v>
      </c>
      <c r="C1461" s="3" t="s">
        <v>12</v>
      </c>
      <c r="D1461" s="3" t="s">
        <v>13</v>
      </c>
      <c r="E1461" s="3" t="s">
        <v>46</v>
      </c>
      <c r="F1461" s="3" t="s">
        <v>22</v>
      </c>
      <c r="G1461" s="0" t="n">
        <v>37</v>
      </c>
      <c r="H1461" s="4" t="n">
        <v>12.48</v>
      </c>
      <c r="I1461" s="4" t="n">
        <v>7.51</v>
      </c>
      <c r="J1461" s="4" t="n">
        <f aca="false">G1461*H1461</f>
        <v>461.76</v>
      </c>
      <c r="K1461" s="4" t="n">
        <f aca="false">G1461*I1461</f>
        <v>277.87</v>
      </c>
      <c r="L1461" s="4" t="n">
        <f aca="false">J1461-K1461</f>
        <v>183.89</v>
      </c>
    </row>
    <row r="1462" customFormat="false" ht="15" hidden="false" customHeight="false" outlineLevel="0" collapsed="false">
      <c r="A1462" s="0" t="n">
        <v>1560</v>
      </c>
      <c r="B1462" s="2" t="n">
        <v>45898</v>
      </c>
      <c r="C1462" s="3" t="s">
        <v>16</v>
      </c>
      <c r="D1462" s="3" t="s">
        <v>29</v>
      </c>
      <c r="E1462" s="3" t="s">
        <v>41</v>
      </c>
      <c r="F1462" s="3" t="s">
        <v>39</v>
      </c>
      <c r="G1462" s="0" t="n">
        <v>21</v>
      </c>
      <c r="H1462" s="4" t="n">
        <v>175.67</v>
      </c>
      <c r="I1462" s="4" t="n">
        <v>105.96</v>
      </c>
      <c r="J1462" s="4" t="n">
        <f aca="false">G1462*H1462</f>
        <v>3689.07</v>
      </c>
      <c r="K1462" s="4" t="n">
        <f aca="false">G1462*I1462</f>
        <v>2225.16</v>
      </c>
      <c r="L1462" s="4" t="n">
        <f aca="false">J1462-K1462</f>
        <v>1463.91</v>
      </c>
    </row>
    <row r="1463" customFormat="false" ht="15" hidden="false" customHeight="false" outlineLevel="0" collapsed="false">
      <c r="A1463" s="0" t="n">
        <v>2258</v>
      </c>
      <c r="B1463" s="2" t="n">
        <v>45898</v>
      </c>
      <c r="C1463" s="3" t="s">
        <v>32</v>
      </c>
      <c r="D1463" s="3" t="s">
        <v>20</v>
      </c>
      <c r="E1463" s="3" t="s">
        <v>38</v>
      </c>
      <c r="F1463" s="3" t="s">
        <v>39</v>
      </c>
      <c r="G1463" s="0" t="n">
        <v>28</v>
      </c>
      <c r="H1463" s="4" t="n">
        <v>21.96</v>
      </c>
      <c r="I1463" s="4" t="n">
        <v>15.87</v>
      </c>
      <c r="J1463" s="4" t="n">
        <f aca="false">G1463*H1463</f>
        <v>614.88</v>
      </c>
      <c r="K1463" s="4" t="n">
        <f aca="false">G1463*I1463</f>
        <v>444.36</v>
      </c>
      <c r="L1463" s="4" t="n">
        <f aca="false">J1463-K1463</f>
        <v>170.52</v>
      </c>
    </row>
    <row r="1464" customFormat="false" ht="15" hidden="false" customHeight="false" outlineLevel="0" collapsed="false">
      <c r="A1464" s="0" t="n">
        <v>1727</v>
      </c>
      <c r="B1464" s="2" t="n">
        <v>45899</v>
      </c>
      <c r="C1464" s="3" t="s">
        <v>12</v>
      </c>
      <c r="D1464" s="3" t="s">
        <v>13</v>
      </c>
      <c r="E1464" s="3" t="s">
        <v>46</v>
      </c>
      <c r="F1464" s="3" t="s">
        <v>15</v>
      </c>
      <c r="G1464" s="0" t="n">
        <v>23</v>
      </c>
      <c r="H1464" s="4" t="n">
        <v>44.3</v>
      </c>
      <c r="I1464" s="4" t="n">
        <v>30.98</v>
      </c>
      <c r="J1464" s="4" t="n">
        <f aca="false">G1464*H1464</f>
        <v>1018.9</v>
      </c>
      <c r="K1464" s="4" t="n">
        <f aca="false">G1464*I1464</f>
        <v>712.54</v>
      </c>
      <c r="L1464" s="4" t="n">
        <f aca="false">J1464-K1464</f>
        <v>306.36</v>
      </c>
    </row>
    <row r="1465" customFormat="false" ht="15" hidden="false" customHeight="false" outlineLevel="0" collapsed="false">
      <c r="A1465" s="0" t="n">
        <v>1482</v>
      </c>
      <c r="B1465" s="2" t="n">
        <v>45900</v>
      </c>
      <c r="C1465" s="3" t="s">
        <v>16</v>
      </c>
      <c r="D1465" s="3" t="s">
        <v>17</v>
      </c>
      <c r="E1465" s="3" t="s">
        <v>35</v>
      </c>
      <c r="F1465" s="3" t="s">
        <v>25</v>
      </c>
      <c r="G1465" s="0" t="n">
        <v>29</v>
      </c>
      <c r="H1465" s="4" t="n">
        <v>443.8</v>
      </c>
      <c r="I1465" s="4" t="n">
        <v>281.58</v>
      </c>
      <c r="J1465" s="4" t="n">
        <f aca="false">G1465*H1465</f>
        <v>12870.2</v>
      </c>
      <c r="K1465" s="4" t="n">
        <f aca="false">G1465*I1465</f>
        <v>8165.82</v>
      </c>
      <c r="L1465" s="4" t="n">
        <f aca="false">J1465-K1465</f>
        <v>4704.38</v>
      </c>
    </row>
    <row r="1466" customFormat="false" ht="15" hidden="false" customHeight="false" outlineLevel="0" collapsed="false">
      <c r="A1466" s="0" t="n">
        <v>1506</v>
      </c>
      <c r="B1466" s="2" t="n">
        <v>45900</v>
      </c>
      <c r="C1466" s="3" t="s">
        <v>26</v>
      </c>
      <c r="D1466" s="3" t="s">
        <v>29</v>
      </c>
      <c r="E1466" s="3" t="s">
        <v>41</v>
      </c>
      <c r="F1466" s="3" t="s">
        <v>22</v>
      </c>
      <c r="G1466" s="0" t="n">
        <v>7</v>
      </c>
      <c r="H1466" s="4" t="n">
        <v>211.24</v>
      </c>
      <c r="I1466" s="4" t="n">
        <v>122.1</v>
      </c>
      <c r="J1466" s="4" t="n">
        <f aca="false">G1466*H1466</f>
        <v>1478.68</v>
      </c>
      <c r="K1466" s="4" t="n">
        <f aca="false">G1466*I1466</f>
        <v>854.7</v>
      </c>
      <c r="L1466" s="4" t="n">
        <f aca="false">J1466-K1466</f>
        <v>623.98</v>
      </c>
    </row>
    <row r="1467" customFormat="false" ht="15" hidden="false" customHeight="false" outlineLevel="0" collapsed="false">
      <c r="A1467" s="0" t="n">
        <v>1657</v>
      </c>
      <c r="B1467" s="2" t="n">
        <v>45900</v>
      </c>
      <c r="C1467" s="3" t="s">
        <v>26</v>
      </c>
      <c r="D1467" s="3" t="s">
        <v>29</v>
      </c>
      <c r="E1467" s="3" t="s">
        <v>30</v>
      </c>
      <c r="F1467" s="3" t="s">
        <v>28</v>
      </c>
      <c r="G1467" s="0" t="n">
        <v>21</v>
      </c>
      <c r="H1467" s="4" t="n">
        <v>460.89</v>
      </c>
      <c r="I1467" s="4" t="n">
        <v>245.35</v>
      </c>
      <c r="J1467" s="4" t="n">
        <f aca="false">G1467*H1467</f>
        <v>9678.69</v>
      </c>
      <c r="K1467" s="4" t="n">
        <f aca="false">G1467*I1467</f>
        <v>5152.35</v>
      </c>
      <c r="L1467" s="4" t="n">
        <f aca="false">J1467-K1467</f>
        <v>4526.34</v>
      </c>
    </row>
    <row r="1468" customFormat="false" ht="15" hidden="false" customHeight="false" outlineLevel="0" collapsed="false">
      <c r="A1468" s="0" t="n">
        <v>2719</v>
      </c>
      <c r="B1468" s="2" t="n">
        <v>45900</v>
      </c>
      <c r="C1468" s="3" t="s">
        <v>16</v>
      </c>
      <c r="D1468" s="3" t="s">
        <v>20</v>
      </c>
      <c r="E1468" s="3" t="s">
        <v>42</v>
      </c>
      <c r="F1468" s="3" t="s">
        <v>36</v>
      </c>
      <c r="G1468" s="0" t="n">
        <v>14</v>
      </c>
      <c r="H1468" s="4" t="n">
        <v>99.95</v>
      </c>
      <c r="I1468" s="4" t="n">
        <v>50.53</v>
      </c>
      <c r="J1468" s="4" t="n">
        <f aca="false">G1468*H1468</f>
        <v>1399.3</v>
      </c>
      <c r="K1468" s="4" t="n">
        <f aca="false">G1468*I1468</f>
        <v>707.42</v>
      </c>
      <c r="L1468" s="4" t="n">
        <f aca="false">J1468-K1468</f>
        <v>691.88</v>
      </c>
    </row>
    <row r="1469" customFormat="false" ht="15" hidden="false" customHeight="false" outlineLevel="0" collapsed="false">
      <c r="A1469" s="0" t="n">
        <v>1780</v>
      </c>
      <c r="B1469" s="2" t="n">
        <v>45901</v>
      </c>
      <c r="C1469" s="3" t="s">
        <v>16</v>
      </c>
      <c r="D1469" s="3" t="s">
        <v>13</v>
      </c>
      <c r="E1469" s="3" t="s">
        <v>46</v>
      </c>
      <c r="F1469" s="3" t="s">
        <v>19</v>
      </c>
      <c r="G1469" s="0" t="n">
        <v>17</v>
      </c>
      <c r="H1469" s="4" t="n">
        <v>20.43</v>
      </c>
      <c r="I1469" s="4" t="n">
        <v>12.67</v>
      </c>
      <c r="J1469" s="4" t="n">
        <f aca="false">G1469*H1469</f>
        <v>347.31</v>
      </c>
      <c r="K1469" s="4" t="n">
        <f aca="false">G1469*I1469</f>
        <v>215.39</v>
      </c>
      <c r="L1469" s="4" t="n">
        <f aca="false">J1469-K1469</f>
        <v>131.92</v>
      </c>
    </row>
    <row r="1470" customFormat="false" ht="15" hidden="false" customHeight="false" outlineLevel="0" collapsed="false">
      <c r="A1470" s="0" t="n">
        <v>1011</v>
      </c>
      <c r="B1470" s="2" t="n">
        <v>45902</v>
      </c>
      <c r="C1470" s="3" t="s">
        <v>26</v>
      </c>
      <c r="D1470" s="3" t="s">
        <v>20</v>
      </c>
      <c r="E1470" s="3" t="s">
        <v>21</v>
      </c>
      <c r="F1470" s="3" t="s">
        <v>28</v>
      </c>
      <c r="G1470" s="0" t="n">
        <v>34</v>
      </c>
      <c r="H1470" s="4" t="n">
        <v>210.48</v>
      </c>
      <c r="I1470" s="4" t="n">
        <v>111.27</v>
      </c>
      <c r="J1470" s="4" t="n">
        <f aca="false">G1470*H1470</f>
        <v>7156.32</v>
      </c>
      <c r="K1470" s="4" t="n">
        <f aca="false">G1470*I1470</f>
        <v>3783.18</v>
      </c>
      <c r="L1470" s="4" t="n">
        <f aca="false">J1470-K1470</f>
        <v>3373.14</v>
      </c>
    </row>
    <row r="1471" customFormat="false" ht="15" hidden="false" customHeight="false" outlineLevel="0" collapsed="false">
      <c r="A1471" s="0" t="n">
        <v>1240</v>
      </c>
      <c r="B1471" s="2" t="n">
        <v>45902</v>
      </c>
      <c r="C1471" s="3" t="s">
        <v>12</v>
      </c>
      <c r="D1471" s="3" t="s">
        <v>20</v>
      </c>
      <c r="E1471" s="3" t="s">
        <v>21</v>
      </c>
      <c r="F1471" s="3" t="s">
        <v>19</v>
      </c>
      <c r="G1471" s="0" t="n">
        <v>32</v>
      </c>
      <c r="H1471" s="4" t="n">
        <v>299.97</v>
      </c>
      <c r="I1471" s="4" t="n">
        <v>191.6</v>
      </c>
      <c r="J1471" s="4" t="n">
        <f aca="false">G1471*H1471</f>
        <v>9599.04</v>
      </c>
      <c r="K1471" s="4" t="n">
        <f aca="false">G1471*I1471</f>
        <v>6131.2</v>
      </c>
      <c r="L1471" s="4" t="n">
        <f aca="false">J1471-K1471</f>
        <v>3467.84</v>
      </c>
    </row>
    <row r="1472" customFormat="false" ht="15" hidden="false" customHeight="false" outlineLevel="0" collapsed="false">
      <c r="A1472" s="0" t="n">
        <v>2546</v>
      </c>
      <c r="B1472" s="2" t="n">
        <v>45902</v>
      </c>
      <c r="C1472" s="3" t="s">
        <v>23</v>
      </c>
      <c r="D1472" s="3" t="s">
        <v>20</v>
      </c>
      <c r="E1472" s="3" t="s">
        <v>42</v>
      </c>
      <c r="F1472" s="3" t="s">
        <v>39</v>
      </c>
      <c r="G1472" s="0" t="n">
        <v>32</v>
      </c>
      <c r="H1472" s="4" t="n">
        <v>286.35</v>
      </c>
      <c r="I1472" s="4" t="n">
        <v>210.88</v>
      </c>
      <c r="J1472" s="4" t="n">
        <f aca="false">G1472*H1472</f>
        <v>9163.2</v>
      </c>
      <c r="K1472" s="4" t="n">
        <f aca="false">G1472*I1472</f>
        <v>6748.16</v>
      </c>
      <c r="L1472" s="4" t="n">
        <f aca="false">J1472-K1472</f>
        <v>2415.04</v>
      </c>
    </row>
    <row r="1473" customFormat="false" ht="15" hidden="false" customHeight="false" outlineLevel="0" collapsed="false">
      <c r="A1473" s="0" t="n">
        <v>1108</v>
      </c>
      <c r="B1473" s="2" t="n">
        <v>45903</v>
      </c>
      <c r="C1473" s="3" t="s">
        <v>16</v>
      </c>
      <c r="D1473" s="3" t="s">
        <v>29</v>
      </c>
      <c r="E1473" s="3" t="s">
        <v>41</v>
      </c>
      <c r="F1473" s="3" t="s">
        <v>36</v>
      </c>
      <c r="G1473" s="0" t="n">
        <v>7</v>
      </c>
      <c r="H1473" s="4" t="n">
        <v>354.98</v>
      </c>
      <c r="I1473" s="4" t="n">
        <v>226.42</v>
      </c>
      <c r="J1473" s="4" t="n">
        <f aca="false">G1473*H1473</f>
        <v>2484.86</v>
      </c>
      <c r="K1473" s="4" t="n">
        <f aca="false">G1473*I1473</f>
        <v>1584.94</v>
      </c>
      <c r="L1473" s="4" t="n">
        <f aca="false">J1473-K1473</f>
        <v>899.92</v>
      </c>
    </row>
    <row r="1474" customFormat="false" ht="15" hidden="false" customHeight="false" outlineLevel="0" collapsed="false">
      <c r="A1474" s="0" t="n">
        <v>1238</v>
      </c>
      <c r="B1474" s="2" t="n">
        <v>45903</v>
      </c>
      <c r="C1474" s="3" t="s">
        <v>23</v>
      </c>
      <c r="D1474" s="3" t="s">
        <v>20</v>
      </c>
      <c r="E1474" s="3" t="s">
        <v>42</v>
      </c>
      <c r="F1474" s="3" t="s">
        <v>33</v>
      </c>
      <c r="G1474" s="0" t="n">
        <v>23</v>
      </c>
      <c r="H1474" s="4" t="n">
        <v>217.68</v>
      </c>
      <c r="I1474" s="4" t="n">
        <v>125.03</v>
      </c>
      <c r="J1474" s="4" t="n">
        <f aca="false">G1474*H1474</f>
        <v>5006.64</v>
      </c>
      <c r="K1474" s="4" t="n">
        <f aca="false">G1474*I1474</f>
        <v>2875.69</v>
      </c>
      <c r="L1474" s="4" t="n">
        <f aca="false">J1474-K1474</f>
        <v>2130.95</v>
      </c>
    </row>
    <row r="1475" customFormat="false" ht="15" hidden="false" customHeight="false" outlineLevel="0" collapsed="false">
      <c r="A1475" s="0" t="n">
        <v>2162</v>
      </c>
      <c r="B1475" s="2" t="n">
        <v>45904</v>
      </c>
      <c r="C1475" s="3" t="s">
        <v>16</v>
      </c>
      <c r="D1475" s="3" t="s">
        <v>13</v>
      </c>
      <c r="E1475" s="3" t="s">
        <v>24</v>
      </c>
      <c r="F1475" s="3" t="s">
        <v>25</v>
      </c>
      <c r="G1475" s="0" t="n">
        <v>1</v>
      </c>
      <c r="H1475" s="4" t="n">
        <v>15.69</v>
      </c>
      <c r="I1475" s="4" t="n">
        <v>11.64</v>
      </c>
      <c r="J1475" s="4" t="n">
        <f aca="false">G1475*H1475</f>
        <v>15.69</v>
      </c>
      <c r="K1475" s="4" t="n">
        <f aca="false">G1475*I1475</f>
        <v>11.64</v>
      </c>
      <c r="L1475" s="4" t="n">
        <f aca="false">J1475-K1475</f>
        <v>4.05</v>
      </c>
    </row>
    <row r="1476" customFormat="false" ht="15" hidden="false" customHeight="false" outlineLevel="0" collapsed="false">
      <c r="A1476" s="0" t="n">
        <v>2333</v>
      </c>
      <c r="B1476" s="2" t="n">
        <v>45904</v>
      </c>
      <c r="C1476" s="3" t="s">
        <v>32</v>
      </c>
      <c r="D1476" s="3" t="s">
        <v>13</v>
      </c>
      <c r="E1476" s="3" t="s">
        <v>14</v>
      </c>
      <c r="F1476" s="3" t="s">
        <v>33</v>
      </c>
      <c r="G1476" s="0" t="n">
        <v>16</v>
      </c>
      <c r="H1476" s="4" t="n">
        <v>43.87</v>
      </c>
      <c r="I1476" s="4" t="n">
        <v>25.68</v>
      </c>
      <c r="J1476" s="4" t="n">
        <f aca="false">G1476*H1476</f>
        <v>701.92</v>
      </c>
      <c r="K1476" s="4" t="n">
        <f aca="false">G1476*I1476</f>
        <v>410.88</v>
      </c>
      <c r="L1476" s="4" t="n">
        <f aca="false">J1476-K1476</f>
        <v>291.04</v>
      </c>
    </row>
    <row r="1477" customFormat="false" ht="15" hidden="false" customHeight="false" outlineLevel="0" collapsed="false">
      <c r="A1477" s="0" t="n">
        <v>2360</v>
      </c>
      <c r="B1477" s="2" t="n">
        <v>45904</v>
      </c>
      <c r="C1477" s="3" t="s">
        <v>32</v>
      </c>
      <c r="D1477" s="3" t="s">
        <v>29</v>
      </c>
      <c r="E1477" s="3" t="s">
        <v>41</v>
      </c>
      <c r="F1477" s="3" t="s">
        <v>22</v>
      </c>
      <c r="G1477" s="0" t="n">
        <v>31</v>
      </c>
      <c r="H1477" s="4" t="n">
        <v>210.34</v>
      </c>
      <c r="I1477" s="4" t="n">
        <v>105.75</v>
      </c>
      <c r="J1477" s="4" t="n">
        <f aca="false">G1477*H1477</f>
        <v>6520.54</v>
      </c>
      <c r="K1477" s="4" t="n">
        <f aca="false">G1477*I1477</f>
        <v>3278.25</v>
      </c>
      <c r="L1477" s="4" t="n">
        <f aca="false">J1477-K1477</f>
        <v>3242.29</v>
      </c>
    </row>
    <row r="1478" customFormat="false" ht="15" hidden="false" customHeight="false" outlineLevel="0" collapsed="false">
      <c r="A1478" s="0" t="n">
        <v>2373</v>
      </c>
      <c r="B1478" s="2" t="n">
        <v>45904</v>
      </c>
      <c r="C1478" s="3" t="s">
        <v>32</v>
      </c>
      <c r="D1478" s="3" t="s">
        <v>20</v>
      </c>
      <c r="E1478" s="3" t="s">
        <v>42</v>
      </c>
      <c r="F1478" s="3" t="s">
        <v>25</v>
      </c>
      <c r="G1478" s="0" t="n">
        <v>6</v>
      </c>
      <c r="H1478" s="4" t="n">
        <v>139.99</v>
      </c>
      <c r="I1478" s="4" t="n">
        <v>101.37</v>
      </c>
      <c r="J1478" s="4" t="n">
        <f aca="false">G1478*H1478</f>
        <v>839.94</v>
      </c>
      <c r="K1478" s="4" t="n">
        <f aca="false">G1478*I1478</f>
        <v>608.22</v>
      </c>
      <c r="L1478" s="4" t="n">
        <f aca="false">J1478-K1478</f>
        <v>231.72</v>
      </c>
    </row>
    <row r="1479" customFormat="false" ht="15" hidden="false" customHeight="false" outlineLevel="0" collapsed="false">
      <c r="A1479" s="0" t="n">
        <v>1014</v>
      </c>
      <c r="B1479" s="2" t="n">
        <v>45905</v>
      </c>
      <c r="C1479" s="3" t="s">
        <v>32</v>
      </c>
      <c r="D1479" s="3" t="s">
        <v>20</v>
      </c>
      <c r="E1479" s="3" t="s">
        <v>42</v>
      </c>
      <c r="F1479" s="3" t="s">
        <v>25</v>
      </c>
      <c r="G1479" s="0" t="n">
        <v>24</v>
      </c>
      <c r="H1479" s="4" t="n">
        <v>36.22</v>
      </c>
      <c r="I1479" s="4" t="n">
        <v>26.06</v>
      </c>
      <c r="J1479" s="4" t="n">
        <f aca="false">G1479*H1479</f>
        <v>869.28</v>
      </c>
      <c r="K1479" s="4" t="n">
        <f aca="false">G1479*I1479</f>
        <v>625.44</v>
      </c>
      <c r="L1479" s="4" t="n">
        <f aca="false">J1479-K1479</f>
        <v>243.84</v>
      </c>
    </row>
    <row r="1480" customFormat="false" ht="15" hidden="false" customHeight="false" outlineLevel="0" collapsed="false">
      <c r="A1480" s="0" t="n">
        <v>1595</v>
      </c>
      <c r="B1480" s="2" t="n">
        <v>45905</v>
      </c>
      <c r="C1480" s="3" t="s">
        <v>12</v>
      </c>
      <c r="D1480" s="3" t="s">
        <v>29</v>
      </c>
      <c r="E1480" s="3" t="s">
        <v>43</v>
      </c>
      <c r="F1480" s="3" t="s">
        <v>15</v>
      </c>
      <c r="G1480" s="0" t="n">
        <v>18</v>
      </c>
      <c r="H1480" s="4" t="n">
        <v>120.25</v>
      </c>
      <c r="I1480" s="4" t="n">
        <v>84.88</v>
      </c>
      <c r="J1480" s="4" t="n">
        <f aca="false">G1480*H1480</f>
        <v>2164.5</v>
      </c>
      <c r="K1480" s="4" t="n">
        <f aca="false">G1480*I1480</f>
        <v>1527.84</v>
      </c>
      <c r="L1480" s="4" t="n">
        <f aca="false">J1480-K1480</f>
        <v>636.66</v>
      </c>
    </row>
    <row r="1481" customFormat="false" ht="15" hidden="false" customHeight="false" outlineLevel="0" collapsed="false">
      <c r="A1481" s="0" t="n">
        <v>1854</v>
      </c>
      <c r="B1481" s="2" t="n">
        <v>45905</v>
      </c>
      <c r="C1481" s="3" t="s">
        <v>32</v>
      </c>
      <c r="D1481" s="3" t="s">
        <v>13</v>
      </c>
      <c r="E1481" s="3" t="s">
        <v>31</v>
      </c>
      <c r="F1481" s="3" t="s">
        <v>22</v>
      </c>
      <c r="G1481" s="0" t="n">
        <v>37</v>
      </c>
      <c r="H1481" s="4" t="n">
        <v>58.43</v>
      </c>
      <c r="I1481" s="4" t="n">
        <v>36.45</v>
      </c>
      <c r="J1481" s="4" t="n">
        <f aca="false">G1481*H1481</f>
        <v>2161.91</v>
      </c>
      <c r="K1481" s="4" t="n">
        <f aca="false">G1481*I1481</f>
        <v>1348.65</v>
      </c>
      <c r="L1481" s="4" t="n">
        <f aca="false">J1481-K1481</f>
        <v>813.26</v>
      </c>
    </row>
    <row r="1482" customFormat="false" ht="15" hidden="false" customHeight="false" outlineLevel="0" collapsed="false">
      <c r="A1482" s="0" t="n">
        <v>2048</v>
      </c>
      <c r="B1482" s="2" t="n">
        <v>45905</v>
      </c>
      <c r="C1482" s="3" t="s">
        <v>23</v>
      </c>
      <c r="D1482" s="3" t="s">
        <v>17</v>
      </c>
      <c r="E1482" s="3" t="s">
        <v>40</v>
      </c>
      <c r="F1482" s="3" t="s">
        <v>39</v>
      </c>
      <c r="G1482" s="0" t="n">
        <v>36</v>
      </c>
      <c r="H1482" s="4" t="n">
        <v>727.54</v>
      </c>
      <c r="I1482" s="4" t="n">
        <v>422.31</v>
      </c>
      <c r="J1482" s="4" t="n">
        <f aca="false">G1482*H1482</f>
        <v>26191.44</v>
      </c>
      <c r="K1482" s="4" t="n">
        <f aca="false">G1482*I1482</f>
        <v>15203.16</v>
      </c>
      <c r="L1482" s="4" t="n">
        <f aca="false">J1482-K1482</f>
        <v>10988.28</v>
      </c>
    </row>
    <row r="1483" customFormat="false" ht="15" hidden="false" customHeight="false" outlineLevel="0" collapsed="false">
      <c r="A1483" s="0" t="n">
        <v>2093</v>
      </c>
      <c r="B1483" s="2" t="n">
        <v>45905</v>
      </c>
      <c r="C1483" s="3" t="s">
        <v>32</v>
      </c>
      <c r="D1483" s="3" t="s">
        <v>29</v>
      </c>
      <c r="E1483" s="3" t="s">
        <v>41</v>
      </c>
      <c r="F1483" s="3" t="s">
        <v>33</v>
      </c>
      <c r="G1483" s="0" t="n">
        <v>19</v>
      </c>
      <c r="H1483" s="4" t="n">
        <v>192.24</v>
      </c>
      <c r="I1483" s="4" t="n">
        <v>116.16</v>
      </c>
      <c r="J1483" s="4" t="n">
        <f aca="false">G1483*H1483</f>
        <v>3652.56</v>
      </c>
      <c r="K1483" s="4" t="n">
        <f aca="false">G1483*I1483</f>
        <v>2207.04</v>
      </c>
      <c r="L1483" s="4" t="n">
        <f aca="false">J1483-K1483</f>
        <v>1445.52</v>
      </c>
    </row>
    <row r="1484" customFormat="false" ht="15" hidden="false" customHeight="false" outlineLevel="0" collapsed="false">
      <c r="A1484" s="0" t="n">
        <v>1323</v>
      </c>
      <c r="B1484" s="2" t="n">
        <v>45906</v>
      </c>
      <c r="C1484" s="3" t="s">
        <v>23</v>
      </c>
      <c r="D1484" s="3" t="s">
        <v>29</v>
      </c>
      <c r="E1484" s="3" t="s">
        <v>37</v>
      </c>
      <c r="F1484" s="3" t="s">
        <v>22</v>
      </c>
      <c r="G1484" s="0" t="n">
        <v>32</v>
      </c>
      <c r="H1484" s="4" t="n">
        <v>255.8</v>
      </c>
      <c r="I1484" s="4" t="n">
        <v>130.16</v>
      </c>
      <c r="J1484" s="4" t="n">
        <f aca="false">G1484*H1484</f>
        <v>8185.6</v>
      </c>
      <c r="K1484" s="4" t="n">
        <f aca="false">G1484*I1484</f>
        <v>4165.12</v>
      </c>
      <c r="L1484" s="4" t="n">
        <f aca="false">J1484-K1484</f>
        <v>4020.48</v>
      </c>
    </row>
    <row r="1485" customFormat="false" ht="15" hidden="false" customHeight="false" outlineLevel="0" collapsed="false">
      <c r="A1485" s="0" t="n">
        <v>1606</v>
      </c>
      <c r="B1485" s="2" t="n">
        <v>45906</v>
      </c>
      <c r="C1485" s="3" t="s">
        <v>32</v>
      </c>
      <c r="D1485" s="3" t="s">
        <v>20</v>
      </c>
      <c r="E1485" s="3" t="s">
        <v>34</v>
      </c>
      <c r="F1485" s="3" t="s">
        <v>36</v>
      </c>
      <c r="G1485" s="0" t="n">
        <v>19</v>
      </c>
      <c r="H1485" s="4" t="n">
        <v>270.53</v>
      </c>
      <c r="I1485" s="4" t="n">
        <v>189.54</v>
      </c>
      <c r="J1485" s="4" t="n">
        <f aca="false">G1485*H1485</f>
        <v>5140.07</v>
      </c>
      <c r="K1485" s="4" t="n">
        <f aca="false">G1485*I1485</f>
        <v>3601.26</v>
      </c>
      <c r="L1485" s="4" t="n">
        <f aca="false">J1485-K1485</f>
        <v>1538.81</v>
      </c>
    </row>
    <row r="1486" customFormat="false" ht="15" hidden="false" customHeight="false" outlineLevel="0" collapsed="false">
      <c r="A1486" s="0" t="n">
        <v>1912</v>
      </c>
      <c r="B1486" s="2" t="n">
        <v>45906</v>
      </c>
      <c r="C1486" s="3" t="s">
        <v>32</v>
      </c>
      <c r="D1486" s="3" t="s">
        <v>29</v>
      </c>
      <c r="E1486" s="3" t="s">
        <v>37</v>
      </c>
      <c r="F1486" s="3" t="s">
        <v>36</v>
      </c>
      <c r="G1486" s="0" t="n">
        <v>16</v>
      </c>
      <c r="H1486" s="4" t="n">
        <v>338.83</v>
      </c>
      <c r="I1486" s="4" t="n">
        <v>173.78</v>
      </c>
      <c r="J1486" s="4" t="n">
        <f aca="false">G1486*H1486</f>
        <v>5421.28</v>
      </c>
      <c r="K1486" s="4" t="n">
        <f aca="false">G1486*I1486</f>
        <v>2780.48</v>
      </c>
      <c r="L1486" s="4" t="n">
        <f aca="false">J1486-K1486</f>
        <v>2640.8</v>
      </c>
    </row>
    <row r="1487" customFormat="false" ht="15" hidden="false" customHeight="false" outlineLevel="0" collapsed="false">
      <c r="A1487" s="0" t="n">
        <v>1984</v>
      </c>
      <c r="B1487" s="2" t="n">
        <v>45907</v>
      </c>
      <c r="C1487" s="3" t="s">
        <v>16</v>
      </c>
      <c r="D1487" s="3" t="s">
        <v>29</v>
      </c>
      <c r="E1487" s="3" t="s">
        <v>30</v>
      </c>
      <c r="F1487" s="3" t="s">
        <v>39</v>
      </c>
      <c r="G1487" s="0" t="n">
        <v>19</v>
      </c>
      <c r="H1487" s="4" t="n">
        <v>375.37</v>
      </c>
      <c r="I1487" s="4" t="n">
        <v>269.47</v>
      </c>
      <c r="J1487" s="4" t="n">
        <f aca="false">G1487*H1487</f>
        <v>7132.03</v>
      </c>
      <c r="K1487" s="4" t="n">
        <f aca="false">G1487*I1487</f>
        <v>5119.93</v>
      </c>
      <c r="L1487" s="4" t="n">
        <f aca="false">J1487-K1487</f>
        <v>2012.1</v>
      </c>
    </row>
    <row r="1488" customFormat="false" ht="15" hidden="false" customHeight="false" outlineLevel="0" collapsed="false">
      <c r="A1488" s="0" t="n">
        <v>2481</v>
      </c>
      <c r="B1488" s="2" t="n">
        <v>45908</v>
      </c>
      <c r="C1488" s="3" t="s">
        <v>32</v>
      </c>
      <c r="D1488" s="3" t="s">
        <v>13</v>
      </c>
      <c r="E1488" s="3" t="s">
        <v>46</v>
      </c>
      <c r="F1488" s="3" t="s">
        <v>19</v>
      </c>
      <c r="G1488" s="0" t="n">
        <v>36</v>
      </c>
      <c r="H1488" s="4" t="n">
        <v>50.65</v>
      </c>
      <c r="I1488" s="4" t="n">
        <v>36.69</v>
      </c>
      <c r="J1488" s="4" t="n">
        <f aca="false">G1488*H1488</f>
        <v>1823.4</v>
      </c>
      <c r="K1488" s="4" t="n">
        <f aca="false">G1488*I1488</f>
        <v>1320.84</v>
      </c>
      <c r="L1488" s="4" t="n">
        <f aca="false">J1488-K1488</f>
        <v>502.56</v>
      </c>
    </row>
    <row r="1489" customFormat="false" ht="15" hidden="false" customHeight="false" outlineLevel="0" collapsed="false">
      <c r="A1489" s="0" t="n">
        <v>2114</v>
      </c>
      <c r="B1489" s="2" t="n">
        <v>45910</v>
      </c>
      <c r="C1489" s="3" t="s">
        <v>32</v>
      </c>
      <c r="D1489" s="3" t="s">
        <v>13</v>
      </c>
      <c r="E1489" s="3" t="s">
        <v>24</v>
      </c>
      <c r="F1489" s="3" t="s">
        <v>28</v>
      </c>
      <c r="G1489" s="0" t="n">
        <v>5</v>
      </c>
      <c r="H1489" s="4" t="n">
        <v>4.84</v>
      </c>
      <c r="I1489" s="4" t="n">
        <v>3.62</v>
      </c>
      <c r="J1489" s="4" t="n">
        <f aca="false">G1489*H1489</f>
        <v>24.2</v>
      </c>
      <c r="K1489" s="4" t="n">
        <f aca="false">G1489*I1489</f>
        <v>18.1</v>
      </c>
      <c r="L1489" s="4" t="n">
        <f aca="false">J1489-K1489</f>
        <v>6.1</v>
      </c>
    </row>
    <row r="1490" customFormat="false" ht="15" hidden="false" customHeight="false" outlineLevel="0" collapsed="false">
      <c r="A1490" s="0" t="n">
        <v>2145</v>
      </c>
      <c r="B1490" s="2" t="n">
        <v>45910</v>
      </c>
      <c r="C1490" s="3" t="s">
        <v>26</v>
      </c>
      <c r="D1490" s="3" t="s">
        <v>13</v>
      </c>
      <c r="E1490" s="3" t="s">
        <v>45</v>
      </c>
      <c r="F1490" s="3" t="s">
        <v>36</v>
      </c>
      <c r="G1490" s="0" t="n">
        <v>28</v>
      </c>
      <c r="H1490" s="4" t="n">
        <v>30.72</v>
      </c>
      <c r="I1490" s="4" t="n">
        <v>22.37</v>
      </c>
      <c r="J1490" s="4" t="n">
        <f aca="false">G1490*H1490</f>
        <v>860.16</v>
      </c>
      <c r="K1490" s="4" t="n">
        <f aca="false">G1490*I1490</f>
        <v>626.36</v>
      </c>
      <c r="L1490" s="4" t="n">
        <f aca="false">J1490-K1490</f>
        <v>233.8</v>
      </c>
    </row>
    <row r="1491" customFormat="false" ht="15" hidden="false" customHeight="false" outlineLevel="0" collapsed="false">
      <c r="A1491" s="0" t="n">
        <v>2199</v>
      </c>
      <c r="B1491" s="2" t="n">
        <v>45910</v>
      </c>
      <c r="C1491" s="3" t="s">
        <v>12</v>
      </c>
      <c r="D1491" s="3" t="s">
        <v>29</v>
      </c>
      <c r="E1491" s="3" t="s">
        <v>37</v>
      </c>
      <c r="F1491" s="3" t="s">
        <v>28</v>
      </c>
      <c r="G1491" s="0" t="n">
        <v>18</v>
      </c>
      <c r="H1491" s="4" t="n">
        <v>339.9</v>
      </c>
      <c r="I1491" s="4" t="n">
        <v>207.01</v>
      </c>
      <c r="J1491" s="4" t="n">
        <f aca="false">G1491*H1491</f>
        <v>6118.2</v>
      </c>
      <c r="K1491" s="4" t="n">
        <f aca="false">G1491*I1491</f>
        <v>3726.18</v>
      </c>
      <c r="L1491" s="4" t="n">
        <f aca="false">J1491-K1491</f>
        <v>2392.02</v>
      </c>
    </row>
    <row r="1492" customFormat="false" ht="15" hidden="false" customHeight="false" outlineLevel="0" collapsed="false">
      <c r="A1492" s="0" t="n">
        <v>1479</v>
      </c>
      <c r="B1492" s="2" t="n">
        <v>45911</v>
      </c>
      <c r="C1492" s="3" t="s">
        <v>23</v>
      </c>
      <c r="D1492" s="3" t="s">
        <v>29</v>
      </c>
      <c r="E1492" s="3" t="s">
        <v>37</v>
      </c>
      <c r="F1492" s="3" t="s">
        <v>36</v>
      </c>
      <c r="G1492" s="0" t="n">
        <v>32</v>
      </c>
      <c r="H1492" s="4" t="n">
        <v>175.03</v>
      </c>
      <c r="I1492" s="4" t="n">
        <v>129.91</v>
      </c>
      <c r="J1492" s="4" t="n">
        <f aca="false">G1492*H1492</f>
        <v>5600.96</v>
      </c>
      <c r="K1492" s="4" t="n">
        <f aca="false">G1492*I1492</f>
        <v>4157.12</v>
      </c>
      <c r="L1492" s="4" t="n">
        <f aca="false">J1492-K1492</f>
        <v>1443.84</v>
      </c>
    </row>
    <row r="1493" customFormat="false" ht="15" hidden="false" customHeight="false" outlineLevel="0" collapsed="false">
      <c r="A1493" s="0" t="n">
        <v>2256</v>
      </c>
      <c r="B1493" s="2" t="n">
        <v>45911</v>
      </c>
      <c r="C1493" s="3" t="s">
        <v>12</v>
      </c>
      <c r="D1493" s="3" t="s">
        <v>20</v>
      </c>
      <c r="E1493" s="3" t="s">
        <v>38</v>
      </c>
      <c r="F1493" s="3" t="s">
        <v>22</v>
      </c>
      <c r="G1493" s="0" t="n">
        <v>29</v>
      </c>
      <c r="H1493" s="4" t="n">
        <v>75.36</v>
      </c>
      <c r="I1493" s="4" t="n">
        <v>40.39</v>
      </c>
      <c r="J1493" s="4" t="n">
        <f aca="false">G1493*H1493</f>
        <v>2185.44</v>
      </c>
      <c r="K1493" s="4" t="n">
        <f aca="false">G1493*I1493</f>
        <v>1171.31</v>
      </c>
      <c r="L1493" s="4" t="n">
        <f aca="false">J1493-K1493</f>
        <v>1014.13</v>
      </c>
    </row>
    <row r="1494" customFormat="false" ht="15" hidden="false" customHeight="false" outlineLevel="0" collapsed="false">
      <c r="A1494" s="0" t="n">
        <v>2275</v>
      </c>
      <c r="B1494" s="2" t="n">
        <v>45911</v>
      </c>
      <c r="C1494" s="3" t="s">
        <v>26</v>
      </c>
      <c r="D1494" s="3" t="s">
        <v>29</v>
      </c>
      <c r="E1494" s="3" t="s">
        <v>30</v>
      </c>
      <c r="F1494" s="3" t="s">
        <v>39</v>
      </c>
      <c r="G1494" s="0" t="n">
        <v>34</v>
      </c>
      <c r="H1494" s="4" t="n">
        <v>412.1</v>
      </c>
      <c r="I1494" s="4" t="n">
        <v>290.38</v>
      </c>
      <c r="J1494" s="4" t="n">
        <f aca="false">G1494*H1494</f>
        <v>14011.4</v>
      </c>
      <c r="K1494" s="4" t="n">
        <f aca="false">G1494*I1494</f>
        <v>9872.92</v>
      </c>
      <c r="L1494" s="4" t="n">
        <f aca="false">J1494-K1494</f>
        <v>4138.48</v>
      </c>
    </row>
    <row r="1495" customFormat="false" ht="15" hidden="false" customHeight="false" outlineLevel="0" collapsed="false">
      <c r="A1495" s="0" t="n">
        <v>2526</v>
      </c>
      <c r="B1495" s="2" t="n">
        <v>45911</v>
      </c>
      <c r="C1495" s="3" t="s">
        <v>12</v>
      </c>
      <c r="D1495" s="3" t="s">
        <v>20</v>
      </c>
      <c r="E1495" s="3" t="s">
        <v>42</v>
      </c>
      <c r="F1495" s="3" t="s">
        <v>15</v>
      </c>
      <c r="G1495" s="0" t="n">
        <v>24</v>
      </c>
      <c r="H1495" s="4" t="n">
        <v>259.81</v>
      </c>
      <c r="I1495" s="4" t="n">
        <v>152.53</v>
      </c>
      <c r="J1495" s="4" t="n">
        <f aca="false">G1495*H1495</f>
        <v>6235.44</v>
      </c>
      <c r="K1495" s="4" t="n">
        <f aca="false">G1495*I1495</f>
        <v>3660.72</v>
      </c>
      <c r="L1495" s="4" t="n">
        <f aca="false">J1495-K1495</f>
        <v>2574.72</v>
      </c>
    </row>
    <row r="1496" customFormat="false" ht="15" hidden="false" customHeight="false" outlineLevel="0" collapsed="false">
      <c r="A1496" s="0" t="n">
        <v>2710</v>
      </c>
      <c r="B1496" s="2" t="n">
        <v>45911</v>
      </c>
      <c r="C1496" s="3" t="s">
        <v>12</v>
      </c>
      <c r="D1496" s="3" t="s">
        <v>13</v>
      </c>
      <c r="E1496" s="3" t="s">
        <v>46</v>
      </c>
      <c r="F1496" s="3" t="s">
        <v>36</v>
      </c>
      <c r="G1496" s="0" t="n">
        <v>23</v>
      </c>
      <c r="H1496" s="4" t="n">
        <v>39.89</v>
      </c>
      <c r="I1496" s="4" t="n">
        <v>21.24</v>
      </c>
      <c r="J1496" s="4" t="n">
        <f aca="false">G1496*H1496</f>
        <v>917.47</v>
      </c>
      <c r="K1496" s="4" t="n">
        <f aca="false">G1496*I1496</f>
        <v>488.52</v>
      </c>
      <c r="L1496" s="4" t="n">
        <f aca="false">J1496-K1496</f>
        <v>428.95</v>
      </c>
    </row>
    <row r="1497" customFormat="false" ht="15" hidden="false" customHeight="false" outlineLevel="0" collapsed="false">
      <c r="A1497" s="0" t="n">
        <v>1698</v>
      </c>
      <c r="B1497" s="2" t="n">
        <v>45912</v>
      </c>
      <c r="C1497" s="3" t="s">
        <v>12</v>
      </c>
      <c r="D1497" s="3" t="s">
        <v>13</v>
      </c>
      <c r="E1497" s="3" t="s">
        <v>46</v>
      </c>
      <c r="F1497" s="3" t="s">
        <v>28</v>
      </c>
      <c r="G1497" s="0" t="n">
        <v>29</v>
      </c>
      <c r="H1497" s="4" t="n">
        <v>11.49</v>
      </c>
      <c r="I1497" s="4" t="n">
        <v>7.54</v>
      </c>
      <c r="J1497" s="4" t="n">
        <f aca="false">G1497*H1497</f>
        <v>333.21</v>
      </c>
      <c r="K1497" s="4" t="n">
        <f aca="false">G1497*I1497</f>
        <v>218.66</v>
      </c>
      <c r="L1497" s="4" t="n">
        <f aca="false">J1497-K1497</f>
        <v>114.55</v>
      </c>
    </row>
    <row r="1498" customFormat="false" ht="15" hidden="false" customHeight="false" outlineLevel="0" collapsed="false">
      <c r="A1498" s="0" t="n">
        <v>1117</v>
      </c>
      <c r="B1498" s="2" t="n">
        <v>45913</v>
      </c>
      <c r="C1498" s="3" t="s">
        <v>23</v>
      </c>
      <c r="D1498" s="3" t="s">
        <v>20</v>
      </c>
      <c r="E1498" s="3" t="s">
        <v>38</v>
      </c>
      <c r="F1498" s="3" t="s">
        <v>39</v>
      </c>
      <c r="G1498" s="0" t="n">
        <v>33</v>
      </c>
      <c r="H1498" s="4" t="n">
        <v>209.98</v>
      </c>
      <c r="I1498" s="4" t="n">
        <v>130.54</v>
      </c>
      <c r="J1498" s="4" t="n">
        <f aca="false">G1498*H1498</f>
        <v>6929.34</v>
      </c>
      <c r="K1498" s="4" t="n">
        <f aca="false">G1498*I1498</f>
        <v>4307.82</v>
      </c>
      <c r="L1498" s="4" t="n">
        <f aca="false">J1498-K1498</f>
        <v>2621.52</v>
      </c>
    </row>
    <row r="1499" customFormat="false" ht="15" hidden="false" customHeight="false" outlineLevel="0" collapsed="false">
      <c r="A1499" s="0" t="n">
        <v>1979</v>
      </c>
      <c r="B1499" s="2" t="n">
        <v>45913</v>
      </c>
      <c r="C1499" s="3" t="s">
        <v>26</v>
      </c>
      <c r="D1499" s="3" t="s">
        <v>13</v>
      </c>
      <c r="E1499" s="3" t="s">
        <v>31</v>
      </c>
      <c r="F1499" s="3" t="s">
        <v>25</v>
      </c>
      <c r="G1499" s="0" t="n">
        <v>29</v>
      </c>
      <c r="H1499" s="4" t="n">
        <v>59.37</v>
      </c>
      <c r="I1499" s="4" t="n">
        <v>33.43</v>
      </c>
      <c r="J1499" s="4" t="n">
        <f aca="false">G1499*H1499</f>
        <v>1721.73</v>
      </c>
      <c r="K1499" s="4" t="n">
        <f aca="false">G1499*I1499</f>
        <v>969.47</v>
      </c>
      <c r="L1499" s="4" t="n">
        <f aca="false">J1499-K1499</f>
        <v>752.26</v>
      </c>
    </row>
    <row r="1500" customFormat="false" ht="15" hidden="false" customHeight="false" outlineLevel="0" collapsed="false">
      <c r="A1500" s="0" t="n">
        <v>1320</v>
      </c>
      <c r="B1500" s="2" t="n">
        <v>45914</v>
      </c>
      <c r="C1500" s="3" t="s">
        <v>32</v>
      </c>
      <c r="D1500" s="3" t="s">
        <v>29</v>
      </c>
      <c r="E1500" s="3" t="s">
        <v>41</v>
      </c>
      <c r="F1500" s="3" t="s">
        <v>36</v>
      </c>
      <c r="G1500" s="0" t="n">
        <v>23</v>
      </c>
      <c r="H1500" s="4" t="n">
        <v>206.9</v>
      </c>
      <c r="I1500" s="4" t="n">
        <v>135.71</v>
      </c>
      <c r="J1500" s="4" t="n">
        <f aca="false">G1500*H1500</f>
        <v>4758.7</v>
      </c>
      <c r="K1500" s="4" t="n">
        <f aca="false">G1500*I1500</f>
        <v>3121.33</v>
      </c>
      <c r="L1500" s="4" t="n">
        <f aca="false">J1500-K1500</f>
        <v>1637.37</v>
      </c>
    </row>
    <row r="1501" customFormat="false" ht="15" hidden="false" customHeight="false" outlineLevel="0" collapsed="false">
      <c r="A1501" s="0" t="n">
        <v>2287</v>
      </c>
      <c r="B1501" s="2" t="n">
        <v>45914</v>
      </c>
      <c r="C1501" s="3" t="s">
        <v>32</v>
      </c>
      <c r="D1501" s="3" t="s">
        <v>29</v>
      </c>
      <c r="E1501" s="3" t="s">
        <v>37</v>
      </c>
      <c r="F1501" s="3" t="s">
        <v>33</v>
      </c>
      <c r="G1501" s="0" t="n">
        <v>17</v>
      </c>
      <c r="H1501" s="4" t="n">
        <v>269.69</v>
      </c>
      <c r="I1501" s="4" t="n">
        <v>200.09</v>
      </c>
      <c r="J1501" s="4" t="n">
        <f aca="false">G1501*H1501</f>
        <v>4584.73</v>
      </c>
      <c r="K1501" s="4" t="n">
        <f aca="false">G1501*I1501</f>
        <v>3401.53</v>
      </c>
      <c r="L1501" s="4" t="n">
        <f aca="false">J1501-K1501</f>
        <v>1183.2</v>
      </c>
    </row>
    <row r="1502" customFormat="false" ht="15" hidden="false" customHeight="false" outlineLevel="0" collapsed="false">
      <c r="A1502" s="0" t="n">
        <v>2519</v>
      </c>
      <c r="B1502" s="2" t="n">
        <v>45914</v>
      </c>
      <c r="C1502" s="3" t="s">
        <v>32</v>
      </c>
      <c r="D1502" s="3" t="s">
        <v>17</v>
      </c>
      <c r="E1502" s="3" t="s">
        <v>44</v>
      </c>
      <c r="F1502" s="3" t="s">
        <v>25</v>
      </c>
      <c r="G1502" s="0" t="n">
        <v>36</v>
      </c>
      <c r="H1502" s="4" t="n">
        <v>656.92</v>
      </c>
      <c r="I1502" s="4" t="n">
        <v>413.68</v>
      </c>
      <c r="J1502" s="4" t="n">
        <f aca="false">G1502*H1502</f>
        <v>23649.12</v>
      </c>
      <c r="K1502" s="4" t="n">
        <f aca="false">G1502*I1502</f>
        <v>14892.48</v>
      </c>
      <c r="L1502" s="4" t="n">
        <f aca="false">J1502-K1502</f>
        <v>8756.64</v>
      </c>
    </row>
    <row r="1503" customFormat="false" ht="15" hidden="false" customHeight="false" outlineLevel="0" collapsed="false">
      <c r="A1503" s="0" t="n">
        <v>2388</v>
      </c>
      <c r="B1503" s="2" t="n">
        <v>45915</v>
      </c>
      <c r="C1503" s="3" t="s">
        <v>16</v>
      </c>
      <c r="D1503" s="3" t="s">
        <v>13</v>
      </c>
      <c r="E1503" s="3" t="s">
        <v>31</v>
      </c>
      <c r="F1503" s="3" t="s">
        <v>39</v>
      </c>
      <c r="G1503" s="0" t="n">
        <v>29</v>
      </c>
      <c r="H1503" s="4" t="n">
        <v>53.82</v>
      </c>
      <c r="I1503" s="4" t="n">
        <v>35.9</v>
      </c>
      <c r="J1503" s="4" t="n">
        <f aca="false">G1503*H1503</f>
        <v>1560.78</v>
      </c>
      <c r="K1503" s="4" t="n">
        <f aca="false">G1503*I1503</f>
        <v>1041.1</v>
      </c>
      <c r="L1503" s="4" t="n">
        <f aca="false">J1503-K1503</f>
        <v>519.68</v>
      </c>
    </row>
    <row r="1504" customFormat="false" ht="15" hidden="false" customHeight="false" outlineLevel="0" collapsed="false">
      <c r="A1504" s="0" t="n">
        <v>1129</v>
      </c>
      <c r="B1504" s="2" t="n">
        <v>45916</v>
      </c>
      <c r="C1504" s="3" t="s">
        <v>12</v>
      </c>
      <c r="D1504" s="3" t="s">
        <v>29</v>
      </c>
      <c r="E1504" s="3" t="s">
        <v>43</v>
      </c>
      <c r="F1504" s="3" t="s">
        <v>15</v>
      </c>
      <c r="G1504" s="0" t="n">
        <v>25</v>
      </c>
      <c r="H1504" s="4" t="n">
        <v>331.11</v>
      </c>
      <c r="I1504" s="4" t="n">
        <v>219.14</v>
      </c>
      <c r="J1504" s="4" t="n">
        <f aca="false">G1504*H1504</f>
        <v>8277.75</v>
      </c>
      <c r="K1504" s="4" t="n">
        <f aca="false">G1504*I1504</f>
        <v>5478.5</v>
      </c>
      <c r="L1504" s="4" t="n">
        <f aca="false">J1504-K1504</f>
        <v>2799.25</v>
      </c>
    </row>
    <row r="1505" customFormat="false" ht="15" hidden="false" customHeight="false" outlineLevel="0" collapsed="false">
      <c r="A1505" s="0" t="n">
        <v>1998</v>
      </c>
      <c r="B1505" s="2" t="n">
        <v>45916</v>
      </c>
      <c r="C1505" s="3" t="s">
        <v>23</v>
      </c>
      <c r="D1505" s="3" t="s">
        <v>20</v>
      </c>
      <c r="E1505" s="3" t="s">
        <v>42</v>
      </c>
      <c r="F1505" s="3" t="s">
        <v>36</v>
      </c>
      <c r="G1505" s="0" t="n">
        <v>25</v>
      </c>
      <c r="H1505" s="4" t="n">
        <v>204.78</v>
      </c>
      <c r="I1505" s="4" t="n">
        <v>129.65</v>
      </c>
      <c r="J1505" s="4" t="n">
        <f aca="false">G1505*H1505</f>
        <v>5119.5</v>
      </c>
      <c r="K1505" s="4" t="n">
        <f aca="false">G1505*I1505</f>
        <v>3241.25</v>
      </c>
      <c r="L1505" s="4" t="n">
        <f aca="false">J1505-K1505</f>
        <v>1878.25</v>
      </c>
    </row>
    <row r="1506" customFormat="false" ht="15" hidden="false" customHeight="false" outlineLevel="0" collapsed="false">
      <c r="A1506" s="0" t="n">
        <v>2594</v>
      </c>
      <c r="B1506" s="2" t="n">
        <v>45916</v>
      </c>
      <c r="C1506" s="3" t="s">
        <v>23</v>
      </c>
      <c r="D1506" s="3" t="s">
        <v>20</v>
      </c>
      <c r="E1506" s="3" t="s">
        <v>34</v>
      </c>
      <c r="F1506" s="3" t="s">
        <v>15</v>
      </c>
      <c r="G1506" s="0" t="n">
        <v>40</v>
      </c>
      <c r="H1506" s="4" t="n">
        <v>62.47</v>
      </c>
      <c r="I1506" s="4" t="n">
        <v>38.17</v>
      </c>
      <c r="J1506" s="4" t="n">
        <f aca="false">G1506*H1506</f>
        <v>2498.8</v>
      </c>
      <c r="K1506" s="4" t="n">
        <f aca="false">G1506*I1506</f>
        <v>1526.8</v>
      </c>
      <c r="L1506" s="4" t="n">
        <f aca="false">J1506-K1506</f>
        <v>972</v>
      </c>
    </row>
    <row r="1507" customFormat="false" ht="15" hidden="false" customHeight="false" outlineLevel="0" collapsed="false">
      <c r="A1507" s="0" t="n">
        <v>2545</v>
      </c>
      <c r="B1507" s="2" t="n">
        <v>45917</v>
      </c>
      <c r="C1507" s="3" t="s">
        <v>26</v>
      </c>
      <c r="D1507" s="3" t="s">
        <v>13</v>
      </c>
      <c r="E1507" s="3" t="s">
        <v>14</v>
      </c>
      <c r="F1507" s="3" t="s">
        <v>28</v>
      </c>
      <c r="G1507" s="0" t="n">
        <v>1</v>
      </c>
      <c r="H1507" s="4" t="n">
        <v>12.94</v>
      </c>
      <c r="I1507" s="4" t="n">
        <v>7.27</v>
      </c>
      <c r="J1507" s="4" t="n">
        <f aca="false">G1507*H1507</f>
        <v>12.94</v>
      </c>
      <c r="K1507" s="4" t="n">
        <f aca="false">G1507*I1507</f>
        <v>7.27</v>
      </c>
      <c r="L1507" s="4" t="n">
        <f aca="false">J1507-K1507</f>
        <v>5.67</v>
      </c>
    </row>
    <row r="1508" customFormat="false" ht="15" hidden="false" customHeight="false" outlineLevel="0" collapsed="false">
      <c r="A1508" s="0" t="n">
        <v>1175</v>
      </c>
      <c r="B1508" s="2" t="n">
        <v>45918</v>
      </c>
      <c r="C1508" s="3" t="s">
        <v>23</v>
      </c>
      <c r="D1508" s="3" t="s">
        <v>17</v>
      </c>
      <c r="E1508" s="3" t="s">
        <v>44</v>
      </c>
      <c r="F1508" s="3" t="s">
        <v>39</v>
      </c>
      <c r="G1508" s="0" t="n">
        <v>36</v>
      </c>
      <c r="H1508" s="4" t="n">
        <v>333.04</v>
      </c>
      <c r="I1508" s="4" t="n">
        <v>180.94</v>
      </c>
      <c r="J1508" s="4" t="n">
        <f aca="false">G1508*H1508</f>
        <v>11989.44</v>
      </c>
      <c r="K1508" s="4" t="n">
        <f aca="false">G1508*I1508</f>
        <v>6513.84</v>
      </c>
      <c r="L1508" s="4" t="n">
        <f aca="false">J1508-K1508</f>
        <v>5475.6</v>
      </c>
    </row>
    <row r="1509" customFormat="false" ht="15" hidden="false" customHeight="false" outlineLevel="0" collapsed="false">
      <c r="A1509" s="0" t="n">
        <v>1564</v>
      </c>
      <c r="B1509" s="2" t="n">
        <v>45918</v>
      </c>
      <c r="C1509" s="3" t="s">
        <v>12</v>
      </c>
      <c r="D1509" s="3" t="s">
        <v>13</v>
      </c>
      <c r="E1509" s="3" t="s">
        <v>45</v>
      </c>
      <c r="F1509" s="3" t="s">
        <v>36</v>
      </c>
      <c r="G1509" s="0" t="n">
        <v>34</v>
      </c>
      <c r="H1509" s="4" t="n">
        <v>59.75</v>
      </c>
      <c r="I1509" s="4" t="n">
        <v>34.05</v>
      </c>
      <c r="J1509" s="4" t="n">
        <f aca="false">G1509*H1509</f>
        <v>2031.5</v>
      </c>
      <c r="K1509" s="4" t="n">
        <f aca="false">G1509*I1509</f>
        <v>1157.7</v>
      </c>
      <c r="L1509" s="4" t="n">
        <f aca="false">J1509-K1509</f>
        <v>873.8</v>
      </c>
    </row>
    <row r="1510" customFormat="false" ht="15" hidden="false" customHeight="false" outlineLevel="0" collapsed="false">
      <c r="A1510" s="0" t="n">
        <v>1797</v>
      </c>
      <c r="B1510" s="2" t="n">
        <v>45919</v>
      </c>
      <c r="C1510" s="3" t="s">
        <v>26</v>
      </c>
      <c r="D1510" s="3" t="s">
        <v>29</v>
      </c>
      <c r="E1510" s="3" t="s">
        <v>41</v>
      </c>
      <c r="F1510" s="3" t="s">
        <v>28</v>
      </c>
      <c r="G1510" s="0" t="n">
        <v>7</v>
      </c>
      <c r="H1510" s="4" t="n">
        <v>161.93</v>
      </c>
      <c r="I1510" s="4" t="n">
        <v>102.02</v>
      </c>
      <c r="J1510" s="4" t="n">
        <f aca="false">G1510*H1510</f>
        <v>1133.51</v>
      </c>
      <c r="K1510" s="4" t="n">
        <f aca="false">G1510*I1510</f>
        <v>714.14</v>
      </c>
      <c r="L1510" s="4" t="n">
        <f aca="false">J1510-K1510</f>
        <v>419.37</v>
      </c>
    </row>
    <row r="1511" customFormat="false" ht="15" hidden="false" customHeight="false" outlineLevel="0" collapsed="false">
      <c r="A1511" s="0" t="n">
        <v>1970</v>
      </c>
      <c r="B1511" s="2" t="n">
        <v>45919</v>
      </c>
      <c r="C1511" s="3" t="s">
        <v>23</v>
      </c>
      <c r="D1511" s="3" t="s">
        <v>17</v>
      </c>
      <c r="E1511" s="3" t="s">
        <v>18</v>
      </c>
      <c r="F1511" s="3" t="s">
        <v>19</v>
      </c>
      <c r="G1511" s="0" t="n">
        <v>2</v>
      </c>
      <c r="H1511" s="4" t="n">
        <v>215.24</v>
      </c>
      <c r="I1511" s="4" t="n">
        <v>147.53</v>
      </c>
      <c r="J1511" s="4" t="n">
        <f aca="false">G1511*H1511</f>
        <v>430.48</v>
      </c>
      <c r="K1511" s="4" t="n">
        <f aca="false">G1511*I1511</f>
        <v>295.06</v>
      </c>
      <c r="L1511" s="4" t="n">
        <f aca="false">J1511-K1511</f>
        <v>135.42</v>
      </c>
    </row>
    <row r="1512" customFormat="false" ht="15" hidden="false" customHeight="false" outlineLevel="0" collapsed="false">
      <c r="A1512" s="0" t="n">
        <v>2176</v>
      </c>
      <c r="B1512" s="2" t="n">
        <v>45919</v>
      </c>
      <c r="C1512" s="3" t="s">
        <v>16</v>
      </c>
      <c r="D1512" s="3" t="s">
        <v>17</v>
      </c>
      <c r="E1512" s="3" t="s">
        <v>27</v>
      </c>
      <c r="F1512" s="3" t="s">
        <v>36</v>
      </c>
      <c r="G1512" s="0" t="n">
        <v>9</v>
      </c>
      <c r="H1512" s="4" t="n">
        <v>180.78</v>
      </c>
      <c r="I1512" s="4" t="n">
        <v>133.37</v>
      </c>
      <c r="J1512" s="4" t="n">
        <f aca="false">G1512*H1512</f>
        <v>1627.02</v>
      </c>
      <c r="K1512" s="4" t="n">
        <f aca="false">G1512*I1512</f>
        <v>1200.33</v>
      </c>
      <c r="L1512" s="4" t="n">
        <f aca="false">J1512-K1512</f>
        <v>426.69</v>
      </c>
    </row>
    <row r="1513" customFormat="false" ht="15" hidden="false" customHeight="false" outlineLevel="0" collapsed="false">
      <c r="A1513" s="0" t="n">
        <v>2211</v>
      </c>
      <c r="B1513" s="2" t="n">
        <v>45919</v>
      </c>
      <c r="C1513" s="3" t="s">
        <v>32</v>
      </c>
      <c r="D1513" s="3" t="s">
        <v>20</v>
      </c>
      <c r="E1513" s="3" t="s">
        <v>21</v>
      </c>
      <c r="F1513" s="3" t="s">
        <v>28</v>
      </c>
      <c r="G1513" s="0" t="n">
        <v>8</v>
      </c>
      <c r="H1513" s="4" t="n">
        <v>59.59</v>
      </c>
      <c r="I1513" s="4" t="n">
        <v>44.1</v>
      </c>
      <c r="J1513" s="4" t="n">
        <f aca="false">G1513*H1513</f>
        <v>476.72</v>
      </c>
      <c r="K1513" s="4" t="n">
        <f aca="false">G1513*I1513</f>
        <v>352.8</v>
      </c>
      <c r="L1513" s="4" t="n">
        <f aca="false">J1513-K1513</f>
        <v>123.92</v>
      </c>
    </row>
    <row r="1514" customFormat="false" ht="15" hidden="false" customHeight="false" outlineLevel="0" collapsed="false">
      <c r="A1514" s="0" t="n">
        <v>2240</v>
      </c>
      <c r="B1514" s="2" t="n">
        <v>45919</v>
      </c>
      <c r="C1514" s="3" t="s">
        <v>16</v>
      </c>
      <c r="D1514" s="3" t="s">
        <v>17</v>
      </c>
      <c r="E1514" s="3" t="s">
        <v>27</v>
      </c>
      <c r="F1514" s="3" t="s">
        <v>25</v>
      </c>
      <c r="G1514" s="0" t="n">
        <v>6</v>
      </c>
      <c r="H1514" s="4" t="n">
        <v>78.03</v>
      </c>
      <c r="I1514" s="4" t="n">
        <v>40.77</v>
      </c>
      <c r="J1514" s="4" t="n">
        <f aca="false">G1514*H1514</f>
        <v>468.18</v>
      </c>
      <c r="K1514" s="4" t="n">
        <f aca="false">G1514*I1514</f>
        <v>244.62</v>
      </c>
      <c r="L1514" s="4" t="n">
        <f aca="false">J1514-K1514</f>
        <v>223.56</v>
      </c>
    </row>
    <row r="1515" customFormat="false" ht="15" hidden="false" customHeight="false" outlineLevel="0" collapsed="false">
      <c r="A1515" s="0" t="n">
        <v>1384</v>
      </c>
      <c r="B1515" s="2" t="n">
        <v>45920</v>
      </c>
      <c r="C1515" s="3" t="s">
        <v>12</v>
      </c>
      <c r="D1515" s="3" t="s">
        <v>13</v>
      </c>
      <c r="E1515" s="3" t="s">
        <v>14</v>
      </c>
      <c r="F1515" s="3" t="s">
        <v>19</v>
      </c>
      <c r="G1515" s="0" t="n">
        <v>12</v>
      </c>
      <c r="H1515" s="4" t="n">
        <v>35.25</v>
      </c>
      <c r="I1515" s="4" t="n">
        <v>24.08</v>
      </c>
      <c r="J1515" s="4" t="n">
        <f aca="false">G1515*H1515</f>
        <v>423</v>
      </c>
      <c r="K1515" s="4" t="n">
        <f aca="false">G1515*I1515</f>
        <v>288.96</v>
      </c>
      <c r="L1515" s="4" t="n">
        <f aca="false">J1515-K1515</f>
        <v>134.04</v>
      </c>
    </row>
    <row r="1516" customFormat="false" ht="15" hidden="false" customHeight="false" outlineLevel="0" collapsed="false">
      <c r="A1516" s="0" t="n">
        <v>2037</v>
      </c>
      <c r="B1516" s="2" t="n">
        <v>45920</v>
      </c>
      <c r="C1516" s="3" t="s">
        <v>16</v>
      </c>
      <c r="D1516" s="3" t="s">
        <v>29</v>
      </c>
      <c r="E1516" s="3" t="s">
        <v>37</v>
      </c>
      <c r="F1516" s="3" t="s">
        <v>22</v>
      </c>
      <c r="G1516" s="0" t="n">
        <v>2</v>
      </c>
      <c r="H1516" s="4" t="n">
        <v>375.99</v>
      </c>
      <c r="I1516" s="4" t="n">
        <v>260.08</v>
      </c>
      <c r="J1516" s="4" t="n">
        <f aca="false">G1516*H1516</f>
        <v>751.98</v>
      </c>
      <c r="K1516" s="4" t="n">
        <f aca="false">G1516*I1516</f>
        <v>520.16</v>
      </c>
      <c r="L1516" s="4" t="n">
        <f aca="false">J1516-K1516</f>
        <v>231.82</v>
      </c>
    </row>
    <row r="1517" customFormat="false" ht="15" hidden="false" customHeight="false" outlineLevel="0" collapsed="false">
      <c r="A1517" s="0" t="n">
        <v>2164</v>
      </c>
      <c r="B1517" s="2" t="n">
        <v>45920</v>
      </c>
      <c r="C1517" s="3" t="s">
        <v>26</v>
      </c>
      <c r="D1517" s="3" t="s">
        <v>20</v>
      </c>
      <c r="E1517" s="3" t="s">
        <v>21</v>
      </c>
      <c r="F1517" s="3" t="s">
        <v>39</v>
      </c>
      <c r="G1517" s="0" t="n">
        <v>9</v>
      </c>
      <c r="H1517" s="4" t="n">
        <v>83.15</v>
      </c>
      <c r="I1517" s="4" t="n">
        <v>43.28</v>
      </c>
      <c r="J1517" s="4" t="n">
        <f aca="false">G1517*H1517</f>
        <v>748.35</v>
      </c>
      <c r="K1517" s="4" t="n">
        <f aca="false">G1517*I1517</f>
        <v>389.52</v>
      </c>
      <c r="L1517" s="4" t="n">
        <f aca="false">J1517-K1517</f>
        <v>358.83</v>
      </c>
    </row>
    <row r="1518" customFormat="false" ht="15" hidden="false" customHeight="false" outlineLevel="0" collapsed="false">
      <c r="A1518" s="0" t="n">
        <v>2422</v>
      </c>
      <c r="B1518" s="2" t="n">
        <v>45920</v>
      </c>
      <c r="C1518" s="3" t="s">
        <v>16</v>
      </c>
      <c r="D1518" s="3" t="s">
        <v>13</v>
      </c>
      <c r="E1518" s="3" t="s">
        <v>14</v>
      </c>
      <c r="F1518" s="3" t="s">
        <v>22</v>
      </c>
      <c r="G1518" s="0" t="n">
        <v>10</v>
      </c>
      <c r="H1518" s="4" t="n">
        <v>21.66</v>
      </c>
      <c r="I1518" s="4" t="n">
        <v>13.91</v>
      </c>
      <c r="J1518" s="4" t="n">
        <f aca="false">G1518*H1518</f>
        <v>216.6</v>
      </c>
      <c r="K1518" s="4" t="n">
        <f aca="false">G1518*I1518</f>
        <v>139.1</v>
      </c>
      <c r="L1518" s="4" t="n">
        <f aca="false">J1518-K1518</f>
        <v>77.5</v>
      </c>
    </row>
    <row r="1519" customFormat="false" ht="15" hidden="false" customHeight="false" outlineLevel="0" collapsed="false">
      <c r="A1519" s="0" t="n">
        <v>2762</v>
      </c>
      <c r="B1519" s="2" t="n">
        <v>45920</v>
      </c>
      <c r="C1519" s="3" t="s">
        <v>32</v>
      </c>
      <c r="D1519" s="3" t="s">
        <v>29</v>
      </c>
      <c r="E1519" s="3" t="s">
        <v>41</v>
      </c>
      <c r="F1519" s="3" t="s">
        <v>33</v>
      </c>
      <c r="G1519" s="0" t="n">
        <v>19</v>
      </c>
      <c r="H1519" s="4" t="n">
        <v>205.39</v>
      </c>
      <c r="I1519" s="4" t="n">
        <v>116.13</v>
      </c>
      <c r="J1519" s="4" t="n">
        <f aca="false">G1519*H1519</f>
        <v>3902.41</v>
      </c>
      <c r="K1519" s="4" t="n">
        <f aca="false">G1519*I1519</f>
        <v>2206.47</v>
      </c>
      <c r="L1519" s="4" t="n">
        <f aca="false">J1519-K1519</f>
        <v>1695.94</v>
      </c>
    </row>
    <row r="1520" customFormat="false" ht="15" hidden="false" customHeight="false" outlineLevel="0" collapsed="false">
      <c r="A1520" s="0" t="n">
        <v>1239</v>
      </c>
      <c r="B1520" s="2" t="n">
        <v>45921</v>
      </c>
      <c r="C1520" s="3" t="s">
        <v>16</v>
      </c>
      <c r="D1520" s="3" t="s">
        <v>17</v>
      </c>
      <c r="E1520" s="3" t="s">
        <v>44</v>
      </c>
      <c r="F1520" s="3" t="s">
        <v>33</v>
      </c>
      <c r="G1520" s="0" t="n">
        <v>8</v>
      </c>
      <c r="H1520" s="4" t="n">
        <v>260.4</v>
      </c>
      <c r="I1520" s="4" t="n">
        <v>155.49</v>
      </c>
      <c r="J1520" s="4" t="n">
        <f aca="false">G1520*H1520</f>
        <v>2083.2</v>
      </c>
      <c r="K1520" s="4" t="n">
        <f aca="false">G1520*I1520</f>
        <v>1243.92</v>
      </c>
      <c r="L1520" s="4" t="n">
        <f aca="false">J1520-K1520</f>
        <v>839.28</v>
      </c>
    </row>
    <row r="1521" customFormat="false" ht="15" hidden="false" customHeight="false" outlineLevel="0" collapsed="false">
      <c r="A1521" s="0" t="n">
        <v>1625</v>
      </c>
      <c r="B1521" s="2" t="n">
        <v>45921</v>
      </c>
      <c r="C1521" s="3" t="s">
        <v>23</v>
      </c>
      <c r="D1521" s="3" t="s">
        <v>17</v>
      </c>
      <c r="E1521" s="3" t="s">
        <v>35</v>
      </c>
      <c r="F1521" s="3" t="s">
        <v>39</v>
      </c>
      <c r="G1521" s="0" t="n">
        <v>24</v>
      </c>
      <c r="H1521" s="4" t="n">
        <v>448.49</v>
      </c>
      <c r="I1521" s="4" t="n">
        <v>318.89</v>
      </c>
      <c r="J1521" s="4" t="n">
        <f aca="false">G1521*H1521</f>
        <v>10763.76</v>
      </c>
      <c r="K1521" s="4" t="n">
        <f aca="false">G1521*I1521</f>
        <v>7653.36</v>
      </c>
      <c r="L1521" s="4" t="n">
        <f aca="false">J1521-K1521</f>
        <v>3110.4</v>
      </c>
    </row>
    <row r="1522" customFormat="false" ht="15" hidden="false" customHeight="false" outlineLevel="0" collapsed="false">
      <c r="A1522" s="0" t="n">
        <v>2396</v>
      </c>
      <c r="B1522" s="2" t="n">
        <v>45921</v>
      </c>
      <c r="C1522" s="3" t="s">
        <v>32</v>
      </c>
      <c r="D1522" s="3" t="s">
        <v>17</v>
      </c>
      <c r="E1522" s="3" t="s">
        <v>40</v>
      </c>
      <c r="F1522" s="3" t="s">
        <v>25</v>
      </c>
      <c r="G1522" s="0" t="n">
        <v>23</v>
      </c>
      <c r="H1522" s="4" t="n">
        <v>208.17</v>
      </c>
      <c r="I1522" s="4" t="n">
        <v>105.03</v>
      </c>
      <c r="J1522" s="4" t="n">
        <f aca="false">G1522*H1522</f>
        <v>4787.91</v>
      </c>
      <c r="K1522" s="4" t="n">
        <f aca="false">G1522*I1522</f>
        <v>2415.69</v>
      </c>
      <c r="L1522" s="4" t="n">
        <f aca="false">J1522-K1522</f>
        <v>2372.22</v>
      </c>
    </row>
    <row r="1523" customFormat="false" ht="15" hidden="false" customHeight="false" outlineLevel="0" collapsed="false">
      <c r="A1523" s="0" t="n">
        <v>2645</v>
      </c>
      <c r="B1523" s="2" t="n">
        <v>45921</v>
      </c>
      <c r="C1523" s="3" t="s">
        <v>26</v>
      </c>
      <c r="D1523" s="3" t="s">
        <v>29</v>
      </c>
      <c r="E1523" s="3" t="s">
        <v>37</v>
      </c>
      <c r="F1523" s="3" t="s">
        <v>36</v>
      </c>
      <c r="G1523" s="0" t="n">
        <v>27</v>
      </c>
      <c r="H1523" s="4" t="n">
        <v>139.15</v>
      </c>
      <c r="I1523" s="4" t="n">
        <v>89.32</v>
      </c>
      <c r="J1523" s="4" t="n">
        <f aca="false">G1523*H1523</f>
        <v>3757.05</v>
      </c>
      <c r="K1523" s="4" t="n">
        <f aca="false">G1523*I1523</f>
        <v>2411.64</v>
      </c>
      <c r="L1523" s="4" t="n">
        <f aca="false">J1523-K1523</f>
        <v>1345.41</v>
      </c>
    </row>
    <row r="1524" customFormat="false" ht="15" hidden="false" customHeight="false" outlineLevel="0" collapsed="false">
      <c r="A1524" s="0" t="n">
        <v>1040</v>
      </c>
      <c r="B1524" s="2" t="n">
        <v>45922</v>
      </c>
      <c r="C1524" s="3" t="s">
        <v>16</v>
      </c>
      <c r="D1524" s="3" t="s">
        <v>29</v>
      </c>
      <c r="E1524" s="3" t="s">
        <v>41</v>
      </c>
      <c r="F1524" s="3" t="s">
        <v>22</v>
      </c>
      <c r="G1524" s="0" t="n">
        <v>20</v>
      </c>
      <c r="H1524" s="4" t="n">
        <v>323.59</v>
      </c>
      <c r="I1524" s="4" t="n">
        <v>199.41</v>
      </c>
      <c r="J1524" s="4" t="n">
        <f aca="false">G1524*H1524</f>
        <v>6471.8</v>
      </c>
      <c r="K1524" s="4" t="n">
        <f aca="false">G1524*I1524</f>
        <v>3988.2</v>
      </c>
      <c r="L1524" s="4" t="n">
        <f aca="false">J1524-K1524</f>
        <v>2483.6</v>
      </c>
    </row>
    <row r="1525" customFormat="false" ht="15" hidden="false" customHeight="false" outlineLevel="0" collapsed="false">
      <c r="A1525" s="0" t="n">
        <v>1991</v>
      </c>
      <c r="B1525" s="2" t="n">
        <v>45922</v>
      </c>
      <c r="C1525" s="3" t="s">
        <v>32</v>
      </c>
      <c r="D1525" s="3" t="s">
        <v>29</v>
      </c>
      <c r="E1525" s="3" t="s">
        <v>37</v>
      </c>
      <c r="F1525" s="3" t="s">
        <v>33</v>
      </c>
      <c r="G1525" s="0" t="n">
        <v>28</v>
      </c>
      <c r="H1525" s="4" t="n">
        <v>118.64</v>
      </c>
      <c r="I1525" s="4" t="n">
        <v>71.57</v>
      </c>
      <c r="J1525" s="4" t="n">
        <f aca="false">G1525*H1525</f>
        <v>3321.92</v>
      </c>
      <c r="K1525" s="4" t="n">
        <f aca="false">G1525*I1525</f>
        <v>2003.96</v>
      </c>
      <c r="L1525" s="4" t="n">
        <f aca="false">J1525-K1525</f>
        <v>1317.96</v>
      </c>
    </row>
    <row r="1526" customFormat="false" ht="15" hidden="false" customHeight="false" outlineLevel="0" collapsed="false">
      <c r="A1526" s="0" t="n">
        <v>2511</v>
      </c>
      <c r="B1526" s="2" t="n">
        <v>45922</v>
      </c>
      <c r="C1526" s="3" t="s">
        <v>23</v>
      </c>
      <c r="D1526" s="3" t="s">
        <v>29</v>
      </c>
      <c r="E1526" s="3" t="s">
        <v>41</v>
      </c>
      <c r="F1526" s="3" t="s">
        <v>25</v>
      </c>
      <c r="G1526" s="0" t="n">
        <v>40</v>
      </c>
      <c r="H1526" s="4" t="n">
        <v>488.81</v>
      </c>
      <c r="I1526" s="4" t="n">
        <v>309.44</v>
      </c>
      <c r="J1526" s="4" t="n">
        <f aca="false">G1526*H1526</f>
        <v>19552.4</v>
      </c>
      <c r="K1526" s="4" t="n">
        <f aca="false">G1526*I1526</f>
        <v>12377.6</v>
      </c>
      <c r="L1526" s="4" t="n">
        <f aca="false">J1526-K1526</f>
        <v>7174.8</v>
      </c>
    </row>
    <row r="1527" customFormat="false" ht="15" hidden="false" customHeight="false" outlineLevel="0" collapsed="false">
      <c r="A1527" s="0" t="n">
        <v>1379</v>
      </c>
      <c r="B1527" s="2" t="n">
        <v>45923</v>
      </c>
      <c r="C1527" s="3" t="s">
        <v>32</v>
      </c>
      <c r="D1527" s="3" t="s">
        <v>13</v>
      </c>
      <c r="E1527" s="3" t="s">
        <v>46</v>
      </c>
      <c r="F1527" s="3" t="s">
        <v>33</v>
      </c>
      <c r="G1527" s="0" t="n">
        <v>21</v>
      </c>
      <c r="H1527" s="4" t="n">
        <v>12.61</v>
      </c>
      <c r="I1527" s="4" t="n">
        <v>8.55</v>
      </c>
      <c r="J1527" s="4" t="n">
        <f aca="false">G1527*H1527</f>
        <v>264.81</v>
      </c>
      <c r="K1527" s="4" t="n">
        <f aca="false">G1527*I1527</f>
        <v>179.55</v>
      </c>
      <c r="L1527" s="4" t="n">
        <f aca="false">J1527-K1527</f>
        <v>85.26</v>
      </c>
    </row>
    <row r="1528" customFormat="false" ht="15" hidden="false" customHeight="false" outlineLevel="0" collapsed="false">
      <c r="A1528" s="0" t="n">
        <v>2292</v>
      </c>
      <c r="B1528" s="2" t="n">
        <v>45923</v>
      </c>
      <c r="C1528" s="3" t="s">
        <v>26</v>
      </c>
      <c r="D1528" s="3" t="s">
        <v>17</v>
      </c>
      <c r="E1528" s="3" t="s">
        <v>27</v>
      </c>
      <c r="F1528" s="3" t="s">
        <v>22</v>
      </c>
      <c r="G1528" s="0" t="n">
        <v>1</v>
      </c>
      <c r="H1528" s="4" t="n">
        <v>855.3</v>
      </c>
      <c r="I1528" s="4" t="n">
        <v>549.13</v>
      </c>
      <c r="J1528" s="4" t="n">
        <f aca="false">G1528*H1528</f>
        <v>855.3</v>
      </c>
      <c r="K1528" s="4" t="n">
        <f aca="false">G1528*I1528</f>
        <v>549.13</v>
      </c>
      <c r="L1528" s="4" t="n">
        <f aca="false">J1528-K1528</f>
        <v>306.17</v>
      </c>
    </row>
    <row r="1529" customFormat="false" ht="15" hidden="false" customHeight="false" outlineLevel="0" collapsed="false">
      <c r="A1529" s="0" t="n">
        <v>2412</v>
      </c>
      <c r="B1529" s="2" t="n">
        <v>45923</v>
      </c>
      <c r="C1529" s="3" t="s">
        <v>26</v>
      </c>
      <c r="D1529" s="3" t="s">
        <v>20</v>
      </c>
      <c r="E1529" s="3" t="s">
        <v>38</v>
      </c>
      <c r="F1529" s="3" t="s">
        <v>28</v>
      </c>
      <c r="G1529" s="0" t="n">
        <v>1</v>
      </c>
      <c r="H1529" s="4" t="n">
        <v>90.82</v>
      </c>
      <c r="I1529" s="4" t="n">
        <v>48.32</v>
      </c>
      <c r="J1529" s="4" t="n">
        <f aca="false">G1529*H1529</f>
        <v>90.82</v>
      </c>
      <c r="K1529" s="4" t="n">
        <f aca="false">G1529*I1529</f>
        <v>48.32</v>
      </c>
      <c r="L1529" s="4" t="n">
        <f aca="false">J1529-K1529</f>
        <v>42.5</v>
      </c>
    </row>
    <row r="1530" customFormat="false" ht="15" hidden="false" customHeight="false" outlineLevel="0" collapsed="false">
      <c r="A1530" s="0" t="n">
        <v>1134</v>
      </c>
      <c r="B1530" s="2" t="n">
        <v>45924</v>
      </c>
      <c r="C1530" s="3" t="s">
        <v>12</v>
      </c>
      <c r="D1530" s="3" t="s">
        <v>20</v>
      </c>
      <c r="E1530" s="3" t="s">
        <v>34</v>
      </c>
      <c r="F1530" s="3" t="s">
        <v>19</v>
      </c>
      <c r="G1530" s="0" t="n">
        <v>12</v>
      </c>
      <c r="H1530" s="4" t="n">
        <v>66.35</v>
      </c>
      <c r="I1530" s="4" t="n">
        <v>40.43</v>
      </c>
      <c r="J1530" s="4" t="n">
        <f aca="false">G1530*H1530</f>
        <v>796.2</v>
      </c>
      <c r="K1530" s="4" t="n">
        <f aca="false">G1530*I1530</f>
        <v>485.16</v>
      </c>
      <c r="L1530" s="4" t="n">
        <f aca="false">J1530-K1530</f>
        <v>311.04</v>
      </c>
    </row>
    <row r="1531" customFormat="false" ht="15" hidden="false" customHeight="false" outlineLevel="0" collapsed="false">
      <c r="A1531" s="0" t="n">
        <v>2449</v>
      </c>
      <c r="B1531" s="2" t="n">
        <v>45924</v>
      </c>
      <c r="C1531" s="3" t="s">
        <v>32</v>
      </c>
      <c r="D1531" s="3" t="s">
        <v>17</v>
      </c>
      <c r="E1531" s="3" t="s">
        <v>35</v>
      </c>
      <c r="F1531" s="3" t="s">
        <v>19</v>
      </c>
      <c r="G1531" s="0" t="n">
        <v>9</v>
      </c>
      <c r="H1531" s="4" t="n">
        <v>114.19</v>
      </c>
      <c r="I1531" s="4" t="n">
        <v>68.28</v>
      </c>
      <c r="J1531" s="4" t="n">
        <f aca="false">G1531*H1531</f>
        <v>1027.71</v>
      </c>
      <c r="K1531" s="4" t="n">
        <f aca="false">G1531*I1531</f>
        <v>614.52</v>
      </c>
      <c r="L1531" s="4" t="n">
        <f aca="false">J1531-K1531</f>
        <v>413.19</v>
      </c>
    </row>
    <row r="1532" customFormat="false" ht="15" hidden="false" customHeight="false" outlineLevel="0" collapsed="false">
      <c r="A1532" s="0" t="n">
        <v>1005</v>
      </c>
      <c r="B1532" s="2" t="n">
        <v>45925</v>
      </c>
      <c r="C1532" s="3" t="s">
        <v>32</v>
      </c>
      <c r="D1532" s="3" t="s">
        <v>13</v>
      </c>
      <c r="E1532" s="3" t="s">
        <v>45</v>
      </c>
      <c r="F1532" s="3" t="s">
        <v>22</v>
      </c>
      <c r="G1532" s="0" t="n">
        <v>15</v>
      </c>
      <c r="H1532" s="4" t="n">
        <v>59.16</v>
      </c>
      <c r="I1532" s="4" t="n">
        <v>35.2</v>
      </c>
      <c r="J1532" s="4" t="n">
        <f aca="false">G1532*H1532</f>
        <v>887.4</v>
      </c>
      <c r="K1532" s="4" t="n">
        <f aca="false">G1532*I1532</f>
        <v>528</v>
      </c>
      <c r="L1532" s="4" t="n">
        <f aca="false">J1532-K1532</f>
        <v>359.4</v>
      </c>
    </row>
    <row r="1533" customFormat="false" ht="15" hidden="false" customHeight="false" outlineLevel="0" collapsed="false">
      <c r="A1533" s="0" t="n">
        <v>1373</v>
      </c>
      <c r="B1533" s="2" t="n">
        <v>45925</v>
      </c>
      <c r="C1533" s="3" t="s">
        <v>26</v>
      </c>
      <c r="D1533" s="3" t="s">
        <v>17</v>
      </c>
      <c r="E1533" s="3" t="s">
        <v>27</v>
      </c>
      <c r="F1533" s="3" t="s">
        <v>33</v>
      </c>
      <c r="G1533" s="0" t="n">
        <v>33</v>
      </c>
      <c r="H1533" s="4" t="n">
        <v>149.15</v>
      </c>
      <c r="I1533" s="4" t="n">
        <v>103.11</v>
      </c>
      <c r="J1533" s="4" t="n">
        <f aca="false">G1533*H1533</f>
        <v>4921.95</v>
      </c>
      <c r="K1533" s="4" t="n">
        <f aca="false">G1533*I1533</f>
        <v>3402.63</v>
      </c>
      <c r="L1533" s="4" t="n">
        <f aca="false">J1533-K1533</f>
        <v>1519.32</v>
      </c>
    </row>
    <row r="1534" customFormat="false" ht="15" hidden="false" customHeight="false" outlineLevel="0" collapsed="false">
      <c r="A1534" s="0" t="n">
        <v>2236</v>
      </c>
      <c r="B1534" s="2" t="n">
        <v>45925</v>
      </c>
      <c r="C1534" s="3" t="s">
        <v>32</v>
      </c>
      <c r="D1534" s="3" t="s">
        <v>20</v>
      </c>
      <c r="E1534" s="3" t="s">
        <v>21</v>
      </c>
      <c r="F1534" s="3" t="s">
        <v>33</v>
      </c>
      <c r="G1534" s="0" t="n">
        <v>20</v>
      </c>
      <c r="H1534" s="4" t="n">
        <v>202.63</v>
      </c>
      <c r="I1534" s="4" t="n">
        <v>116.53</v>
      </c>
      <c r="J1534" s="4" t="n">
        <f aca="false">G1534*H1534</f>
        <v>4052.6</v>
      </c>
      <c r="K1534" s="4" t="n">
        <f aca="false">G1534*I1534</f>
        <v>2330.6</v>
      </c>
      <c r="L1534" s="4" t="n">
        <f aca="false">J1534-K1534</f>
        <v>1722</v>
      </c>
    </row>
    <row r="1535" customFormat="false" ht="15" hidden="false" customHeight="false" outlineLevel="0" collapsed="false">
      <c r="A1535" s="0" t="n">
        <v>2533</v>
      </c>
      <c r="B1535" s="2" t="n">
        <v>45926</v>
      </c>
      <c r="C1535" s="3" t="s">
        <v>23</v>
      </c>
      <c r="D1535" s="3" t="s">
        <v>13</v>
      </c>
      <c r="E1535" s="3" t="s">
        <v>14</v>
      </c>
      <c r="F1535" s="3" t="s">
        <v>39</v>
      </c>
      <c r="G1535" s="0" t="n">
        <v>28</v>
      </c>
      <c r="H1535" s="4" t="n">
        <v>39.33</v>
      </c>
      <c r="I1535" s="4" t="n">
        <v>25.99</v>
      </c>
      <c r="J1535" s="4" t="n">
        <f aca="false">G1535*H1535</f>
        <v>1101.24</v>
      </c>
      <c r="K1535" s="4" t="n">
        <f aca="false">G1535*I1535</f>
        <v>727.72</v>
      </c>
      <c r="L1535" s="4" t="n">
        <f aca="false">J1535-K1535</f>
        <v>373.52</v>
      </c>
    </row>
    <row r="1536" customFormat="false" ht="15" hidden="false" customHeight="false" outlineLevel="0" collapsed="false">
      <c r="A1536" s="0" t="n">
        <v>2791</v>
      </c>
      <c r="B1536" s="2" t="n">
        <v>45926</v>
      </c>
      <c r="C1536" s="3" t="s">
        <v>16</v>
      </c>
      <c r="D1536" s="3" t="s">
        <v>29</v>
      </c>
      <c r="E1536" s="3" t="s">
        <v>43</v>
      </c>
      <c r="F1536" s="3" t="s">
        <v>19</v>
      </c>
      <c r="G1536" s="0" t="n">
        <v>39</v>
      </c>
      <c r="H1536" s="4" t="n">
        <v>401.01</v>
      </c>
      <c r="I1536" s="4" t="n">
        <v>217.81</v>
      </c>
      <c r="J1536" s="4" t="n">
        <f aca="false">G1536*H1536</f>
        <v>15639.39</v>
      </c>
      <c r="K1536" s="4" t="n">
        <f aca="false">G1536*I1536</f>
        <v>8494.59</v>
      </c>
      <c r="L1536" s="4" t="n">
        <f aca="false">J1536-K1536</f>
        <v>7144.8</v>
      </c>
    </row>
    <row r="1537" customFormat="false" ht="15" hidden="false" customHeight="false" outlineLevel="0" collapsed="false">
      <c r="A1537" s="0" t="n">
        <v>2397</v>
      </c>
      <c r="B1537" s="2" t="n">
        <v>45927</v>
      </c>
      <c r="C1537" s="3" t="s">
        <v>26</v>
      </c>
      <c r="D1537" s="3" t="s">
        <v>17</v>
      </c>
      <c r="E1537" s="3" t="s">
        <v>44</v>
      </c>
      <c r="F1537" s="3" t="s">
        <v>19</v>
      </c>
      <c r="G1537" s="0" t="n">
        <v>22</v>
      </c>
      <c r="H1537" s="4" t="n">
        <v>194.69</v>
      </c>
      <c r="I1537" s="4" t="n">
        <v>142.35</v>
      </c>
      <c r="J1537" s="4" t="n">
        <f aca="false">G1537*H1537</f>
        <v>4283.18</v>
      </c>
      <c r="K1537" s="4" t="n">
        <f aca="false">G1537*I1537</f>
        <v>3131.7</v>
      </c>
      <c r="L1537" s="4" t="n">
        <f aca="false">J1537-K1537</f>
        <v>1151.48</v>
      </c>
    </row>
    <row r="1538" customFormat="false" ht="15" hidden="false" customHeight="false" outlineLevel="0" collapsed="false">
      <c r="A1538" s="0" t="n">
        <v>2751</v>
      </c>
      <c r="B1538" s="2" t="n">
        <v>45927</v>
      </c>
      <c r="C1538" s="3" t="s">
        <v>23</v>
      </c>
      <c r="D1538" s="3" t="s">
        <v>20</v>
      </c>
      <c r="E1538" s="3" t="s">
        <v>21</v>
      </c>
      <c r="F1538" s="3" t="s">
        <v>36</v>
      </c>
      <c r="G1538" s="0" t="n">
        <v>3</v>
      </c>
      <c r="H1538" s="4" t="n">
        <v>66.19</v>
      </c>
      <c r="I1538" s="4" t="n">
        <v>41.21</v>
      </c>
      <c r="J1538" s="4" t="n">
        <f aca="false">G1538*H1538</f>
        <v>198.57</v>
      </c>
      <c r="K1538" s="4" t="n">
        <f aca="false">G1538*I1538</f>
        <v>123.63</v>
      </c>
      <c r="L1538" s="4" t="n">
        <f aca="false">J1538-K1538</f>
        <v>74.94</v>
      </c>
    </row>
    <row r="1539" customFormat="false" ht="15" hidden="false" customHeight="false" outlineLevel="0" collapsed="false">
      <c r="A1539" s="0" t="n">
        <v>1342</v>
      </c>
      <c r="B1539" s="2" t="n">
        <v>45928</v>
      </c>
      <c r="C1539" s="3" t="s">
        <v>32</v>
      </c>
      <c r="D1539" s="3" t="s">
        <v>17</v>
      </c>
      <c r="E1539" s="3" t="s">
        <v>40</v>
      </c>
      <c r="F1539" s="3" t="s">
        <v>33</v>
      </c>
      <c r="G1539" s="0" t="n">
        <v>12</v>
      </c>
      <c r="H1539" s="4" t="n">
        <v>155.62</v>
      </c>
      <c r="I1539" s="4" t="n">
        <v>104.65</v>
      </c>
      <c r="J1539" s="4" t="n">
        <f aca="false">G1539*H1539</f>
        <v>1867.44</v>
      </c>
      <c r="K1539" s="4" t="n">
        <f aca="false">G1539*I1539</f>
        <v>1255.8</v>
      </c>
      <c r="L1539" s="4" t="n">
        <f aca="false">J1539-K1539</f>
        <v>611.64</v>
      </c>
    </row>
    <row r="1540" customFormat="false" ht="15" hidden="false" customHeight="false" outlineLevel="0" collapsed="false">
      <c r="A1540" s="0" t="n">
        <v>2646</v>
      </c>
      <c r="B1540" s="2" t="n">
        <v>45928</v>
      </c>
      <c r="C1540" s="3" t="s">
        <v>23</v>
      </c>
      <c r="D1540" s="3" t="s">
        <v>13</v>
      </c>
      <c r="E1540" s="3" t="s">
        <v>14</v>
      </c>
      <c r="F1540" s="3" t="s">
        <v>28</v>
      </c>
      <c r="G1540" s="0" t="n">
        <v>1</v>
      </c>
      <c r="H1540" s="4" t="n">
        <v>33.78</v>
      </c>
      <c r="I1540" s="4" t="n">
        <v>22.25</v>
      </c>
      <c r="J1540" s="4" t="n">
        <f aca="false">G1540*H1540</f>
        <v>33.78</v>
      </c>
      <c r="K1540" s="4" t="n">
        <f aca="false">G1540*I1540</f>
        <v>22.25</v>
      </c>
      <c r="L1540" s="4" t="n">
        <f aca="false">J1540-K1540</f>
        <v>11.53</v>
      </c>
    </row>
    <row r="1541" customFormat="false" ht="15" hidden="false" customHeight="false" outlineLevel="0" collapsed="false">
      <c r="A1541" s="0" t="n">
        <v>1450</v>
      </c>
      <c r="B1541" s="2" t="n">
        <v>45930</v>
      </c>
      <c r="C1541" s="3" t="s">
        <v>16</v>
      </c>
      <c r="D1541" s="3" t="s">
        <v>29</v>
      </c>
      <c r="E1541" s="3" t="s">
        <v>30</v>
      </c>
      <c r="F1541" s="3" t="s">
        <v>33</v>
      </c>
      <c r="G1541" s="0" t="n">
        <v>15</v>
      </c>
      <c r="H1541" s="4" t="n">
        <v>470.69</v>
      </c>
      <c r="I1541" s="4" t="n">
        <v>293.17</v>
      </c>
      <c r="J1541" s="4" t="n">
        <f aca="false">G1541*H1541</f>
        <v>7060.35</v>
      </c>
      <c r="K1541" s="4" t="n">
        <f aca="false">G1541*I1541</f>
        <v>4397.55</v>
      </c>
      <c r="L1541" s="4" t="n">
        <f aca="false">J1541-K1541</f>
        <v>2662.8</v>
      </c>
    </row>
    <row r="1542" customFormat="false" ht="15" hidden="false" customHeight="false" outlineLevel="0" collapsed="false">
      <c r="A1542" s="0" t="n">
        <v>1699</v>
      </c>
      <c r="B1542" s="2" t="n">
        <v>45930</v>
      </c>
      <c r="C1542" s="3" t="s">
        <v>23</v>
      </c>
      <c r="D1542" s="3" t="s">
        <v>20</v>
      </c>
      <c r="E1542" s="3" t="s">
        <v>34</v>
      </c>
      <c r="F1542" s="3" t="s">
        <v>36</v>
      </c>
      <c r="G1542" s="0" t="n">
        <v>22</v>
      </c>
      <c r="H1542" s="4" t="n">
        <v>226.06</v>
      </c>
      <c r="I1542" s="4" t="n">
        <v>149.53</v>
      </c>
      <c r="J1542" s="4" t="n">
        <f aca="false">G1542*H1542</f>
        <v>4973.32</v>
      </c>
      <c r="K1542" s="4" t="n">
        <f aca="false">G1542*I1542</f>
        <v>3289.66</v>
      </c>
      <c r="L1542" s="4" t="n">
        <f aca="false">J1542-K1542</f>
        <v>1683.66</v>
      </c>
    </row>
    <row r="1543" customFormat="false" ht="15" hidden="false" customHeight="false" outlineLevel="0" collapsed="false">
      <c r="A1543" s="0" t="n">
        <v>1909</v>
      </c>
      <c r="B1543" s="2" t="n">
        <v>45930</v>
      </c>
      <c r="C1543" s="3" t="s">
        <v>16</v>
      </c>
      <c r="D1543" s="3" t="s">
        <v>17</v>
      </c>
      <c r="E1543" s="3" t="s">
        <v>18</v>
      </c>
      <c r="F1543" s="3" t="s">
        <v>22</v>
      </c>
      <c r="G1543" s="0" t="n">
        <v>19</v>
      </c>
      <c r="H1543" s="4" t="n">
        <v>775.43</v>
      </c>
      <c r="I1543" s="4" t="n">
        <v>409.91</v>
      </c>
      <c r="J1543" s="4" t="n">
        <f aca="false">G1543*H1543</f>
        <v>14733.17</v>
      </c>
      <c r="K1543" s="4" t="n">
        <f aca="false">G1543*I1543</f>
        <v>7788.29</v>
      </c>
      <c r="L1543" s="4" t="n">
        <f aca="false">J1543-K1543</f>
        <v>6944.88</v>
      </c>
    </row>
    <row r="1544" customFormat="false" ht="15" hidden="false" customHeight="false" outlineLevel="0" collapsed="false">
      <c r="A1544" s="0" t="n">
        <v>2237</v>
      </c>
      <c r="B1544" s="2" t="n">
        <v>45930</v>
      </c>
      <c r="C1544" s="3" t="s">
        <v>23</v>
      </c>
      <c r="D1544" s="3" t="s">
        <v>17</v>
      </c>
      <c r="E1544" s="3" t="s">
        <v>44</v>
      </c>
      <c r="F1544" s="3" t="s">
        <v>39</v>
      </c>
      <c r="G1544" s="0" t="n">
        <v>22</v>
      </c>
      <c r="H1544" s="4" t="n">
        <v>523.42</v>
      </c>
      <c r="I1544" s="4" t="n">
        <v>285.31</v>
      </c>
      <c r="J1544" s="4" t="n">
        <f aca="false">G1544*H1544</f>
        <v>11515.24</v>
      </c>
      <c r="K1544" s="4" t="n">
        <f aca="false">G1544*I1544</f>
        <v>6276.82</v>
      </c>
      <c r="L1544" s="4" t="n">
        <f aca="false">J1544-K1544</f>
        <v>5238.42</v>
      </c>
    </row>
    <row r="1545" customFormat="false" ht="15" hidden="false" customHeight="false" outlineLevel="0" collapsed="false">
      <c r="A1545" s="0" t="n">
        <v>2272</v>
      </c>
      <c r="B1545" s="2" t="n">
        <v>45930</v>
      </c>
      <c r="C1545" s="3" t="s">
        <v>32</v>
      </c>
      <c r="D1545" s="3" t="s">
        <v>17</v>
      </c>
      <c r="E1545" s="3" t="s">
        <v>35</v>
      </c>
      <c r="F1545" s="3" t="s">
        <v>28</v>
      </c>
      <c r="G1545" s="0" t="n">
        <v>30</v>
      </c>
      <c r="H1545" s="4" t="n">
        <v>566.18</v>
      </c>
      <c r="I1545" s="4" t="n">
        <v>346.71</v>
      </c>
      <c r="J1545" s="4" t="n">
        <f aca="false">G1545*H1545</f>
        <v>16985.4</v>
      </c>
      <c r="K1545" s="4" t="n">
        <f aca="false">G1545*I1545</f>
        <v>10401.3</v>
      </c>
      <c r="L1545" s="4" t="n">
        <f aca="false">J1545-K1545</f>
        <v>6584.1</v>
      </c>
    </row>
    <row r="1546" customFormat="false" ht="15" hidden="false" customHeight="false" outlineLevel="0" collapsed="false">
      <c r="A1546" s="0" t="n">
        <v>2521</v>
      </c>
      <c r="B1546" s="2" t="n">
        <v>45930</v>
      </c>
      <c r="C1546" s="3" t="s">
        <v>26</v>
      </c>
      <c r="D1546" s="3" t="s">
        <v>17</v>
      </c>
      <c r="E1546" s="3" t="s">
        <v>27</v>
      </c>
      <c r="F1546" s="3" t="s">
        <v>28</v>
      </c>
      <c r="G1546" s="0" t="n">
        <v>39</v>
      </c>
      <c r="H1546" s="4" t="n">
        <v>466.77</v>
      </c>
      <c r="I1546" s="4" t="n">
        <v>301.3</v>
      </c>
      <c r="J1546" s="4" t="n">
        <f aca="false">G1546*H1546</f>
        <v>18204.03</v>
      </c>
      <c r="K1546" s="4" t="n">
        <f aca="false">G1546*I1546</f>
        <v>11750.7</v>
      </c>
      <c r="L1546" s="4" t="n">
        <f aca="false">J1546-K1546</f>
        <v>6453.33</v>
      </c>
    </row>
    <row r="1547" customFormat="false" ht="15" hidden="false" customHeight="false" outlineLevel="0" collapsed="false">
      <c r="A1547" s="0" t="n">
        <v>1871</v>
      </c>
      <c r="B1547" s="2" t="n">
        <v>45931</v>
      </c>
      <c r="C1547" s="3" t="s">
        <v>32</v>
      </c>
      <c r="D1547" s="3" t="s">
        <v>29</v>
      </c>
      <c r="E1547" s="3" t="s">
        <v>30</v>
      </c>
      <c r="F1547" s="3" t="s">
        <v>15</v>
      </c>
      <c r="G1547" s="0" t="n">
        <v>32</v>
      </c>
      <c r="H1547" s="4" t="n">
        <v>420.5</v>
      </c>
      <c r="I1547" s="4" t="n">
        <v>218.28</v>
      </c>
      <c r="J1547" s="4" t="n">
        <f aca="false">G1547*H1547</f>
        <v>13456</v>
      </c>
      <c r="K1547" s="4" t="n">
        <f aca="false">G1547*I1547</f>
        <v>6984.96</v>
      </c>
      <c r="L1547" s="4" t="n">
        <f aca="false">J1547-K1547</f>
        <v>6471.04</v>
      </c>
    </row>
    <row r="1548" customFormat="false" ht="15" hidden="false" customHeight="false" outlineLevel="0" collapsed="false">
      <c r="A1548" s="0" t="n">
        <v>1894</v>
      </c>
      <c r="B1548" s="2" t="n">
        <v>45931</v>
      </c>
      <c r="C1548" s="3" t="s">
        <v>32</v>
      </c>
      <c r="D1548" s="3" t="s">
        <v>29</v>
      </c>
      <c r="E1548" s="3" t="s">
        <v>30</v>
      </c>
      <c r="F1548" s="3" t="s">
        <v>36</v>
      </c>
      <c r="G1548" s="0" t="n">
        <v>33</v>
      </c>
      <c r="H1548" s="4" t="n">
        <v>496.32</v>
      </c>
      <c r="I1548" s="4" t="n">
        <v>369.44</v>
      </c>
      <c r="J1548" s="4" t="n">
        <f aca="false">G1548*H1548</f>
        <v>16378.56</v>
      </c>
      <c r="K1548" s="4" t="n">
        <f aca="false">G1548*I1548</f>
        <v>12191.52</v>
      </c>
      <c r="L1548" s="4" t="n">
        <f aca="false">J1548-K1548</f>
        <v>4187.04</v>
      </c>
    </row>
    <row r="1549" customFormat="false" ht="15" hidden="false" customHeight="false" outlineLevel="0" collapsed="false">
      <c r="A1549" s="0" t="n">
        <v>2338</v>
      </c>
      <c r="B1549" s="2" t="n">
        <v>45931</v>
      </c>
      <c r="C1549" s="3" t="s">
        <v>32</v>
      </c>
      <c r="D1549" s="3" t="s">
        <v>29</v>
      </c>
      <c r="E1549" s="3" t="s">
        <v>41</v>
      </c>
      <c r="F1549" s="3" t="s">
        <v>39</v>
      </c>
      <c r="G1549" s="0" t="n">
        <v>15</v>
      </c>
      <c r="H1549" s="4" t="n">
        <v>395.73</v>
      </c>
      <c r="I1549" s="4" t="n">
        <v>232.84</v>
      </c>
      <c r="J1549" s="4" t="n">
        <f aca="false">G1549*H1549</f>
        <v>5935.95</v>
      </c>
      <c r="K1549" s="4" t="n">
        <f aca="false">G1549*I1549</f>
        <v>3492.6</v>
      </c>
      <c r="L1549" s="4" t="n">
        <f aca="false">J1549-K1549</f>
        <v>2443.35</v>
      </c>
    </row>
    <row r="1550" customFormat="false" ht="15" hidden="false" customHeight="false" outlineLevel="0" collapsed="false">
      <c r="A1550" s="0" t="n">
        <v>2536</v>
      </c>
      <c r="B1550" s="2" t="n">
        <v>45931</v>
      </c>
      <c r="C1550" s="3" t="s">
        <v>26</v>
      </c>
      <c r="D1550" s="3" t="s">
        <v>17</v>
      </c>
      <c r="E1550" s="3" t="s">
        <v>18</v>
      </c>
      <c r="F1550" s="3" t="s">
        <v>22</v>
      </c>
      <c r="G1550" s="0" t="n">
        <v>6</v>
      </c>
      <c r="H1550" s="4" t="n">
        <v>496.46</v>
      </c>
      <c r="I1550" s="4" t="n">
        <v>316.83</v>
      </c>
      <c r="J1550" s="4" t="n">
        <f aca="false">G1550*H1550</f>
        <v>2978.76</v>
      </c>
      <c r="K1550" s="4" t="n">
        <f aca="false">G1550*I1550</f>
        <v>1900.98</v>
      </c>
      <c r="L1550" s="4" t="n">
        <f aca="false">J1550-K1550</f>
        <v>1077.78</v>
      </c>
    </row>
    <row r="1551" customFormat="false" ht="15" hidden="false" customHeight="false" outlineLevel="0" collapsed="false">
      <c r="A1551" s="0" t="n">
        <v>1443</v>
      </c>
      <c r="B1551" s="2" t="n">
        <v>45932</v>
      </c>
      <c r="C1551" s="3" t="s">
        <v>26</v>
      </c>
      <c r="D1551" s="3" t="s">
        <v>17</v>
      </c>
      <c r="E1551" s="3" t="s">
        <v>40</v>
      </c>
      <c r="F1551" s="3" t="s">
        <v>19</v>
      </c>
      <c r="G1551" s="0" t="n">
        <v>35</v>
      </c>
      <c r="H1551" s="4" t="n">
        <v>724.83</v>
      </c>
      <c r="I1551" s="4" t="n">
        <v>505.31</v>
      </c>
      <c r="J1551" s="4" t="n">
        <f aca="false">G1551*H1551</f>
        <v>25369.05</v>
      </c>
      <c r="K1551" s="4" t="n">
        <f aca="false">G1551*I1551</f>
        <v>17685.85</v>
      </c>
      <c r="L1551" s="4" t="n">
        <f aca="false">J1551-K1551</f>
        <v>7683.2</v>
      </c>
    </row>
    <row r="1552" customFormat="false" ht="15" hidden="false" customHeight="false" outlineLevel="0" collapsed="false">
      <c r="A1552" s="0" t="n">
        <v>1453</v>
      </c>
      <c r="B1552" s="2" t="n">
        <v>45932</v>
      </c>
      <c r="C1552" s="3" t="s">
        <v>12</v>
      </c>
      <c r="D1552" s="3" t="s">
        <v>20</v>
      </c>
      <c r="E1552" s="3" t="s">
        <v>42</v>
      </c>
      <c r="F1552" s="3" t="s">
        <v>33</v>
      </c>
      <c r="G1552" s="0" t="n">
        <v>30</v>
      </c>
      <c r="H1552" s="4" t="n">
        <v>241.89</v>
      </c>
      <c r="I1552" s="4" t="n">
        <v>154.2</v>
      </c>
      <c r="J1552" s="4" t="n">
        <f aca="false">G1552*H1552</f>
        <v>7256.7</v>
      </c>
      <c r="K1552" s="4" t="n">
        <f aca="false">G1552*I1552</f>
        <v>4626</v>
      </c>
      <c r="L1552" s="4" t="n">
        <f aca="false">J1552-K1552</f>
        <v>2630.7</v>
      </c>
    </row>
    <row r="1553" customFormat="false" ht="15" hidden="false" customHeight="false" outlineLevel="0" collapsed="false">
      <c r="A1553" s="0" t="n">
        <v>1473</v>
      </c>
      <c r="B1553" s="2" t="n">
        <v>45932</v>
      </c>
      <c r="C1553" s="3" t="s">
        <v>32</v>
      </c>
      <c r="D1553" s="3" t="s">
        <v>20</v>
      </c>
      <c r="E1553" s="3" t="s">
        <v>42</v>
      </c>
      <c r="F1553" s="3" t="s">
        <v>15</v>
      </c>
      <c r="G1553" s="0" t="n">
        <v>15</v>
      </c>
      <c r="H1553" s="4" t="n">
        <v>44.58</v>
      </c>
      <c r="I1553" s="4" t="n">
        <v>26.55</v>
      </c>
      <c r="J1553" s="4" t="n">
        <f aca="false">G1553*H1553</f>
        <v>668.7</v>
      </c>
      <c r="K1553" s="4" t="n">
        <f aca="false">G1553*I1553</f>
        <v>398.25</v>
      </c>
      <c r="L1553" s="4" t="n">
        <f aca="false">J1553-K1553</f>
        <v>270.45</v>
      </c>
    </row>
    <row r="1554" customFormat="false" ht="15" hidden="false" customHeight="false" outlineLevel="0" collapsed="false">
      <c r="A1554" s="0" t="n">
        <v>2214</v>
      </c>
      <c r="B1554" s="2" t="n">
        <v>45933</v>
      </c>
      <c r="C1554" s="3" t="s">
        <v>23</v>
      </c>
      <c r="D1554" s="3" t="s">
        <v>20</v>
      </c>
      <c r="E1554" s="3" t="s">
        <v>21</v>
      </c>
      <c r="F1554" s="3" t="s">
        <v>36</v>
      </c>
      <c r="G1554" s="0" t="n">
        <v>6</v>
      </c>
      <c r="H1554" s="4" t="n">
        <v>155.55</v>
      </c>
      <c r="I1554" s="4" t="n">
        <v>92.89</v>
      </c>
      <c r="J1554" s="4" t="n">
        <f aca="false">G1554*H1554</f>
        <v>933.3</v>
      </c>
      <c r="K1554" s="4" t="n">
        <f aca="false">G1554*I1554</f>
        <v>557.34</v>
      </c>
      <c r="L1554" s="4" t="n">
        <f aca="false">J1554-K1554</f>
        <v>375.96</v>
      </c>
    </row>
    <row r="1555" customFormat="false" ht="15" hidden="false" customHeight="false" outlineLevel="0" collapsed="false">
      <c r="A1555" s="0" t="n">
        <v>2234</v>
      </c>
      <c r="B1555" s="2" t="n">
        <v>45933</v>
      </c>
      <c r="C1555" s="3" t="s">
        <v>32</v>
      </c>
      <c r="D1555" s="3" t="s">
        <v>13</v>
      </c>
      <c r="E1555" s="3" t="s">
        <v>14</v>
      </c>
      <c r="F1555" s="3" t="s">
        <v>36</v>
      </c>
      <c r="G1555" s="0" t="n">
        <v>27</v>
      </c>
      <c r="H1555" s="4" t="n">
        <v>28.78</v>
      </c>
      <c r="I1555" s="4" t="n">
        <v>16.82</v>
      </c>
      <c r="J1555" s="4" t="n">
        <f aca="false">G1555*H1555</f>
        <v>777.06</v>
      </c>
      <c r="K1555" s="4" t="n">
        <f aca="false">G1555*I1555</f>
        <v>454.14</v>
      </c>
      <c r="L1555" s="4" t="n">
        <f aca="false">J1555-K1555</f>
        <v>322.92</v>
      </c>
    </row>
    <row r="1556" customFormat="false" ht="15" hidden="false" customHeight="false" outlineLevel="0" collapsed="false">
      <c r="A1556" s="0" t="n">
        <v>2680</v>
      </c>
      <c r="B1556" s="2" t="n">
        <v>45933</v>
      </c>
      <c r="C1556" s="3" t="s">
        <v>16</v>
      </c>
      <c r="D1556" s="3" t="s">
        <v>17</v>
      </c>
      <c r="E1556" s="3" t="s">
        <v>44</v>
      </c>
      <c r="F1556" s="3" t="s">
        <v>33</v>
      </c>
      <c r="G1556" s="0" t="n">
        <v>40</v>
      </c>
      <c r="H1556" s="4" t="n">
        <v>577.94</v>
      </c>
      <c r="I1556" s="4" t="n">
        <v>397.34</v>
      </c>
      <c r="J1556" s="4" t="n">
        <f aca="false">G1556*H1556</f>
        <v>23117.6</v>
      </c>
      <c r="K1556" s="4" t="n">
        <f aca="false">G1556*I1556</f>
        <v>15893.6</v>
      </c>
      <c r="L1556" s="4" t="n">
        <f aca="false">J1556-K1556</f>
        <v>7224</v>
      </c>
    </row>
    <row r="1557" customFormat="false" ht="15" hidden="false" customHeight="false" outlineLevel="0" collapsed="false">
      <c r="A1557" s="0" t="n">
        <v>1309</v>
      </c>
      <c r="B1557" s="2" t="n">
        <v>45934</v>
      </c>
      <c r="C1557" s="3" t="s">
        <v>12</v>
      </c>
      <c r="D1557" s="3" t="s">
        <v>29</v>
      </c>
      <c r="E1557" s="3" t="s">
        <v>43</v>
      </c>
      <c r="F1557" s="3" t="s">
        <v>25</v>
      </c>
      <c r="G1557" s="0" t="n">
        <v>6</v>
      </c>
      <c r="H1557" s="4" t="n">
        <v>216.97</v>
      </c>
      <c r="I1557" s="4" t="n">
        <v>133.34</v>
      </c>
      <c r="J1557" s="4" t="n">
        <f aca="false">G1557*H1557</f>
        <v>1301.82</v>
      </c>
      <c r="K1557" s="4" t="n">
        <f aca="false">G1557*I1557</f>
        <v>800.04</v>
      </c>
      <c r="L1557" s="4" t="n">
        <f aca="false">J1557-K1557</f>
        <v>501.78</v>
      </c>
    </row>
    <row r="1558" customFormat="false" ht="15" hidden="false" customHeight="false" outlineLevel="0" collapsed="false">
      <c r="A1558" s="0" t="n">
        <v>2323</v>
      </c>
      <c r="B1558" s="2" t="n">
        <v>45934</v>
      </c>
      <c r="C1558" s="3" t="s">
        <v>16</v>
      </c>
      <c r="D1558" s="3" t="s">
        <v>17</v>
      </c>
      <c r="E1558" s="3" t="s">
        <v>44</v>
      </c>
      <c r="F1558" s="3" t="s">
        <v>19</v>
      </c>
      <c r="G1558" s="0" t="n">
        <v>33</v>
      </c>
      <c r="H1558" s="4" t="n">
        <v>182.14</v>
      </c>
      <c r="I1558" s="4" t="n">
        <v>94.38</v>
      </c>
      <c r="J1558" s="4" t="n">
        <f aca="false">G1558*H1558</f>
        <v>6010.62</v>
      </c>
      <c r="K1558" s="4" t="n">
        <f aca="false">G1558*I1558</f>
        <v>3114.54</v>
      </c>
      <c r="L1558" s="4" t="n">
        <f aca="false">J1558-K1558</f>
        <v>2896.08</v>
      </c>
    </row>
    <row r="1559" customFormat="false" ht="15" hidden="false" customHeight="false" outlineLevel="0" collapsed="false">
      <c r="A1559" s="0" t="n">
        <v>2433</v>
      </c>
      <c r="B1559" s="2" t="n">
        <v>45934</v>
      </c>
      <c r="C1559" s="3" t="s">
        <v>32</v>
      </c>
      <c r="D1559" s="3" t="s">
        <v>20</v>
      </c>
      <c r="E1559" s="3" t="s">
        <v>34</v>
      </c>
      <c r="F1559" s="3" t="s">
        <v>25</v>
      </c>
      <c r="G1559" s="0" t="n">
        <v>11</v>
      </c>
      <c r="H1559" s="4" t="n">
        <v>169.25</v>
      </c>
      <c r="I1559" s="4" t="n">
        <v>113.59</v>
      </c>
      <c r="J1559" s="4" t="n">
        <f aca="false">G1559*H1559</f>
        <v>1861.75</v>
      </c>
      <c r="K1559" s="4" t="n">
        <f aca="false">G1559*I1559</f>
        <v>1249.49</v>
      </c>
      <c r="L1559" s="4" t="n">
        <f aca="false">J1559-K1559</f>
        <v>612.26</v>
      </c>
    </row>
    <row r="1560" customFormat="false" ht="15" hidden="false" customHeight="false" outlineLevel="0" collapsed="false">
      <c r="A1560" s="0" t="n">
        <v>1125</v>
      </c>
      <c r="B1560" s="2" t="n">
        <v>45935</v>
      </c>
      <c r="C1560" s="3" t="s">
        <v>23</v>
      </c>
      <c r="D1560" s="3" t="s">
        <v>20</v>
      </c>
      <c r="E1560" s="3" t="s">
        <v>21</v>
      </c>
      <c r="F1560" s="3" t="s">
        <v>33</v>
      </c>
      <c r="G1560" s="0" t="n">
        <v>21</v>
      </c>
      <c r="H1560" s="4" t="n">
        <v>104.79</v>
      </c>
      <c r="I1560" s="4" t="n">
        <v>59.59</v>
      </c>
      <c r="J1560" s="4" t="n">
        <f aca="false">G1560*H1560</f>
        <v>2200.59</v>
      </c>
      <c r="K1560" s="4" t="n">
        <f aca="false">G1560*I1560</f>
        <v>1251.39</v>
      </c>
      <c r="L1560" s="4" t="n">
        <f aca="false">J1560-K1560</f>
        <v>949.2</v>
      </c>
    </row>
    <row r="1561" customFormat="false" ht="15" hidden="false" customHeight="false" outlineLevel="0" collapsed="false">
      <c r="A1561" s="0" t="n">
        <v>1258</v>
      </c>
      <c r="B1561" s="2" t="n">
        <v>45935</v>
      </c>
      <c r="C1561" s="3" t="s">
        <v>12</v>
      </c>
      <c r="D1561" s="3" t="s">
        <v>20</v>
      </c>
      <c r="E1561" s="3" t="s">
        <v>21</v>
      </c>
      <c r="F1561" s="3" t="s">
        <v>39</v>
      </c>
      <c r="G1561" s="0" t="n">
        <v>6</v>
      </c>
      <c r="H1561" s="4" t="n">
        <v>224.4</v>
      </c>
      <c r="I1561" s="4" t="n">
        <v>131.92</v>
      </c>
      <c r="J1561" s="4" t="n">
        <f aca="false">G1561*H1561</f>
        <v>1346.4</v>
      </c>
      <c r="K1561" s="4" t="n">
        <f aca="false">G1561*I1561</f>
        <v>791.52</v>
      </c>
      <c r="L1561" s="4" t="n">
        <f aca="false">J1561-K1561</f>
        <v>554.88</v>
      </c>
    </row>
    <row r="1562" customFormat="false" ht="15" hidden="false" customHeight="false" outlineLevel="0" collapsed="false">
      <c r="A1562" s="0" t="n">
        <v>1962</v>
      </c>
      <c r="B1562" s="2" t="n">
        <v>45935</v>
      </c>
      <c r="C1562" s="3" t="s">
        <v>23</v>
      </c>
      <c r="D1562" s="3" t="s">
        <v>13</v>
      </c>
      <c r="E1562" s="3" t="s">
        <v>14</v>
      </c>
      <c r="F1562" s="3" t="s">
        <v>36</v>
      </c>
      <c r="G1562" s="0" t="n">
        <v>7</v>
      </c>
      <c r="H1562" s="4" t="n">
        <v>28.19</v>
      </c>
      <c r="I1562" s="4" t="n">
        <v>19.12</v>
      </c>
      <c r="J1562" s="4" t="n">
        <f aca="false">G1562*H1562</f>
        <v>197.33</v>
      </c>
      <c r="K1562" s="4" t="n">
        <f aca="false">G1562*I1562</f>
        <v>133.84</v>
      </c>
      <c r="L1562" s="4" t="n">
        <f aca="false">J1562-K1562</f>
        <v>63.49</v>
      </c>
    </row>
    <row r="1563" customFormat="false" ht="15" hidden="false" customHeight="false" outlineLevel="0" collapsed="false">
      <c r="A1563" s="0" t="n">
        <v>1043</v>
      </c>
      <c r="B1563" s="2" t="n">
        <v>45936</v>
      </c>
      <c r="C1563" s="3" t="s">
        <v>16</v>
      </c>
      <c r="D1563" s="3" t="s">
        <v>13</v>
      </c>
      <c r="E1563" s="3" t="s">
        <v>14</v>
      </c>
      <c r="F1563" s="3" t="s">
        <v>28</v>
      </c>
      <c r="G1563" s="0" t="n">
        <v>26</v>
      </c>
      <c r="H1563" s="4" t="n">
        <v>40.4</v>
      </c>
      <c r="I1563" s="4" t="n">
        <v>27.98</v>
      </c>
      <c r="J1563" s="4" t="n">
        <f aca="false">G1563*H1563</f>
        <v>1050.4</v>
      </c>
      <c r="K1563" s="4" t="n">
        <f aca="false">G1563*I1563</f>
        <v>727.48</v>
      </c>
      <c r="L1563" s="4" t="n">
        <f aca="false">J1563-K1563</f>
        <v>322.92</v>
      </c>
    </row>
    <row r="1564" customFormat="false" ht="15" hidden="false" customHeight="false" outlineLevel="0" collapsed="false">
      <c r="A1564" s="0" t="n">
        <v>1286</v>
      </c>
      <c r="B1564" s="2" t="n">
        <v>45937</v>
      </c>
      <c r="C1564" s="3" t="s">
        <v>16</v>
      </c>
      <c r="D1564" s="3" t="s">
        <v>17</v>
      </c>
      <c r="E1564" s="3" t="s">
        <v>18</v>
      </c>
      <c r="F1564" s="3" t="s">
        <v>33</v>
      </c>
      <c r="G1564" s="0" t="n">
        <v>31</v>
      </c>
      <c r="H1564" s="4" t="n">
        <v>517.39</v>
      </c>
      <c r="I1564" s="4" t="n">
        <v>308.93</v>
      </c>
      <c r="J1564" s="4" t="n">
        <f aca="false">G1564*H1564</f>
        <v>16039.09</v>
      </c>
      <c r="K1564" s="4" t="n">
        <f aca="false">G1564*I1564</f>
        <v>9576.83</v>
      </c>
      <c r="L1564" s="4" t="n">
        <f aca="false">J1564-K1564</f>
        <v>6462.26</v>
      </c>
    </row>
    <row r="1565" customFormat="false" ht="15" hidden="false" customHeight="false" outlineLevel="0" collapsed="false">
      <c r="A1565" s="0" t="n">
        <v>1547</v>
      </c>
      <c r="B1565" s="2" t="n">
        <v>45937</v>
      </c>
      <c r="C1565" s="3" t="s">
        <v>32</v>
      </c>
      <c r="D1565" s="3" t="s">
        <v>20</v>
      </c>
      <c r="E1565" s="3" t="s">
        <v>42</v>
      </c>
      <c r="F1565" s="3" t="s">
        <v>28</v>
      </c>
      <c r="G1565" s="0" t="n">
        <v>13</v>
      </c>
      <c r="H1565" s="4" t="n">
        <v>186.02</v>
      </c>
      <c r="I1565" s="4" t="n">
        <v>115.76</v>
      </c>
      <c r="J1565" s="4" t="n">
        <f aca="false">G1565*H1565</f>
        <v>2418.26</v>
      </c>
      <c r="K1565" s="4" t="n">
        <f aca="false">G1565*I1565</f>
        <v>1504.88</v>
      </c>
      <c r="L1565" s="4" t="n">
        <f aca="false">J1565-K1565</f>
        <v>913.38</v>
      </c>
    </row>
    <row r="1566" customFormat="false" ht="15" hidden="false" customHeight="false" outlineLevel="0" collapsed="false">
      <c r="A1566" s="0" t="n">
        <v>2074</v>
      </c>
      <c r="B1566" s="2" t="n">
        <v>45938</v>
      </c>
      <c r="C1566" s="3" t="s">
        <v>12</v>
      </c>
      <c r="D1566" s="3" t="s">
        <v>17</v>
      </c>
      <c r="E1566" s="3" t="s">
        <v>35</v>
      </c>
      <c r="F1566" s="3" t="s">
        <v>36</v>
      </c>
      <c r="G1566" s="0" t="n">
        <v>10</v>
      </c>
      <c r="H1566" s="4" t="n">
        <v>511.88</v>
      </c>
      <c r="I1566" s="4" t="n">
        <v>359.71</v>
      </c>
      <c r="J1566" s="4" t="n">
        <f aca="false">G1566*H1566</f>
        <v>5118.8</v>
      </c>
      <c r="K1566" s="4" t="n">
        <f aca="false">G1566*I1566</f>
        <v>3597.1</v>
      </c>
      <c r="L1566" s="4" t="n">
        <f aca="false">J1566-K1566</f>
        <v>1521.7</v>
      </c>
    </row>
    <row r="1567" customFormat="false" ht="15" hidden="false" customHeight="false" outlineLevel="0" collapsed="false">
      <c r="A1567" s="0" t="n">
        <v>2398</v>
      </c>
      <c r="B1567" s="2" t="n">
        <v>45938</v>
      </c>
      <c r="C1567" s="3" t="s">
        <v>32</v>
      </c>
      <c r="D1567" s="3" t="s">
        <v>17</v>
      </c>
      <c r="E1567" s="3" t="s">
        <v>40</v>
      </c>
      <c r="F1567" s="3" t="s">
        <v>36</v>
      </c>
      <c r="G1567" s="0" t="n">
        <v>28</v>
      </c>
      <c r="H1567" s="4" t="n">
        <v>147</v>
      </c>
      <c r="I1567" s="4" t="n">
        <v>80.49</v>
      </c>
      <c r="J1567" s="4" t="n">
        <f aca="false">G1567*H1567</f>
        <v>4116</v>
      </c>
      <c r="K1567" s="4" t="n">
        <f aca="false">G1567*I1567</f>
        <v>2253.72</v>
      </c>
      <c r="L1567" s="4" t="n">
        <f aca="false">J1567-K1567</f>
        <v>1862.28</v>
      </c>
    </row>
    <row r="1568" customFormat="false" ht="15" hidden="false" customHeight="false" outlineLevel="0" collapsed="false">
      <c r="A1568" s="0" t="n">
        <v>1925</v>
      </c>
      <c r="B1568" s="2" t="n">
        <v>45939</v>
      </c>
      <c r="C1568" s="3" t="s">
        <v>26</v>
      </c>
      <c r="D1568" s="3" t="s">
        <v>20</v>
      </c>
      <c r="E1568" s="3" t="s">
        <v>34</v>
      </c>
      <c r="F1568" s="3" t="s">
        <v>22</v>
      </c>
      <c r="G1568" s="0" t="n">
        <v>33</v>
      </c>
      <c r="H1568" s="4" t="n">
        <v>265.63</v>
      </c>
      <c r="I1568" s="4" t="n">
        <v>195.93</v>
      </c>
      <c r="J1568" s="4" t="n">
        <f aca="false">G1568*H1568</f>
        <v>8765.79</v>
      </c>
      <c r="K1568" s="4" t="n">
        <f aca="false">G1568*I1568</f>
        <v>6465.69</v>
      </c>
      <c r="L1568" s="4" t="n">
        <f aca="false">J1568-K1568</f>
        <v>2300.1</v>
      </c>
    </row>
    <row r="1569" customFormat="false" ht="15" hidden="false" customHeight="false" outlineLevel="0" collapsed="false">
      <c r="A1569" s="0" t="n">
        <v>2264</v>
      </c>
      <c r="B1569" s="2" t="n">
        <v>45939</v>
      </c>
      <c r="C1569" s="3" t="s">
        <v>12</v>
      </c>
      <c r="D1569" s="3" t="s">
        <v>20</v>
      </c>
      <c r="E1569" s="3" t="s">
        <v>38</v>
      </c>
      <c r="F1569" s="3" t="s">
        <v>22</v>
      </c>
      <c r="G1569" s="0" t="n">
        <v>28</v>
      </c>
      <c r="H1569" s="4" t="n">
        <v>186.02</v>
      </c>
      <c r="I1569" s="4" t="n">
        <v>101.56</v>
      </c>
      <c r="J1569" s="4" t="n">
        <f aca="false">G1569*H1569</f>
        <v>5208.56</v>
      </c>
      <c r="K1569" s="4" t="n">
        <f aca="false">G1569*I1569</f>
        <v>2843.68</v>
      </c>
      <c r="L1569" s="4" t="n">
        <f aca="false">J1569-K1569</f>
        <v>2364.88</v>
      </c>
    </row>
    <row r="1570" customFormat="false" ht="15" hidden="false" customHeight="false" outlineLevel="0" collapsed="false">
      <c r="A1570" s="0" t="n">
        <v>1354</v>
      </c>
      <c r="B1570" s="2" t="n">
        <v>45940</v>
      </c>
      <c r="C1570" s="3" t="s">
        <v>16</v>
      </c>
      <c r="D1570" s="3" t="s">
        <v>17</v>
      </c>
      <c r="E1570" s="3" t="s">
        <v>18</v>
      </c>
      <c r="F1570" s="3" t="s">
        <v>28</v>
      </c>
      <c r="G1570" s="0" t="n">
        <v>38</v>
      </c>
      <c r="H1570" s="4" t="n">
        <v>863.2</v>
      </c>
      <c r="I1570" s="4" t="n">
        <v>442.08</v>
      </c>
      <c r="J1570" s="4" t="n">
        <f aca="false">G1570*H1570</f>
        <v>32801.6</v>
      </c>
      <c r="K1570" s="4" t="n">
        <f aca="false">G1570*I1570</f>
        <v>16799.04</v>
      </c>
      <c r="L1570" s="4" t="n">
        <f aca="false">J1570-K1570</f>
        <v>16002.56</v>
      </c>
    </row>
    <row r="1571" customFormat="false" ht="15" hidden="false" customHeight="false" outlineLevel="0" collapsed="false">
      <c r="A1571" s="0" t="n">
        <v>1455</v>
      </c>
      <c r="B1571" s="2" t="n">
        <v>45940</v>
      </c>
      <c r="C1571" s="3" t="s">
        <v>23</v>
      </c>
      <c r="D1571" s="3" t="s">
        <v>29</v>
      </c>
      <c r="E1571" s="3" t="s">
        <v>37</v>
      </c>
      <c r="F1571" s="3" t="s">
        <v>39</v>
      </c>
      <c r="G1571" s="0" t="n">
        <v>25</v>
      </c>
      <c r="H1571" s="4" t="n">
        <v>186.72</v>
      </c>
      <c r="I1571" s="4" t="n">
        <v>114.25</v>
      </c>
      <c r="J1571" s="4" t="n">
        <f aca="false">G1571*H1571</f>
        <v>4668</v>
      </c>
      <c r="K1571" s="4" t="n">
        <f aca="false">G1571*I1571</f>
        <v>2856.25</v>
      </c>
      <c r="L1571" s="4" t="n">
        <f aca="false">J1571-K1571</f>
        <v>1811.75</v>
      </c>
    </row>
    <row r="1572" customFormat="false" ht="15" hidden="false" customHeight="false" outlineLevel="0" collapsed="false">
      <c r="A1572" s="0" t="n">
        <v>1569</v>
      </c>
      <c r="B1572" s="2" t="n">
        <v>45940</v>
      </c>
      <c r="C1572" s="3" t="s">
        <v>26</v>
      </c>
      <c r="D1572" s="3" t="s">
        <v>17</v>
      </c>
      <c r="E1572" s="3" t="s">
        <v>18</v>
      </c>
      <c r="F1572" s="3" t="s">
        <v>33</v>
      </c>
      <c r="G1572" s="0" t="n">
        <v>34</v>
      </c>
      <c r="H1572" s="4" t="n">
        <v>87.48</v>
      </c>
      <c r="I1572" s="4" t="n">
        <v>55.6</v>
      </c>
      <c r="J1572" s="4" t="n">
        <f aca="false">G1572*H1572</f>
        <v>2974.32</v>
      </c>
      <c r="K1572" s="4" t="n">
        <f aca="false">G1572*I1572</f>
        <v>1890.4</v>
      </c>
      <c r="L1572" s="4" t="n">
        <f aca="false">J1572-K1572</f>
        <v>1083.92</v>
      </c>
    </row>
    <row r="1573" customFormat="false" ht="15" hidden="false" customHeight="false" outlineLevel="0" collapsed="false">
      <c r="A1573" s="0" t="n">
        <v>2685</v>
      </c>
      <c r="B1573" s="2" t="n">
        <v>45940</v>
      </c>
      <c r="C1573" s="3" t="s">
        <v>32</v>
      </c>
      <c r="D1573" s="3" t="s">
        <v>17</v>
      </c>
      <c r="E1573" s="3" t="s">
        <v>27</v>
      </c>
      <c r="F1573" s="3" t="s">
        <v>28</v>
      </c>
      <c r="G1573" s="0" t="n">
        <v>14</v>
      </c>
      <c r="H1573" s="4" t="n">
        <v>887.71</v>
      </c>
      <c r="I1573" s="4" t="n">
        <v>507.3</v>
      </c>
      <c r="J1573" s="4" t="n">
        <f aca="false">G1573*H1573</f>
        <v>12427.94</v>
      </c>
      <c r="K1573" s="4" t="n">
        <f aca="false">G1573*I1573</f>
        <v>7102.2</v>
      </c>
      <c r="L1573" s="4" t="n">
        <f aca="false">J1573-K1573</f>
        <v>5325.74</v>
      </c>
    </row>
    <row r="1574" customFormat="false" ht="15" hidden="false" customHeight="false" outlineLevel="0" collapsed="false">
      <c r="A1574" s="0" t="n">
        <v>1375</v>
      </c>
      <c r="B1574" s="2" t="n">
        <v>45941</v>
      </c>
      <c r="C1574" s="3" t="s">
        <v>12</v>
      </c>
      <c r="D1574" s="3" t="s">
        <v>29</v>
      </c>
      <c r="E1574" s="3" t="s">
        <v>43</v>
      </c>
      <c r="F1574" s="3" t="s">
        <v>22</v>
      </c>
      <c r="G1574" s="0" t="n">
        <v>36</v>
      </c>
      <c r="H1574" s="4" t="n">
        <v>97.54</v>
      </c>
      <c r="I1574" s="4" t="n">
        <v>58.38</v>
      </c>
      <c r="J1574" s="4" t="n">
        <f aca="false">G1574*H1574</f>
        <v>3511.44</v>
      </c>
      <c r="K1574" s="4" t="n">
        <f aca="false">G1574*I1574</f>
        <v>2101.68</v>
      </c>
      <c r="L1574" s="4" t="n">
        <f aca="false">J1574-K1574</f>
        <v>1409.76</v>
      </c>
    </row>
    <row r="1575" customFormat="false" ht="15" hidden="false" customHeight="false" outlineLevel="0" collapsed="false">
      <c r="A1575" s="0" t="n">
        <v>2029</v>
      </c>
      <c r="B1575" s="2" t="n">
        <v>45941</v>
      </c>
      <c r="C1575" s="3" t="s">
        <v>26</v>
      </c>
      <c r="D1575" s="3" t="s">
        <v>13</v>
      </c>
      <c r="E1575" s="3" t="s">
        <v>24</v>
      </c>
      <c r="F1575" s="3" t="s">
        <v>36</v>
      </c>
      <c r="G1575" s="0" t="n">
        <v>15</v>
      </c>
      <c r="H1575" s="4" t="n">
        <v>18.12</v>
      </c>
      <c r="I1575" s="4" t="n">
        <v>12.38</v>
      </c>
      <c r="J1575" s="4" t="n">
        <f aca="false">G1575*H1575</f>
        <v>271.8</v>
      </c>
      <c r="K1575" s="4" t="n">
        <f aca="false">G1575*I1575</f>
        <v>185.7</v>
      </c>
      <c r="L1575" s="4" t="n">
        <f aca="false">J1575-K1575</f>
        <v>86.1</v>
      </c>
    </row>
    <row r="1576" customFormat="false" ht="15" hidden="false" customHeight="false" outlineLevel="0" collapsed="false">
      <c r="A1576" s="0" t="n">
        <v>1317</v>
      </c>
      <c r="B1576" s="2" t="n">
        <v>45942</v>
      </c>
      <c r="C1576" s="3" t="s">
        <v>26</v>
      </c>
      <c r="D1576" s="3" t="s">
        <v>17</v>
      </c>
      <c r="E1576" s="3" t="s">
        <v>44</v>
      </c>
      <c r="F1576" s="3" t="s">
        <v>33</v>
      </c>
      <c r="G1576" s="0" t="n">
        <v>32</v>
      </c>
      <c r="H1576" s="4" t="n">
        <v>559</v>
      </c>
      <c r="I1576" s="4" t="n">
        <v>328.38</v>
      </c>
      <c r="J1576" s="4" t="n">
        <f aca="false">G1576*H1576</f>
        <v>17888</v>
      </c>
      <c r="K1576" s="4" t="n">
        <f aca="false">G1576*I1576</f>
        <v>10508.16</v>
      </c>
      <c r="L1576" s="4" t="n">
        <f aca="false">J1576-K1576</f>
        <v>7379.84</v>
      </c>
    </row>
    <row r="1577" customFormat="false" ht="15" hidden="false" customHeight="false" outlineLevel="0" collapsed="false">
      <c r="A1577" s="0" t="n">
        <v>1688</v>
      </c>
      <c r="B1577" s="2" t="n">
        <v>45942</v>
      </c>
      <c r="C1577" s="3" t="s">
        <v>12</v>
      </c>
      <c r="D1577" s="3" t="s">
        <v>17</v>
      </c>
      <c r="E1577" s="3" t="s">
        <v>27</v>
      </c>
      <c r="F1577" s="3" t="s">
        <v>15</v>
      </c>
      <c r="G1577" s="0" t="n">
        <v>16</v>
      </c>
      <c r="H1577" s="4" t="n">
        <v>759.07</v>
      </c>
      <c r="I1577" s="4" t="n">
        <v>518.44</v>
      </c>
      <c r="J1577" s="4" t="n">
        <f aca="false">G1577*H1577</f>
        <v>12145.12</v>
      </c>
      <c r="K1577" s="4" t="n">
        <f aca="false">G1577*I1577</f>
        <v>8295.04</v>
      </c>
      <c r="L1577" s="4" t="n">
        <f aca="false">J1577-K1577</f>
        <v>3850.08</v>
      </c>
    </row>
    <row r="1578" customFormat="false" ht="15" hidden="false" customHeight="false" outlineLevel="0" collapsed="false">
      <c r="A1578" s="0" t="n">
        <v>1765</v>
      </c>
      <c r="B1578" s="2" t="n">
        <v>45942</v>
      </c>
      <c r="C1578" s="3" t="s">
        <v>16</v>
      </c>
      <c r="D1578" s="3" t="s">
        <v>17</v>
      </c>
      <c r="E1578" s="3" t="s">
        <v>18</v>
      </c>
      <c r="F1578" s="3" t="s">
        <v>15</v>
      </c>
      <c r="G1578" s="0" t="n">
        <v>29</v>
      </c>
      <c r="H1578" s="4" t="n">
        <v>104.03</v>
      </c>
      <c r="I1578" s="4" t="n">
        <v>76.17</v>
      </c>
      <c r="J1578" s="4" t="n">
        <f aca="false">G1578*H1578</f>
        <v>3016.87</v>
      </c>
      <c r="K1578" s="4" t="n">
        <f aca="false">G1578*I1578</f>
        <v>2208.93</v>
      </c>
      <c r="L1578" s="4" t="n">
        <f aca="false">J1578-K1578</f>
        <v>807.94</v>
      </c>
    </row>
    <row r="1579" customFormat="false" ht="15" hidden="false" customHeight="false" outlineLevel="0" collapsed="false">
      <c r="A1579" s="0" t="n">
        <v>2102</v>
      </c>
      <c r="B1579" s="2" t="n">
        <v>45942</v>
      </c>
      <c r="C1579" s="3" t="s">
        <v>16</v>
      </c>
      <c r="D1579" s="3" t="s">
        <v>29</v>
      </c>
      <c r="E1579" s="3" t="s">
        <v>41</v>
      </c>
      <c r="F1579" s="3" t="s">
        <v>28</v>
      </c>
      <c r="G1579" s="0" t="n">
        <v>36</v>
      </c>
      <c r="H1579" s="4" t="n">
        <v>225.47</v>
      </c>
      <c r="I1579" s="4" t="n">
        <v>138.77</v>
      </c>
      <c r="J1579" s="4" t="n">
        <f aca="false">G1579*H1579</f>
        <v>8116.92</v>
      </c>
      <c r="K1579" s="4" t="n">
        <f aca="false">G1579*I1579</f>
        <v>4995.72</v>
      </c>
      <c r="L1579" s="4" t="n">
        <f aca="false">J1579-K1579</f>
        <v>3121.2</v>
      </c>
    </row>
    <row r="1580" customFormat="false" ht="15" hidden="false" customHeight="false" outlineLevel="0" collapsed="false">
      <c r="A1580" s="0" t="n">
        <v>2326</v>
      </c>
      <c r="B1580" s="2" t="n">
        <v>45942</v>
      </c>
      <c r="C1580" s="3" t="s">
        <v>12</v>
      </c>
      <c r="D1580" s="3" t="s">
        <v>13</v>
      </c>
      <c r="E1580" s="3" t="s">
        <v>46</v>
      </c>
      <c r="F1580" s="3" t="s">
        <v>15</v>
      </c>
      <c r="G1580" s="0" t="n">
        <v>32</v>
      </c>
      <c r="H1580" s="4" t="n">
        <v>27.67</v>
      </c>
      <c r="I1580" s="4" t="n">
        <v>14.42</v>
      </c>
      <c r="J1580" s="4" t="n">
        <f aca="false">G1580*H1580</f>
        <v>885.44</v>
      </c>
      <c r="K1580" s="4" t="n">
        <f aca="false">G1580*I1580</f>
        <v>461.44</v>
      </c>
      <c r="L1580" s="4" t="n">
        <f aca="false">J1580-K1580</f>
        <v>424</v>
      </c>
    </row>
    <row r="1581" customFormat="false" ht="15" hidden="false" customHeight="false" outlineLevel="0" collapsed="false">
      <c r="A1581" s="0" t="n">
        <v>2627</v>
      </c>
      <c r="B1581" s="2" t="n">
        <v>45942</v>
      </c>
      <c r="C1581" s="3" t="s">
        <v>12</v>
      </c>
      <c r="D1581" s="3" t="s">
        <v>17</v>
      </c>
      <c r="E1581" s="3" t="s">
        <v>18</v>
      </c>
      <c r="F1581" s="3" t="s">
        <v>39</v>
      </c>
      <c r="G1581" s="0" t="n">
        <v>21</v>
      </c>
      <c r="H1581" s="4" t="n">
        <v>664.12</v>
      </c>
      <c r="I1581" s="4" t="n">
        <v>370.15</v>
      </c>
      <c r="J1581" s="4" t="n">
        <f aca="false">G1581*H1581</f>
        <v>13946.52</v>
      </c>
      <c r="K1581" s="4" t="n">
        <f aca="false">G1581*I1581</f>
        <v>7773.15</v>
      </c>
      <c r="L1581" s="4" t="n">
        <f aca="false">J1581-K1581</f>
        <v>6173.37</v>
      </c>
    </row>
    <row r="1582" customFormat="false" ht="15" hidden="false" customHeight="false" outlineLevel="0" collapsed="false">
      <c r="A1582" s="0" t="n">
        <v>2718</v>
      </c>
      <c r="B1582" s="2" t="n">
        <v>45942</v>
      </c>
      <c r="C1582" s="3" t="s">
        <v>32</v>
      </c>
      <c r="D1582" s="3" t="s">
        <v>13</v>
      </c>
      <c r="E1582" s="3" t="s">
        <v>31</v>
      </c>
      <c r="F1582" s="3" t="s">
        <v>39</v>
      </c>
      <c r="G1582" s="0" t="n">
        <v>28</v>
      </c>
      <c r="H1582" s="4" t="n">
        <v>29.91</v>
      </c>
      <c r="I1582" s="4" t="n">
        <v>21.92</v>
      </c>
      <c r="J1582" s="4" t="n">
        <f aca="false">G1582*H1582</f>
        <v>837.48</v>
      </c>
      <c r="K1582" s="4" t="n">
        <f aca="false">G1582*I1582</f>
        <v>613.76</v>
      </c>
      <c r="L1582" s="4" t="n">
        <f aca="false">J1582-K1582</f>
        <v>223.72</v>
      </c>
    </row>
    <row r="1583" customFormat="false" ht="15" hidden="false" customHeight="false" outlineLevel="0" collapsed="false">
      <c r="A1583" s="0" t="n">
        <v>2760</v>
      </c>
      <c r="B1583" s="2" t="n">
        <v>45942</v>
      </c>
      <c r="C1583" s="3" t="s">
        <v>16</v>
      </c>
      <c r="D1583" s="3" t="s">
        <v>29</v>
      </c>
      <c r="E1583" s="3" t="s">
        <v>37</v>
      </c>
      <c r="F1583" s="3" t="s">
        <v>36</v>
      </c>
      <c r="G1583" s="0" t="n">
        <v>15</v>
      </c>
      <c r="H1583" s="4" t="n">
        <v>235.8</v>
      </c>
      <c r="I1583" s="4" t="n">
        <v>118.37</v>
      </c>
      <c r="J1583" s="4" t="n">
        <f aca="false">G1583*H1583</f>
        <v>3537</v>
      </c>
      <c r="K1583" s="4" t="n">
        <f aca="false">G1583*I1583</f>
        <v>1775.55</v>
      </c>
      <c r="L1583" s="4" t="n">
        <f aca="false">J1583-K1583</f>
        <v>1761.45</v>
      </c>
    </row>
    <row r="1584" customFormat="false" ht="15" hidden="false" customHeight="false" outlineLevel="0" collapsed="false">
      <c r="A1584" s="0" t="n">
        <v>1791</v>
      </c>
      <c r="B1584" s="2" t="n">
        <v>45943</v>
      </c>
      <c r="C1584" s="3" t="s">
        <v>12</v>
      </c>
      <c r="D1584" s="3" t="s">
        <v>17</v>
      </c>
      <c r="E1584" s="3" t="s">
        <v>40</v>
      </c>
      <c r="F1584" s="3" t="s">
        <v>25</v>
      </c>
      <c r="G1584" s="0" t="n">
        <v>25</v>
      </c>
      <c r="H1584" s="4" t="n">
        <v>164.73</v>
      </c>
      <c r="I1584" s="4" t="n">
        <v>102.35</v>
      </c>
      <c r="J1584" s="4" t="n">
        <f aca="false">G1584*H1584</f>
        <v>4118.25</v>
      </c>
      <c r="K1584" s="4" t="n">
        <f aca="false">G1584*I1584</f>
        <v>2558.75</v>
      </c>
      <c r="L1584" s="4" t="n">
        <f aca="false">J1584-K1584</f>
        <v>1559.5</v>
      </c>
    </row>
    <row r="1585" customFormat="false" ht="15" hidden="false" customHeight="false" outlineLevel="0" collapsed="false">
      <c r="A1585" s="0" t="n">
        <v>2295</v>
      </c>
      <c r="B1585" s="2" t="n">
        <v>45943</v>
      </c>
      <c r="C1585" s="3" t="s">
        <v>26</v>
      </c>
      <c r="D1585" s="3" t="s">
        <v>20</v>
      </c>
      <c r="E1585" s="3" t="s">
        <v>34</v>
      </c>
      <c r="F1585" s="3" t="s">
        <v>22</v>
      </c>
      <c r="G1585" s="0" t="n">
        <v>8</v>
      </c>
      <c r="H1585" s="4" t="n">
        <v>182.34</v>
      </c>
      <c r="I1585" s="4" t="n">
        <v>116.58</v>
      </c>
      <c r="J1585" s="4" t="n">
        <f aca="false">G1585*H1585</f>
        <v>1458.72</v>
      </c>
      <c r="K1585" s="4" t="n">
        <f aca="false">G1585*I1585</f>
        <v>932.64</v>
      </c>
      <c r="L1585" s="4" t="n">
        <f aca="false">J1585-K1585</f>
        <v>526.08</v>
      </c>
    </row>
    <row r="1586" customFormat="false" ht="15" hidden="false" customHeight="false" outlineLevel="0" collapsed="false">
      <c r="A1586" s="0" t="n">
        <v>1046</v>
      </c>
      <c r="B1586" s="2" t="n">
        <v>45944</v>
      </c>
      <c r="C1586" s="3" t="s">
        <v>32</v>
      </c>
      <c r="D1586" s="3" t="s">
        <v>20</v>
      </c>
      <c r="E1586" s="3" t="s">
        <v>34</v>
      </c>
      <c r="F1586" s="3" t="s">
        <v>15</v>
      </c>
      <c r="G1586" s="0" t="n">
        <v>29</v>
      </c>
      <c r="H1586" s="4" t="n">
        <v>109.52</v>
      </c>
      <c r="I1586" s="4" t="n">
        <v>69.55</v>
      </c>
      <c r="J1586" s="4" t="n">
        <f aca="false">G1586*H1586</f>
        <v>3176.08</v>
      </c>
      <c r="K1586" s="4" t="n">
        <f aca="false">G1586*I1586</f>
        <v>2016.95</v>
      </c>
      <c r="L1586" s="4" t="n">
        <f aca="false">J1586-K1586</f>
        <v>1159.13</v>
      </c>
    </row>
    <row r="1587" customFormat="false" ht="15" hidden="false" customHeight="false" outlineLevel="0" collapsed="false">
      <c r="A1587" s="0" t="n">
        <v>2399</v>
      </c>
      <c r="B1587" s="2" t="n">
        <v>45944</v>
      </c>
      <c r="C1587" s="3" t="s">
        <v>23</v>
      </c>
      <c r="D1587" s="3" t="s">
        <v>17</v>
      </c>
      <c r="E1587" s="3" t="s">
        <v>44</v>
      </c>
      <c r="F1587" s="3" t="s">
        <v>28</v>
      </c>
      <c r="G1587" s="0" t="n">
        <v>36</v>
      </c>
      <c r="H1587" s="4" t="n">
        <v>707.5</v>
      </c>
      <c r="I1587" s="4" t="n">
        <v>361.17</v>
      </c>
      <c r="J1587" s="4" t="n">
        <f aca="false">G1587*H1587</f>
        <v>25470</v>
      </c>
      <c r="K1587" s="4" t="n">
        <f aca="false">G1587*I1587</f>
        <v>13002.12</v>
      </c>
      <c r="L1587" s="4" t="n">
        <f aca="false">J1587-K1587</f>
        <v>12467.88</v>
      </c>
    </row>
    <row r="1588" customFormat="false" ht="15" hidden="false" customHeight="false" outlineLevel="0" collapsed="false">
      <c r="A1588" s="0" t="n">
        <v>2490</v>
      </c>
      <c r="B1588" s="2" t="n">
        <v>45944</v>
      </c>
      <c r="C1588" s="3" t="s">
        <v>32</v>
      </c>
      <c r="D1588" s="3" t="s">
        <v>29</v>
      </c>
      <c r="E1588" s="3" t="s">
        <v>30</v>
      </c>
      <c r="F1588" s="3" t="s">
        <v>28</v>
      </c>
      <c r="G1588" s="0" t="n">
        <v>29</v>
      </c>
      <c r="H1588" s="4" t="n">
        <v>148.17</v>
      </c>
      <c r="I1588" s="4" t="n">
        <v>90.72</v>
      </c>
      <c r="J1588" s="4" t="n">
        <f aca="false">G1588*H1588</f>
        <v>4296.93</v>
      </c>
      <c r="K1588" s="4" t="n">
        <f aca="false">G1588*I1588</f>
        <v>2630.88</v>
      </c>
      <c r="L1588" s="4" t="n">
        <f aca="false">J1588-K1588</f>
        <v>1666.05</v>
      </c>
    </row>
    <row r="1589" customFormat="false" ht="15" hidden="false" customHeight="false" outlineLevel="0" collapsed="false">
      <c r="A1589" s="0" t="n">
        <v>2755</v>
      </c>
      <c r="B1589" s="2" t="n">
        <v>45944</v>
      </c>
      <c r="C1589" s="3" t="s">
        <v>32</v>
      </c>
      <c r="D1589" s="3" t="s">
        <v>13</v>
      </c>
      <c r="E1589" s="3" t="s">
        <v>24</v>
      </c>
      <c r="F1589" s="3" t="s">
        <v>25</v>
      </c>
      <c r="G1589" s="0" t="n">
        <v>10</v>
      </c>
      <c r="H1589" s="4" t="n">
        <v>9.9</v>
      </c>
      <c r="I1589" s="4" t="n">
        <v>6.87</v>
      </c>
      <c r="J1589" s="4" t="n">
        <f aca="false">G1589*H1589</f>
        <v>99</v>
      </c>
      <c r="K1589" s="4" t="n">
        <f aca="false">G1589*I1589</f>
        <v>68.7</v>
      </c>
      <c r="L1589" s="4" t="n">
        <f aca="false">J1589-K1589</f>
        <v>30.3</v>
      </c>
    </row>
    <row r="1590" customFormat="false" ht="15" hidden="false" customHeight="false" outlineLevel="0" collapsed="false">
      <c r="A1590" s="0" t="n">
        <v>1741</v>
      </c>
      <c r="B1590" s="2" t="n">
        <v>45945</v>
      </c>
      <c r="C1590" s="3" t="s">
        <v>16</v>
      </c>
      <c r="D1590" s="3" t="s">
        <v>17</v>
      </c>
      <c r="E1590" s="3" t="s">
        <v>44</v>
      </c>
      <c r="F1590" s="3" t="s">
        <v>39</v>
      </c>
      <c r="G1590" s="0" t="n">
        <v>13</v>
      </c>
      <c r="H1590" s="4" t="n">
        <v>439.75</v>
      </c>
      <c r="I1590" s="4" t="n">
        <v>261.33</v>
      </c>
      <c r="J1590" s="4" t="n">
        <f aca="false">G1590*H1590</f>
        <v>5716.75</v>
      </c>
      <c r="K1590" s="4" t="n">
        <f aca="false">G1590*I1590</f>
        <v>3397.29</v>
      </c>
      <c r="L1590" s="4" t="n">
        <f aca="false">J1590-K1590</f>
        <v>2319.46</v>
      </c>
    </row>
    <row r="1591" customFormat="false" ht="15" hidden="false" customHeight="false" outlineLevel="0" collapsed="false">
      <c r="A1591" s="0" t="n">
        <v>1917</v>
      </c>
      <c r="B1591" s="2" t="n">
        <v>45945</v>
      </c>
      <c r="C1591" s="3" t="s">
        <v>16</v>
      </c>
      <c r="D1591" s="3" t="s">
        <v>17</v>
      </c>
      <c r="E1591" s="3" t="s">
        <v>27</v>
      </c>
      <c r="F1591" s="3" t="s">
        <v>28</v>
      </c>
      <c r="G1591" s="0" t="n">
        <v>39</v>
      </c>
      <c r="H1591" s="4" t="n">
        <v>163.05</v>
      </c>
      <c r="I1591" s="4" t="n">
        <v>84.68</v>
      </c>
      <c r="J1591" s="4" t="n">
        <f aca="false">G1591*H1591</f>
        <v>6358.95</v>
      </c>
      <c r="K1591" s="4" t="n">
        <f aca="false">G1591*I1591</f>
        <v>3302.52</v>
      </c>
      <c r="L1591" s="4" t="n">
        <f aca="false">J1591-K1591</f>
        <v>3056.43</v>
      </c>
    </row>
    <row r="1592" customFormat="false" ht="15" hidden="false" customHeight="false" outlineLevel="0" collapsed="false">
      <c r="A1592" s="0" t="n">
        <v>2134</v>
      </c>
      <c r="B1592" s="2" t="n">
        <v>45945</v>
      </c>
      <c r="C1592" s="3" t="s">
        <v>16</v>
      </c>
      <c r="D1592" s="3" t="s">
        <v>13</v>
      </c>
      <c r="E1592" s="3" t="s">
        <v>24</v>
      </c>
      <c r="F1592" s="3" t="s">
        <v>25</v>
      </c>
      <c r="G1592" s="0" t="n">
        <v>15</v>
      </c>
      <c r="H1592" s="4" t="n">
        <v>31.6</v>
      </c>
      <c r="I1592" s="4" t="n">
        <v>16.61</v>
      </c>
      <c r="J1592" s="4" t="n">
        <f aca="false">G1592*H1592</f>
        <v>474</v>
      </c>
      <c r="K1592" s="4" t="n">
        <f aca="false">G1592*I1592</f>
        <v>249.15</v>
      </c>
      <c r="L1592" s="4" t="n">
        <f aca="false">J1592-K1592</f>
        <v>224.85</v>
      </c>
    </row>
    <row r="1593" customFormat="false" ht="15" hidden="false" customHeight="false" outlineLevel="0" collapsed="false">
      <c r="A1593" s="0" t="n">
        <v>2307</v>
      </c>
      <c r="B1593" s="2" t="n">
        <v>45945</v>
      </c>
      <c r="C1593" s="3" t="s">
        <v>26</v>
      </c>
      <c r="D1593" s="3" t="s">
        <v>13</v>
      </c>
      <c r="E1593" s="3" t="s">
        <v>45</v>
      </c>
      <c r="F1593" s="3" t="s">
        <v>22</v>
      </c>
      <c r="G1593" s="0" t="n">
        <v>2</v>
      </c>
      <c r="H1593" s="4" t="n">
        <v>14.8</v>
      </c>
      <c r="I1593" s="4" t="n">
        <v>7.65</v>
      </c>
      <c r="J1593" s="4" t="n">
        <f aca="false">G1593*H1593</f>
        <v>29.6</v>
      </c>
      <c r="K1593" s="4" t="n">
        <f aca="false">G1593*I1593</f>
        <v>15.3</v>
      </c>
      <c r="L1593" s="4" t="n">
        <f aca="false">J1593-K1593</f>
        <v>14.3</v>
      </c>
    </row>
    <row r="1594" customFormat="false" ht="15" hidden="false" customHeight="false" outlineLevel="0" collapsed="false">
      <c r="A1594" s="0" t="n">
        <v>1001</v>
      </c>
      <c r="B1594" s="2" t="n">
        <v>45946</v>
      </c>
      <c r="C1594" s="3" t="s">
        <v>26</v>
      </c>
      <c r="D1594" s="3" t="s">
        <v>17</v>
      </c>
      <c r="E1594" s="3" t="s">
        <v>40</v>
      </c>
      <c r="F1594" s="3" t="s">
        <v>39</v>
      </c>
      <c r="G1594" s="0" t="n">
        <v>15</v>
      </c>
      <c r="H1594" s="4" t="n">
        <v>177.21</v>
      </c>
      <c r="I1594" s="4" t="n">
        <v>114.77</v>
      </c>
      <c r="J1594" s="4" t="n">
        <f aca="false">G1594*H1594</f>
        <v>2658.15</v>
      </c>
      <c r="K1594" s="4" t="n">
        <f aca="false">G1594*I1594</f>
        <v>1721.55</v>
      </c>
      <c r="L1594" s="4" t="n">
        <f aca="false">J1594-K1594</f>
        <v>936.6</v>
      </c>
    </row>
    <row r="1595" customFormat="false" ht="15" hidden="false" customHeight="false" outlineLevel="0" collapsed="false">
      <c r="A1595" s="0" t="n">
        <v>1297</v>
      </c>
      <c r="B1595" s="2" t="n">
        <v>45946</v>
      </c>
      <c r="C1595" s="3" t="s">
        <v>32</v>
      </c>
      <c r="D1595" s="3" t="s">
        <v>20</v>
      </c>
      <c r="E1595" s="3" t="s">
        <v>42</v>
      </c>
      <c r="F1595" s="3" t="s">
        <v>15</v>
      </c>
      <c r="G1595" s="0" t="n">
        <v>14</v>
      </c>
      <c r="H1595" s="4" t="n">
        <v>50.25</v>
      </c>
      <c r="I1595" s="4" t="n">
        <v>25.14</v>
      </c>
      <c r="J1595" s="4" t="n">
        <f aca="false">G1595*H1595</f>
        <v>703.5</v>
      </c>
      <c r="K1595" s="4" t="n">
        <f aca="false">G1595*I1595</f>
        <v>351.96</v>
      </c>
      <c r="L1595" s="4" t="n">
        <f aca="false">J1595-K1595</f>
        <v>351.54</v>
      </c>
    </row>
    <row r="1596" customFormat="false" ht="15" hidden="false" customHeight="false" outlineLevel="0" collapsed="false">
      <c r="A1596" s="0" t="n">
        <v>1732</v>
      </c>
      <c r="B1596" s="2" t="n">
        <v>45946</v>
      </c>
      <c r="C1596" s="3" t="s">
        <v>12</v>
      </c>
      <c r="D1596" s="3" t="s">
        <v>13</v>
      </c>
      <c r="E1596" s="3" t="s">
        <v>14</v>
      </c>
      <c r="F1596" s="3" t="s">
        <v>39</v>
      </c>
      <c r="G1596" s="0" t="n">
        <v>16</v>
      </c>
      <c r="H1596" s="4" t="n">
        <v>46.8</v>
      </c>
      <c r="I1596" s="4" t="n">
        <v>27.8</v>
      </c>
      <c r="J1596" s="4" t="n">
        <f aca="false">G1596*H1596</f>
        <v>748.8</v>
      </c>
      <c r="K1596" s="4" t="n">
        <f aca="false">G1596*I1596</f>
        <v>444.8</v>
      </c>
      <c r="L1596" s="4" t="n">
        <f aca="false">J1596-K1596</f>
        <v>304</v>
      </c>
    </row>
    <row r="1597" customFormat="false" ht="15" hidden="false" customHeight="false" outlineLevel="0" collapsed="false">
      <c r="A1597" s="0" t="n">
        <v>1752</v>
      </c>
      <c r="B1597" s="2" t="n">
        <v>45946</v>
      </c>
      <c r="C1597" s="3" t="s">
        <v>32</v>
      </c>
      <c r="D1597" s="3" t="s">
        <v>17</v>
      </c>
      <c r="E1597" s="3" t="s">
        <v>44</v>
      </c>
      <c r="F1597" s="3" t="s">
        <v>25</v>
      </c>
      <c r="G1597" s="0" t="n">
        <v>36</v>
      </c>
      <c r="H1597" s="4" t="n">
        <v>209.21</v>
      </c>
      <c r="I1597" s="4" t="n">
        <v>115.01</v>
      </c>
      <c r="J1597" s="4" t="n">
        <f aca="false">G1597*H1597</f>
        <v>7531.56</v>
      </c>
      <c r="K1597" s="4" t="n">
        <f aca="false">G1597*I1597</f>
        <v>4140.36</v>
      </c>
      <c r="L1597" s="4" t="n">
        <f aca="false">J1597-K1597</f>
        <v>3391.2</v>
      </c>
    </row>
    <row r="1598" customFormat="false" ht="15" hidden="false" customHeight="false" outlineLevel="0" collapsed="false">
      <c r="A1598" s="0" t="n">
        <v>1121</v>
      </c>
      <c r="B1598" s="2" t="n">
        <v>45947</v>
      </c>
      <c r="C1598" s="3" t="s">
        <v>23</v>
      </c>
      <c r="D1598" s="3" t="s">
        <v>29</v>
      </c>
      <c r="E1598" s="3" t="s">
        <v>30</v>
      </c>
      <c r="F1598" s="3" t="s">
        <v>36</v>
      </c>
      <c r="G1598" s="0" t="n">
        <v>2</v>
      </c>
      <c r="H1598" s="4" t="n">
        <v>478</v>
      </c>
      <c r="I1598" s="4" t="n">
        <v>321.41</v>
      </c>
      <c r="J1598" s="4" t="n">
        <f aca="false">G1598*H1598</f>
        <v>956</v>
      </c>
      <c r="K1598" s="4" t="n">
        <f aca="false">G1598*I1598</f>
        <v>642.82</v>
      </c>
      <c r="L1598" s="4" t="n">
        <f aca="false">J1598-K1598</f>
        <v>313.18</v>
      </c>
    </row>
    <row r="1599" customFormat="false" ht="15" hidden="false" customHeight="false" outlineLevel="0" collapsed="false">
      <c r="A1599" s="0" t="n">
        <v>1380</v>
      </c>
      <c r="B1599" s="2" t="n">
        <v>45948</v>
      </c>
      <c r="C1599" s="3" t="s">
        <v>23</v>
      </c>
      <c r="D1599" s="3" t="s">
        <v>29</v>
      </c>
      <c r="E1599" s="3" t="s">
        <v>43</v>
      </c>
      <c r="F1599" s="3" t="s">
        <v>19</v>
      </c>
      <c r="G1599" s="0" t="n">
        <v>22</v>
      </c>
      <c r="H1599" s="4" t="n">
        <v>230.67</v>
      </c>
      <c r="I1599" s="4" t="n">
        <v>147.15</v>
      </c>
      <c r="J1599" s="4" t="n">
        <f aca="false">G1599*H1599</f>
        <v>5074.74</v>
      </c>
      <c r="K1599" s="4" t="n">
        <f aca="false">G1599*I1599</f>
        <v>3237.3</v>
      </c>
      <c r="L1599" s="4" t="n">
        <f aca="false">J1599-K1599</f>
        <v>1837.44</v>
      </c>
    </row>
    <row r="1600" customFormat="false" ht="15" hidden="false" customHeight="false" outlineLevel="0" collapsed="false">
      <c r="A1600" s="0" t="n">
        <v>1814</v>
      </c>
      <c r="B1600" s="2" t="n">
        <v>45948</v>
      </c>
      <c r="C1600" s="3" t="s">
        <v>16</v>
      </c>
      <c r="D1600" s="3" t="s">
        <v>13</v>
      </c>
      <c r="E1600" s="3" t="s">
        <v>45</v>
      </c>
      <c r="F1600" s="3" t="s">
        <v>28</v>
      </c>
      <c r="G1600" s="0" t="n">
        <v>18</v>
      </c>
      <c r="H1600" s="4" t="n">
        <v>8.39</v>
      </c>
      <c r="I1600" s="4" t="n">
        <v>6.29</v>
      </c>
      <c r="J1600" s="4" t="n">
        <f aca="false">G1600*H1600</f>
        <v>151.02</v>
      </c>
      <c r="K1600" s="4" t="n">
        <f aca="false">G1600*I1600</f>
        <v>113.22</v>
      </c>
      <c r="L1600" s="4" t="n">
        <f aca="false">J1600-K1600</f>
        <v>37.8</v>
      </c>
    </row>
    <row r="1601" customFormat="false" ht="15" hidden="false" customHeight="false" outlineLevel="0" collapsed="false">
      <c r="A1601" s="0" t="n">
        <v>2216</v>
      </c>
      <c r="B1601" s="2" t="n">
        <v>45948</v>
      </c>
      <c r="C1601" s="3" t="s">
        <v>32</v>
      </c>
      <c r="D1601" s="3" t="s">
        <v>17</v>
      </c>
      <c r="E1601" s="3" t="s">
        <v>35</v>
      </c>
      <c r="F1601" s="3" t="s">
        <v>22</v>
      </c>
      <c r="G1601" s="0" t="n">
        <v>4</v>
      </c>
      <c r="H1601" s="4" t="n">
        <v>872.09</v>
      </c>
      <c r="I1601" s="4" t="n">
        <v>615.64</v>
      </c>
      <c r="J1601" s="4" t="n">
        <f aca="false">G1601*H1601</f>
        <v>3488.36</v>
      </c>
      <c r="K1601" s="4" t="n">
        <f aca="false">G1601*I1601</f>
        <v>2462.56</v>
      </c>
      <c r="L1601" s="4" t="n">
        <f aca="false">J1601-K1601</f>
        <v>1025.8</v>
      </c>
    </row>
    <row r="1602" customFormat="false" ht="15" hidden="false" customHeight="false" outlineLevel="0" collapsed="false">
      <c r="A1602" s="0" t="n">
        <v>1102</v>
      </c>
      <c r="B1602" s="2" t="n">
        <v>45949</v>
      </c>
      <c r="C1602" s="3" t="s">
        <v>16</v>
      </c>
      <c r="D1602" s="3" t="s">
        <v>17</v>
      </c>
      <c r="E1602" s="3" t="s">
        <v>27</v>
      </c>
      <c r="F1602" s="3" t="s">
        <v>33</v>
      </c>
      <c r="G1602" s="0" t="n">
        <v>16</v>
      </c>
      <c r="H1602" s="4" t="n">
        <v>890.61</v>
      </c>
      <c r="I1602" s="4" t="n">
        <v>568.7</v>
      </c>
      <c r="J1602" s="4" t="n">
        <f aca="false">G1602*H1602</f>
        <v>14249.76</v>
      </c>
      <c r="K1602" s="4" t="n">
        <f aca="false">G1602*I1602</f>
        <v>9099.2</v>
      </c>
      <c r="L1602" s="4" t="n">
        <f aca="false">J1602-K1602</f>
        <v>5150.56</v>
      </c>
    </row>
    <row r="1603" customFormat="false" ht="15" hidden="false" customHeight="false" outlineLevel="0" collapsed="false">
      <c r="A1603" s="0" t="n">
        <v>1368</v>
      </c>
      <c r="B1603" s="2" t="n">
        <v>45949</v>
      </c>
      <c r="C1603" s="3" t="s">
        <v>16</v>
      </c>
      <c r="D1603" s="3" t="s">
        <v>13</v>
      </c>
      <c r="E1603" s="3" t="s">
        <v>45</v>
      </c>
      <c r="F1603" s="3" t="s">
        <v>33</v>
      </c>
      <c r="G1603" s="0" t="n">
        <v>25</v>
      </c>
      <c r="H1603" s="4" t="n">
        <v>56.86</v>
      </c>
      <c r="I1603" s="4" t="n">
        <v>32.45</v>
      </c>
      <c r="J1603" s="4" t="n">
        <f aca="false">G1603*H1603</f>
        <v>1421.5</v>
      </c>
      <c r="K1603" s="4" t="n">
        <f aca="false">G1603*I1603</f>
        <v>811.25</v>
      </c>
      <c r="L1603" s="4" t="n">
        <f aca="false">J1603-K1603</f>
        <v>610.25</v>
      </c>
    </row>
    <row r="1604" customFormat="false" ht="15" hidden="false" customHeight="false" outlineLevel="0" collapsed="false">
      <c r="A1604" s="0" t="n">
        <v>1982</v>
      </c>
      <c r="B1604" s="2" t="n">
        <v>45949</v>
      </c>
      <c r="C1604" s="3" t="s">
        <v>16</v>
      </c>
      <c r="D1604" s="3" t="s">
        <v>20</v>
      </c>
      <c r="E1604" s="3" t="s">
        <v>34</v>
      </c>
      <c r="F1604" s="3" t="s">
        <v>39</v>
      </c>
      <c r="G1604" s="0" t="n">
        <v>37</v>
      </c>
      <c r="H1604" s="4" t="n">
        <v>271.93</v>
      </c>
      <c r="I1604" s="4" t="n">
        <v>193.98</v>
      </c>
      <c r="J1604" s="4" t="n">
        <f aca="false">G1604*H1604</f>
        <v>10061.41</v>
      </c>
      <c r="K1604" s="4" t="n">
        <f aca="false">G1604*I1604</f>
        <v>7177.26</v>
      </c>
      <c r="L1604" s="4" t="n">
        <f aca="false">J1604-K1604</f>
        <v>2884.15</v>
      </c>
    </row>
    <row r="1605" customFormat="false" ht="15" hidden="false" customHeight="false" outlineLevel="0" collapsed="false">
      <c r="A1605" s="0" t="n">
        <v>1836</v>
      </c>
      <c r="B1605" s="2" t="n">
        <v>45950</v>
      </c>
      <c r="C1605" s="3" t="s">
        <v>16</v>
      </c>
      <c r="D1605" s="3" t="s">
        <v>17</v>
      </c>
      <c r="E1605" s="3" t="s">
        <v>18</v>
      </c>
      <c r="F1605" s="3" t="s">
        <v>28</v>
      </c>
      <c r="G1605" s="0" t="n">
        <v>4</v>
      </c>
      <c r="H1605" s="4" t="n">
        <v>358.83</v>
      </c>
      <c r="I1605" s="4" t="n">
        <v>179.88</v>
      </c>
      <c r="J1605" s="4" t="n">
        <f aca="false">G1605*H1605</f>
        <v>1435.32</v>
      </c>
      <c r="K1605" s="4" t="n">
        <f aca="false">G1605*I1605</f>
        <v>719.52</v>
      </c>
      <c r="L1605" s="4" t="n">
        <f aca="false">J1605-K1605</f>
        <v>715.8</v>
      </c>
    </row>
    <row r="1606" customFormat="false" ht="15" hidden="false" customHeight="false" outlineLevel="0" collapsed="false">
      <c r="A1606" s="0" t="n">
        <v>2185</v>
      </c>
      <c r="B1606" s="2" t="n">
        <v>45950</v>
      </c>
      <c r="C1606" s="3" t="s">
        <v>26</v>
      </c>
      <c r="D1606" s="3" t="s">
        <v>17</v>
      </c>
      <c r="E1606" s="3" t="s">
        <v>27</v>
      </c>
      <c r="F1606" s="3" t="s">
        <v>39</v>
      </c>
      <c r="G1606" s="0" t="n">
        <v>24</v>
      </c>
      <c r="H1606" s="4" t="n">
        <v>547.3</v>
      </c>
      <c r="I1606" s="4" t="n">
        <v>371.93</v>
      </c>
      <c r="J1606" s="4" t="n">
        <f aca="false">G1606*H1606</f>
        <v>13135.2</v>
      </c>
      <c r="K1606" s="4" t="n">
        <f aca="false">G1606*I1606</f>
        <v>8926.32</v>
      </c>
      <c r="L1606" s="4" t="n">
        <f aca="false">J1606-K1606</f>
        <v>4208.88</v>
      </c>
    </row>
    <row r="1607" customFormat="false" ht="15" hidden="false" customHeight="false" outlineLevel="0" collapsed="false">
      <c r="A1607" s="0" t="n">
        <v>2552</v>
      </c>
      <c r="B1607" s="2" t="n">
        <v>45950</v>
      </c>
      <c r="C1607" s="3" t="s">
        <v>16</v>
      </c>
      <c r="D1607" s="3" t="s">
        <v>13</v>
      </c>
      <c r="E1607" s="3" t="s">
        <v>46</v>
      </c>
      <c r="F1607" s="3" t="s">
        <v>33</v>
      </c>
      <c r="G1607" s="0" t="n">
        <v>2</v>
      </c>
      <c r="H1607" s="4" t="n">
        <v>14.33</v>
      </c>
      <c r="I1607" s="4" t="n">
        <v>9</v>
      </c>
      <c r="J1607" s="4" t="n">
        <f aca="false">G1607*H1607</f>
        <v>28.66</v>
      </c>
      <c r="K1607" s="4" t="n">
        <f aca="false">G1607*I1607</f>
        <v>18</v>
      </c>
      <c r="L1607" s="4" t="n">
        <f aca="false">J1607-K1607</f>
        <v>10.66</v>
      </c>
    </row>
    <row r="1608" customFormat="false" ht="15" hidden="false" customHeight="false" outlineLevel="0" collapsed="false">
      <c r="A1608" s="0" t="n">
        <v>1340</v>
      </c>
      <c r="B1608" s="2" t="n">
        <v>45951</v>
      </c>
      <c r="C1608" s="3" t="s">
        <v>12</v>
      </c>
      <c r="D1608" s="3" t="s">
        <v>20</v>
      </c>
      <c r="E1608" s="3" t="s">
        <v>38</v>
      </c>
      <c r="F1608" s="3" t="s">
        <v>15</v>
      </c>
      <c r="G1608" s="0" t="n">
        <v>30</v>
      </c>
      <c r="H1608" s="4" t="n">
        <v>258.63</v>
      </c>
      <c r="I1608" s="4" t="n">
        <v>152.61</v>
      </c>
      <c r="J1608" s="4" t="n">
        <f aca="false">G1608*H1608</f>
        <v>7758.9</v>
      </c>
      <c r="K1608" s="4" t="n">
        <f aca="false">G1608*I1608</f>
        <v>4578.3</v>
      </c>
      <c r="L1608" s="4" t="n">
        <f aca="false">J1608-K1608</f>
        <v>3180.6</v>
      </c>
    </row>
    <row r="1609" customFormat="false" ht="15" hidden="false" customHeight="false" outlineLevel="0" collapsed="false">
      <c r="A1609" s="0" t="n">
        <v>1865</v>
      </c>
      <c r="B1609" s="2" t="n">
        <v>45951</v>
      </c>
      <c r="C1609" s="3" t="s">
        <v>26</v>
      </c>
      <c r="D1609" s="3" t="s">
        <v>13</v>
      </c>
      <c r="E1609" s="3" t="s">
        <v>24</v>
      </c>
      <c r="F1609" s="3" t="s">
        <v>25</v>
      </c>
      <c r="G1609" s="0" t="n">
        <v>18</v>
      </c>
      <c r="H1609" s="4" t="n">
        <v>38.76</v>
      </c>
      <c r="I1609" s="4" t="n">
        <v>28.66</v>
      </c>
      <c r="J1609" s="4" t="n">
        <f aca="false">G1609*H1609</f>
        <v>697.68</v>
      </c>
      <c r="K1609" s="4" t="n">
        <f aca="false">G1609*I1609</f>
        <v>515.88</v>
      </c>
      <c r="L1609" s="4" t="n">
        <f aca="false">J1609-K1609</f>
        <v>181.8</v>
      </c>
    </row>
    <row r="1610" customFormat="false" ht="15" hidden="false" customHeight="false" outlineLevel="0" collapsed="false">
      <c r="A1610" s="0" t="n">
        <v>2227</v>
      </c>
      <c r="B1610" s="2" t="n">
        <v>45951</v>
      </c>
      <c r="C1610" s="3" t="s">
        <v>26</v>
      </c>
      <c r="D1610" s="3" t="s">
        <v>20</v>
      </c>
      <c r="E1610" s="3" t="s">
        <v>21</v>
      </c>
      <c r="F1610" s="3" t="s">
        <v>19</v>
      </c>
      <c r="G1610" s="0" t="n">
        <v>19</v>
      </c>
      <c r="H1610" s="4" t="n">
        <v>114.05</v>
      </c>
      <c r="I1610" s="4" t="n">
        <v>77.59</v>
      </c>
      <c r="J1610" s="4" t="n">
        <f aca="false">G1610*H1610</f>
        <v>2166.95</v>
      </c>
      <c r="K1610" s="4" t="n">
        <f aca="false">G1610*I1610</f>
        <v>1474.21</v>
      </c>
      <c r="L1610" s="4" t="n">
        <f aca="false">J1610-K1610</f>
        <v>692.74</v>
      </c>
    </row>
    <row r="1611" customFormat="false" ht="15" hidden="false" customHeight="false" outlineLevel="0" collapsed="false">
      <c r="A1611" s="0" t="n">
        <v>2381</v>
      </c>
      <c r="B1611" s="2" t="n">
        <v>45951</v>
      </c>
      <c r="C1611" s="3" t="s">
        <v>16</v>
      </c>
      <c r="D1611" s="3" t="s">
        <v>29</v>
      </c>
      <c r="E1611" s="3" t="s">
        <v>37</v>
      </c>
      <c r="F1611" s="3" t="s">
        <v>28</v>
      </c>
      <c r="G1611" s="0" t="n">
        <v>3</v>
      </c>
      <c r="H1611" s="4" t="n">
        <v>224.94</v>
      </c>
      <c r="I1611" s="4" t="n">
        <v>159.77</v>
      </c>
      <c r="J1611" s="4" t="n">
        <f aca="false">G1611*H1611</f>
        <v>674.82</v>
      </c>
      <c r="K1611" s="4" t="n">
        <f aca="false">G1611*I1611</f>
        <v>479.31</v>
      </c>
      <c r="L1611" s="4" t="n">
        <f aca="false">J1611-K1611</f>
        <v>195.51</v>
      </c>
    </row>
    <row r="1612" customFormat="false" ht="15" hidden="false" customHeight="false" outlineLevel="0" collapsed="false">
      <c r="A1612" s="0" t="n">
        <v>1973</v>
      </c>
      <c r="B1612" s="2" t="n">
        <v>45952</v>
      </c>
      <c r="C1612" s="3" t="s">
        <v>16</v>
      </c>
      <c r="D1612" s="3" t="s">
        <v>20</v>
      </c>
      <c r="E1612" s="3" t="s">
        <v>42</v>
      </c>
      <c r="F1612" s="3" t="s">
        <v>33</v>
      </c>
      <c r="G1612" s="0" t="n">
        <v>9</v>
      </c>
      <c r="H1612" s="4" t="n">
        <v>294.89</v>
      </c>
      <c r="I1612" s="4" t="n">
        <v>173.82</v>
      </c>
      <c r="J1612" s="4" t="n">
        <f aca="false">G1612*H1612</f>
        <v>2654.01</v>
      </c>
      <c r="K1612" s="4" t="n">
        <f aca="false">G1612*I1612</f>
        <v>1564.38</v>
      </c>
      <c r="L1612" s="4" t="n">
        <f aca="false">J1612-K1612</f>
        <v>1089.63</v>
      </c>
    </row>
    <row r="1613" customFormat="false" ht="15" hidden="false" customHeight="false" outlineLevel="0" collapsed="false">
      <c r="A1613" s="0" t="n">
        <v>2231</v>
      </c>
      <c r="B1613" s="2" t="n">
        <v>45952</v>
      </c>
      <c r="C1613" s="3" t="s">
        <v>23</v>
      </c>
      <c r="D1613" s="3" t="s">
        <v>29</v>
      </c>
      <c r="E1613" s="3" t="s">
        <v>41</v>
      </c>
      <c r="F1613" s="3" t="s">
        <v>28</v>
      </c>
      <c r="G1613" s="0" t="n">
        <v>16</v>
      </c>
      <c r="H1613" s="4" t="n">
        <v>224.96</v>
      </c>
      <c r="I1613" s="4" t="n">
        <v>138.07</v>
      </c>
      <c r="J1613" s="4" t="n">
        <f aca="false">G1613*H1613</f>
        <v>3599.36</v>
      </c>
      <c r="K1613" s="4" t="n">
        <f aca="false">G1613*I1613</f>
        <v>2209.12</v>
      </c>
      <c r="L1613" s="4" t="n">
        <f aca="false">J1613-K1613</f>
        <v>1390.24</v>
      </c>
    </row>
    <row r="1614" customFormat="false" ht="15" hidden="false" customHeight="false" outlineLevel="0" collapsed="false">
      <c r="A1614" s="0" t="n">
        <v>1020</v>
      </c>
      <c r="B1614" s="2" t="n">
        <v>45953</v>
      </c>
      <c r="C1614" s="3" t="s">
        <v>26</v>
      </c>
      <c r="D1614" s="3" t="s">
        <v>17</v>
      </c>
      <c r="E1614" s="3" t="s">
        <v>18</v>
      </c>
      <c r="F1614" s="3" t="s">
        <v>33</v>
      </c>
      <c r="G1614" s="0" t="n">
        <v>7</v>
      </c>
      <c r="H1614" s="4" t="n">
        <v>268.87</v>
      </c>
      <c r="I1614" s="4" t="n">
        <v>153.16</v>
      </c>
      <c r="J1614" s="4" t="n">
        <f aca="false">G1614*H1614</f>
        <v>1882.09</v>
      </c>
      <c r="K1614" s="4" t="n">
        <f aca="false">G1614*I1614</f>
        <v>1072.12</v>
      </c>
      <c r="L1614" s="4" t="n">
        <f aca="false">J1614-K1614</f>
        <v>809.97</v>
      </c>
    </row>
    <row r="1615" customFormat="false" ht="15" hidden="false" customHeight="false" outlineLevel="0" collapsed="false">
      <c r="A1615" s="0" t="n">
        <v>1646</v>
      </c>
      <c r="B1615" s="2" t="n">
        <v>45954</v>
      </c>
      <c r="C1615" s="3" t="s">
        <v>23</v>
      </c>
      <c r="D1615" s="3" t="s">
        <v>17</v>
      </c>
      <c r="E1615" s="3" t="s">
        <v>27</v>
      </c>
      <c r="F1615" s="3" t="s">
        <v>28</v>
      </c>
      <c r="G1615" s="0" t="n">
        <v>9</v>
      </c>
      <c r="H1615" s="4" t="n">
        <v>792.01</v>
      </c>
      <c r="I1615" s="4" t="n">
        <v>471.94</v>
      </c>
      <c r="J1615" s="4" t="n">
        <f aca="false">G1615*H1615</f>
        <v>7128.09</v>
      </c>
      <c r="K1615" s="4" t="n">
        <f aca="false">G1615*I1615</f>
        <v>4247.46</v>
      </c>
      <c r="L1615" s="4" t="n">
        <f aca="false">J1615-K1615</f>
        <v>2880.63</v>
      </c>
    </row>
    <row r="1616" customFormat="false" ht="15" hidden="false" customHeight="false" outlineLevel="0" collapsed="false">
      <c r="A1616" s="0" t="n">
        <v>2531</v>
      </c>
      <c r="B1616" s="2" t="n">
        <v>45954</v>
      </c>
      <c r="C1616" s="3" t="s">
        <v>12</v>
      </c>
      <c r="D1616" s="3" t="s">
        <v>17</v>
      </c>
      <c r="E1616" s="3" t="s">
        <v>44</v>
      </c>
      <c r="F1616" s="3" t="s">
        <v>19</v>
      </c>
      <c r="G1616" s="0" t="n">
        <v>8</v>
      </c>
      <c r="H1616" s="4" t="n">
        <v>731.42</v>
      </c>
      <c r="I1616" s="4" t="n">
        <v>427.87</v>
      </c>
      <c r="J1616" s="4" t="n">
        <f aca="false">G1616*H1616</f>
        <v>5851.36</v>
      </c>
      <c r="K1616" s="4" t="n">
        <f aca="false">G1616*I1616</f>
        <v>3422.96</v>
      </c>
      <c r="L1616" s="4" t="n">
        <f aca="false">J1616-K1616</f>
        <v>2428.4</v>
      </c>
    </row>
    <row r="1617" customFormat="false" ht="15" hidden="false" customHeight="false" outlineLevel="0" collapsed="false">
      <c r="A1617" s="0" t="n">
        <v>2643</v>
      </c>
      <c r="B1617" s="2" t="n">
        <v>45954</v>
      </c>
      <c r="C1617" s="3" t="s">
        <v>23</v>
      </c>
      <c r="D1617" s="3" t="s">
        <v>29</v>
      </c>
      <c r="E1617" s="3" t="s">
        <v>43</v>
      </c>
      <c r="F1617" s="3" t="s">
        <v>25</v>
      </c>
      <c r="G1617" s="0" t="n">
        <v>6</v>
      </c>
      <c r="H1617" s="4" t="n">
        <v>475.89</v>
      </c>
      <c r="I1617" s="4" t="n">
        <v>238.13</v>
      </c>
      <c r="J1617" s="4" t="n">
        <f aca="false">G1617*H1617</f>
        <v>2855.34</v>
      </c>
      <c r="K1617" s="4" t="n">
        <f aca="false">G1617*I1617</f>
        <v>1428.78</v>
      </c>
      <c r="L1617" s="4" t="n">
        <f aca="false">J1617-K1617</f>
        <v>1426.56</v>
      </c>
    </row>
    <row r="1618" customFormat="false" ht="15" hidden="false" customHeight="false" outlineLevel="0" collapsed="false">
      <c r="A1618" s="0" t="n">
        <v>1098</v>
      </c>
      <c r="B1618" s="2" t="n">
        <v>45955</v>
      </c>
      <c r="C1618" s="3" t="s">
        <v>26</v>
      </c>
      <c r="D1618" s="3" t="s">
        <v>20</v>
      </c>
      <c r="E1618" s="3" t="s">
        <v>38</v>
      </c>
      <c r="F1618" s="3" t="s">
        <v>36</v>
      </c>
      <c r="G1618" s="0" t="n">
        <v>8</v>
      </c>
      <c r="H1618" s="4" t="n">
        <v>157.93</v>
      </c>
      <c r="I1618" s="4" t="n">
        <v>82.8</v>
      </c>
      <c r="J1618" s="4" t="n">
        <f aca="false">G1618*H1618</f>
        <v>1263.44</v>
      </c>
      <c r="K1618" s="4" t="n">
        <f aca="false">G1618*I1618</f>
        <v>662.4</v>
      </c>
      <c r="L1618" s="4" t="n">
        <f aca="false">J1618-K1618</f>
        <v>601.04</v>
      </c>
    </row>
    <row r="1619" customFormat="false" ht="15" hidden="false" customHeight="false" outlineLevel="0" collapsed="false">
      <c r="A1619" s="0" t="n">
        <v>2443</v>
      </c>
      <c r="B1619" s="2" t="n">
        <v>45955</v>
      </c>
      <c r="C1619" s="3" t="s">
        <v>32</v>
      </c>
      <c r="D1619" s="3" t="s">
        <v>17</v>
      </c>
      <c r="E1619" s="3" t="s">
        <v>35</v>
      </c>
      <c r="F1619" s="3" t="s">
        <v>22</v>
      </c>
      <c r="G1619" s="0" t="n">
        <v>10</v>
      </c>
      <c r="H1619" s="4" t="n">
        <v>890.26</v>
      </c>
      <c r="I1619" s="4" t="n">
        <v>557.31</v>
      </c>
      <c r="J1619" s="4" t="n">
        <f aca="false">G1619*H1619</f>
        <v>8902.6</v>
      </c>
      <c r="K1619" s="4" t="n">
        <f aca="false">G1619*I1619</f>
        <v>5573.1</v>
      </c>
      <c r="L1619" s="4" t="n">
        <f aca="false">J1619-K1619</f>
        <v>3329.5</v>
      </c>
    </row>
    <row r="1620" customFormat="false" ht="15" hidden="false" customHeight="false" outlineLevel="0" collapsed="false">
      <c r="A1620" s="0" t="n">
        <v>1294</v>
      </c>
      <c r="B1620" s="2" t="n">
        <v>45956</v>
      </c>
      <c r="C1620" s="3" t="s">
        <v>32</v>
      </c>
      <c r="D1620" s="3" t="s">
        <v>13</v>
      </c>
      <c r="E1620" s="3" t="s">
        <v>46</v>
      </c>
      <c r="F1620" s="3" t="s">
        <v>33</v>
      </c>
      <c r="G1620" s="0" t="n">
        <v>15</v>
      </c>
      <c r="H1620" s="4" t="n">
        <v>49.42</v>
      </c>
      <c r="I1620" s="4" t="n">
        <v>28.35</v>
      </c>
      <c r="J1620" s="4" t="n">
        <f aca="false">G1620*H1620</f>
        <v>741.3</v>
      </c>
      <c r="K1620" s="4" t="n">
        <f aca="false">G1620*I1620</f>
        <v>425.25</v>
      </c>
      <c r="L1620" s="4" t="n">
        <f aca="false">J1620-K1620</f>
        <v>316.05</v>
      </c>
    </row>
    <row r="1621" customFormat="false" ht="15" hidden="false" customHeight="false" outlineLevel="0" collapsed="false">
      <c r="A1621" s="0" t="n">
        <v>2409</v>
      </c>
      <c r="B1621" s="2" t="n">
        <v>45956</v>
      </c>
      <c r="C1621" s="3" t="s">
        <v>16</v>
      </c>
      <c r="D1621" s="3" t="s">
        <v>17</v>
      </c>
      <c r="E1621" s="3" t="s">
        <v>27</v>
      </c>
      <c r="F1621" s="3" t="s">
        <v>28</v>
      </c>
      <c r="G1621" s="0" t="n">
        <v>14</v>
      </c>
      <c r="H1621" s="4" t="n">
        <v>672.15</v>
      </c>
      <c r="I1621" s="4" t="n">
        <v>450.75</v>
      </c>
      <c r="J1621" s="4" t="n">
        <f aca="false">G1621*H1621</f>
        <v>9410.1</v>
      </c>
      <c r="K1621" s="4" t="n">
        <f aca="false">G1621*I1621</f>
        <v>6310.5</v>
      </c>
      <c r="L1621" s="4" t="n">
        <f aca="false">J1621-K1621</f>
        <v>3099.6</v>
      </c>
    </row>
    <row r="1622" customFormat="false" ht="15" hidden="false" customHeight="false" outlineLevel="0" collapsed="false">
      <c r="A1622" s="0" t="n">
        <v>1358</v>
      </c>
      <c r="B1622" s="2" t="n">
        <v>45957</v>
      </c>
      <c r="C1622" s="3" t="s">
        <v>12</v>
      </c>
      <c r="D1622" s="3" t="s">
        <v>29</v>
      </c>
      <c r="E1622" s="3" t="s">
        <v>30</v>
      </c>
      <c r="F1622" s="3" t="s">
        <v>33</v>
      </c>
      <c r="G1622" s="0" t="n">
        <v>36</v>
      </c>
      <c r="H1622" s="4" t="n">
        <v>360.21</v>
      </c>
      <c r="I1622" s="4" t="n">
        <v>247.45</v>
      </c>
      <c r="J1622" s="4" t="n">
        <f aca="false">G1622*H1622</f>
        <v>12967.56</v>
      </c>
      <c r="K1622" s="4" t="n">
        <f aca="false">G1622*I1622</f>
        <v>8908.2</v>
      </c>
      <c r="L1622" s="4" t="n">
        <f aca="false">J1622-K1622</f>
        <v>4059.36</v>
      </c>
    </row>
    <row r="1623" customFormat="false" ht="15" hidden="false" customHeight="false" outlineLevel="0" collapsed="false">
      <c r="A1623" s="0" t="n">
        <v>2631</v>
      </c>
      <c r="B1623" s="2" t="n">
        <v>45958</v>
      </c>
      <c r="C1623" s="3" t="s">
        <v>32</v>
      </c>
      <c r="D1623" s="3" t="s">
        <v>13</v>
      </c>
      <c r="E1623" s="3" t="s">
        <v>46</v>
      </c>
      <c r="F1623" s="3" t="s">
        <v>25</v>
      </c>
      <c r="G1623" s="0" t="n">
        <v>10</v>
      </c>
      <c r="H1623" s="4" t="n">
        <v>57.74</v>
      </c>
      <c r="I1623" s="4" t="n">
        <v>36.65</v>
      </c>
      <c r="J1623" s="4" t="n">
        <f aca="false">G1623*H1623</f>
        <v>577.4</v>
      </c>
      <c r="K1623" s="4" t="n">
        <f aca="false">G1623*I1623</f>
        <v>366.5</v>
      </c>
      <c r="L1623" s="4" t="n">
        <f aca="false">J1623-K1623</f>
        <v>210.9</v>
      </c>
    </row>
    <row r="1624" customFormat="false" ht="15" hidden="false" customHeight="false" outlineLevel="0" collapsed="false">
      <c r="A1624" s="0" t="n">
        <v>2727</v>
      </c>
      <c r="B1624" s="2" t="n">
        <v>45958</v>
      </c>
      <c r="C1624" s="3" t="s">
        <v>23</v>
      </c>
      <c r="D1624" s="3" t="s">
        <v>17</v>
      </c>
      <c r="E1624" s="3" t="s">
        <v>27</v>
      </c>
      <c r="F1624" s="3" t="s">
        <v>28</v>
      </c>
      <c r="G1624" s="0" t="n">
        <v>13</v>
      </c>
      <c r="H1624" s="4" t="n">
        <v>599.97</v>
      </c>
      <c r="I1624" s="4" t="n">
        <v>303.78</v>
      </c>
      <c r="J1624" s="4" t="n">
        <f aca="false">G1624*H1624</f>
        <v>7799.61</v>
      </c>
      <c r="K1624" s="4" t="n">
        <f aca="false">G1624*I1624</f>
        <v>3949.14</v>
      </c>
      <c r="L1624" s="4" t="n">
        <f aca="false">J1624-K1624</f>
        <v>3850.47</v>
      </c>
    </row>
    <row r="1625" customFormat="false" ht="15" hidden="false" customHeight="false" outlineLevel="0" collapsed="false">
      <c r="A1625" s="0" t="n">
        <v>1084</v>
      </c>
      <c r="B1625" s="2" t="n">
        <v>45959</v>
      </c>
      <c r="C1625" s="3" t="s">
        <v>12</v>
      </c>
      <c r="D1625" s="3" t="s">
        <v>20</v>
      </c>
      <c r="E1625" s="3" t="s">
        <v>42</v>
      </c>
      <c r="F1625" s="3" t="s">
        <v>19</v>
      </c>
      <c r="G1625" s="0" t="n">
        <v>33</v>
      </c>
      <c r="H1625" s="4" t="n">
        <v>256.61</v>
      </c>
      <c r="I1625" s="4" t="n">
        <v>134.7</v>
      </c>
      <c r="J1625" s="4" t="n">
        <f aca="false">G1625*H1625</f>
        <v>8468.13</v>
      </c>
      <c r="K1625" s="4" t="n">
        <f aca="false">G1625*I1625</f>
        <v>4445.1</v>
      </c>
      <c r="L1625" s="4" t="n">
        <f aca="false">J1625-K1625</f>
        <v>4023.03</v>
      </c>
    </row>
    <row r="1626" customFormat="false" ht="15" hidden="false" customHeight="false" outlineLevel="0" collapsed="false">
      <c r="A1626" s="0" t="n">
        <v>1182</v>
      </c>
      <c r="B1626" s="2" t="n">
        <v>45959</v>
      </c>
      <c r="C1626" s="3" t="s">
        <v>16</v>
      </c>
      <c r="D1626" s="3" t="s">
        <v>13</v>
      </c>
      <c r="E1626" s="3" t="s">
        <v>46</v>
      </c>
      <c r="F1626" s="3" t="s">
        <v>22</v>
      </c>
      <c r="G1626" s="0" t="n">
        <v>12</v>
      </c>
      <c r="H1626" s="4" t="n">
        <v>50.74</v>
      </c>
      <c r="I1626" s="4" t="n">
        <v>35.98</v>
      </c>
      <c r="J1626" s="4" t="n">
        <f aca="false">G1626*H1626</f>
        <v>608.88</v>
      </c>
      <c r="K1626" s="4" t="n">
        <f aca="false">G1626*I1626</f>
        <v>431.76</v>
      </c>
      <c r="L1626" s="4" t="n">
        <f aca="false">J1626-K1626</f>
        <v>177.12</v>
      </c>
    </row>
    <row r="1627" customFormat="false" ht="15" hidden="false" customHeight="false" outlineLevel="0" collapsed="false">
      <c r="A1627" s="0" t="n">
        <v>2623</v>
      </c>
      <c r="B1627" s="2" t="n">
        <v>45959</v>
      </c>
      <c r="C1627" s="3" t="s">
        <v>23</v>
      </c>
      <c r="D1627" s="3" t="s">
        <v>29</v>
      </c>
      <c r="E1627" s="3" t="s">
        <v>37</v>
      </c>
      <c r="F1627" s="3" t="s">
        <v>39</v>
      </c>
      <c r="G1627" s="0" t="n">
        <v>5</v>
      </c>
      <c r="H1627" s="4" t="n">
        <v>144.75</v>
      </c>
      <c r="I1627" s="4" t="n">
        <v>88.57</v>
      </c>
      <c r="J1627" s="4" t="n">
        <f aca="false">G1627*H1627</f>
        <v>723.75</v>
      </c>
      <c r="K1627" s="4" t="n">
        <f aca="false">G1627*I1627</f>
        <v>442.85</v>
      </c>
      <c r="L1627" s="4" t="n">
        <f aca="false">J1627-K1627</f>
        <v>280.9</v>
      </c>
    </row>
    <row r="1628" customFormat="false" ht="15" hidden="false" customHeight="false" outlineLevel="0" collapsed="false">
      <c r="A1628" s="0" t="n">
        <v>2750</v>
      </c>
      <c r="B1628" s="2" t="n">
        <v>45959</v>
      </c>
      <c r="C1628" s="3" t="s">
        <v>23</v>
      </c>
      <c r="D1628" s="3" t="s">
        <v>17</v>
      </c>
      <c r="E1628" s="3" t="s">
        <v>44</v>
      </c>
      <c r="F1628" s="3" t="s">
        <v>25</v>
      </c>
      <c r="G1628" s="0" t="n">
        <v>10</v>
      </c>
      <c r="H1628" s="4" t="n">
        <v>318.28</v>
      </c>
      <c r="I1628" s="4" t="n">
        <v>193.35</v>
      </c>
      <c r="J1628" s="4" t="n">
        <f aca="false">G1628*H1628</f>
        <v>3182.8</v>
      </c>
      <c r="K1628" s="4" t="n">
        <f aca="false">G1628*I1628</f>
        <v>1933.5</v>
      </c>
      <c r="L1628" s="4" t="n">
        <f aca="false">J1628-K1628</f>
        <v>1249.3</v>
      </c>
    </row>
    <row r="1629" customFormat="false" ht="15" hidden="false" customHeight="false" outlineLevel="0" collapsed="false">
      <c r="A1629" s="0" t="n">
        <v>1543</v>
      </c>
      <c r="B1629" s="2" t="n">
        <v>45960</v>
      </c>
      <c r="C1629" s="3" t="s">
        <v>26</v>
      </c>
      <c r="D1629" s="3" t="s">
        <v>17</v>
      </c>
      <c r="E1629" s="3" t="s">
        <v>18</v>
      </c>
      <c r="F1629" s="3" t="s">
        <v>15</v>
      </c>
      <c r="G1629" s="0" t="n">
        <v>10</v>
      </c>
      <c r="H1629" s="4" t="n">
        <v>648.05</v>
      </c>
      <c r="I1629" s="4" t="n">
        <v>476.3</v>
      </c>
      <c r="J1629" s="4" t="n">
        <f aca="false">G1629*H1629</f>
        <v>6480.5</v>
      </c>
      <c r="K1629" s="4" t="n">
        <f aca="false">G1629*I1629</f>
        <v>4763</v>
      </c>
      <c r="L1629" s="4" t="n">
        <f aca="false">J1629-K1629</f>
        <v>1717.5</v>
      </c>
    </row>
    <row r="1630" customFormat="false" ht="15" hidden="false" customHeight="false" outlineLevel="0" collapsed="false">
      <c r="A1630" s="0" t="n">
        <v>1813</v>
      </c>
      <c r="B1630" s="2" t="n">
        <v>45960</v>
      </c>
      <c r="C1630" s="3" t="s">
        <v>23</v>
      </c>
      <c r="D1630" s="3" t="s">
        <v>17</v>
      </c>
      <c r="E1630" s="3" t="s">
        <v>18</v>
      </c>
      <c r="F1630" s="3" t="s">
        <v>36</v>
      </c>
      <c r="G1630" s="0" t="n">
        <v>18</v>
      </c>
      <c r="H1630" s="4" t="n">
        <v>591.16</v>
      </c>
      <c r="I1630" s="4" t="n">
        <v>313.62</v>
      </c>
      <c r="J1630" s="4" t="n">
        <f aca="false">G1630*H1630</f>
        <v>10640.88</v>
      </c>
      <c r="K1630" s="4" t="n">
        <f aca="false">G1630*I1630</f>
        <v>5645.16</v>
      </c>
      <c r="L1630" s="4" t="n">
        <f aca="false">J1630-K1630</f>
        <v>4995.72</v>
      </c>
    </row>
    <row r="1631" customFormat="false" ht="15" hidden="false" customHeight="false" outlineLevel="0" collapsed="false">
      <c r="A1631" s="0" t="n">
        <v>2003</v>
      </c>
      <c r="B1631" s="2" t="n">
        <v>45960</v>
      </c>
      <c r="C1631" s="3" t="s">
        <v>16</v>
      </c>
      <c r="D1631" s="3" t="s">
        <v>17</v>
      </c>
      <c r="E1631" s="3" t="s">
        <v>27</v>
      </c>
      <c r="F1631" s="3" t="s">
        <v>15</v>
      </c>
      <c r="G1631" s="0" t="n">
        <v>37</v>
      </c>
      <c r="H1631" s="4" t="n">
        <v>615.05</v>
      </c>
      <c r="I1631" s="4" t="n">
        <v>310.18</v>
      </c>
      <c r="J1631" s="4" t="n">
        <f aca="false">G1631*H1631</f>
        <v>22756.85</v>
      </c>
      <c r="K1631" s="4" t="n">
        <f aca="false">G1631*I1631</f>
        <v>11476.66</v>
      </c>
      <c r="L1631" s="4" t="n">
        <f aca="false">J1631-K1631</f>
        <v>11280.19</v>
      </c>
    </row>
    <row r="1632" customFormat="false" ht="15" hidden="false" customHeight="false" outlineLevel="0" collapsed="false">
      <c r="A1632" s="0" t="n">
        <v>1549</v>
      </c>
      <c r="B1632" s="2" t="n">
        <v>45961</v>
      </c>
      <c r="C1632" s="3" t="s">
        <v>16</v>
      </c>
      <c r="D1632" s="3" t="s">
        <v>20</v>
      </c>
      <c r="E1632" s="3" t="s">
        <v>34</v>
      </c>
      <c r="F1632" s="3" t="s">
        <v>39</v>
      </c>
      <c r="G1632" s="0" t="n">
        <v>5</v>
      </c>
      <c r="H1632" s="4" t="n">
        <v>151.94</v>
      </c>
      <c r="I1632" s="4" t="n">
        <v>110.84</v>
      </c>
      <c r="J1632" s="4" t="n">
        <f aca="false">G1632*H1632</f>
        <v>759.7</v>
      </c>
      <c r="K1632" s="4" t="n">
        <f aca="false">G1632*I1632</f>
        <v>554.2</v>
      </c>
      <c r="L1632" s="4" t="n">
        <f aca="false">J1632-K1632</f>
        <v>205.5</v>
      </c>
    </row>
    <row r="1633" customFormat="false" ht="15" hidden="false" customHeight="false" outlineLevel="0" collapsed="false">
      <c r="A1633" s="0" t="n">
        <v>2799</v>
      </c>
      <c r="B1633" s="2" t="n">
        <v>45961</v>
      </c>
      <c r="C1633" s="3" t="s">
        <v>32</v>
      </c>
      <c r="D1633" s="3" t="s">
        <v>13</v>
      </c>
      <c r="E1633" s="3" t="s">
        <v>24</v>
      </c>
      <c r="F1633" s="3" t="s">
        <v>15</v>
      </c>
      <c r="G1633" s="0" t="n">
        <v>8</v>
      </c>
      <c r="H1633" s="4" t="n">
        <v>55.67</v>
      </c>
      <c r="I1633" s="4" t="n">
        <v>30.87</v>
      </c>
      <c r="J1633" s="4" t="n">
        <f aca="false">G1633*H1633</f>
        <v>445.36</v>
      </c>
      <c r="K1633" s="4" t="n">
        <f aca="false">G1633*I1633</f>
        <v>246.96</v>
      </c>
      <c r="L1633" s="4" t="n">
        <f aca="false">J1633-K1633</f>
        <v>198.4</v>
      </c>
    </row>
    <row r="1634" customFormat="false" ht="15" hidden="false" customHeight="false" outlineLevel="0" collapsed="false">
      <c r="A1634" s="0" t="n">
        <v>1993</v>
      </c>
      <c r="B1634" s="2" t="n">
        <v>45962</v>
      </c>
      <c r="C1634" s="3" t="s">
        <v>12</v>
      </c>
      <c r="D1634" s="3" t="s">
        <v>29</v>
      </c>
      <c r="E1634" s="3" t="s">
        <v>37</v>
      </c>
      <c r="F1634" s="3" t="s">
        <v>36</v>
      </c>
      <c r="G1634" s="0" t="n">
        <v>31</v>
      </c>
      <c r="H1634" s="4" t="n">
        <v>112.08</v>
      </c>
      <c r="I1634" s="4" t="n">
        <v>61.81</v>
      </c>
      <c r="J1634" s="4" t="n">
        <f aca="false">G1634*H1634</f>
        <v>3474.48</v>
      </c>
      <c r="K1634" s="4" t="n">
        <f aca="false">G1634*I1634</f>
        <v>1916.11</v>
      </c>
      <c r="L1634" s="4" t="n">
        <f aca="false">J1634-K1634</f>
        <v>1558.37</v>
      </c>
    </row>
    <row r="1635" customFormat="false" ht="15" hidden="false" customHeight="false" outlineLevel="0" collapsed="false">
      <c r="A1635" s="0" t="n">
        <v>2577</v>
      </c>
      <c r="B1635" s="2" t="n">
        <v>45962</v>
      </c>
      <c r="C1635" s="3" t="s">
        <v>32</v>
      </c>
      <c r="D1635" s="3" t="s">
        <v>13</v>
      </c>
      <c r="E1635" s="3" t="s">
        <v>46</v>
      </c>
      <c r="F1635" s="3" t="s">
        <v>25</v>
      </c>
      <c r="G1635" s="0" t="n">
        <v>37</v>
      </c>
      <c r="H1635" s="4" t="n">
        <v>51.9</v>
      </c>
      <c r="I1635" s="4" t="n">
        <v>25.99</v>
      </c>
      <c r="J1635" s="4" t="n">
        <f aca="false">G1635*H1635</f>
        <v>1920.3</v>
      </c>
      <c r="K1635" s="4" t="n">
        <f aca="false">G1635*I1635</f>
        <v>961.63</v>
      </c>
      <c r="L1635" s="4" t="n">
        <f aca="false">J1635-K1635</f>
        <v>958.67</v>
      </c>
    </row>
    <row r="1636" customFormat="false" ht="15" hidden="false" customHeight="false" outlineLevel="0" collapsed="false">
      <c r="A1636" s="0" t="n">
        <v>1147</v>
      </c>
      <c r="B1636" s="2" t="n">
        <v>45963</v>
      </c>
      <c r="C1636" s="3" t="s">
        <v>32</v>
      </c>
      <c r="D1636" s="3" t="s">
        <v>29</v>
      </c>
      <c r="E1636" s="3" t="s">
        <v>30</v>
      </c>
      <c r="F1636" s="3" t="s">
        <v>33</v>
      </c>
      <c r="G1636" s="0" t="n">
        <v>28</v>
      </c>
      <c r="H1636" s="4" t="n">
        <v>455.75</v>
      </c>
      <c r="I1636" s="4" t="n">
        <v>338.82</v>
      </c>
      <c r="J1636" s="4" t="n">
        <f aca="false">G1636*H1636</f>
        <v>12761</v>
      </c>
      <c r="K1636" s="4" t="n">
        <f aca="false">G1636*I1636</f>
        <v>9486.96</v>
      </c>
      <c r="L1636" s="4" t="n">
        <f aca="false">J1636-K1636</f>
        <v>3274.04</v>
      </c>
    </row>
    <row r="1637" customFormat="false" ht="15" hidden="false" customHeight="false" outlineLevel="0" collapsed="false">
      <c r="A1637" s="0" t="n">
        <v>1270</v>
      </c>
      <c r="B1637" s="2" t="n">
        <v>45963</v>
      </c>
      <c r="C1637" s="3" t="s">
        <v>23</v>
      </c>
      <c r="D1637" s="3" t="s">
        <v>13</v>
      </c>
      <c r="E1637" s="3" t="s">
        <v>31</v>
      </c>
      <c r="F1637" s="3" t="s">
        <v>39</v>
      </c>
      <c r="G1637" s="0" t="n">
        <v>27</v>
      </c>
      <c r="H1637" s="4" t="n">
        <v>21.24</v>
      </c>
      <c r="I1637" s="4" t="n">
        <v>11.25</v>
      </c>
      <c r="J1637" s="4" t="n">
        <f aca="false">G1637*H1637</f>
        <v>573.48</v>
      </c>
      <c r="K1637" s="4" t="n">
        <f aca="false">G1637*I1637</f>
        <v>303.75</v>
      </c>
      <c r="L1637" s="4" t="n">
        <f aca="false">J1637-K1637</f>
        <v>269.73</v>
      </c>
    </row>
    <row r="1638" customFormat="false" ht="15" hidden="false" customHeight="false" outlineLevel="0" collapsed="false">
      <c r="A1638" s="0" t="n">
        <v>2006</v>
      </c>
      <c r="B1638" s="2" t="n">
        <v>45963</v>
      </c>
      <c r="C1638" s="3" t="s">
        <v>26</v>
      </c>
      <c r="D1638" s="3" t="s">
        <v>13</v>
      </c>
      <c r="E1638" s="3" t="s">
        <v>45</v>
      </c>
      <c r="F1638" s="3" t="s">
        <v>22</v>
      </c>
      <c r="G1638" s="0" t="n">
        <v>12</v>
      </c>
      <c r="H1638" s="4" t="n">
        <v>52.05</v>
      </c>
      <c r="I1638" s="4" t="n">
        <v>35.36</v>
      </c>
      <c r="J1638" s="4" t="n">
        <f aca="false">G1638*H1638</f>
        <v>624.6</v>
      </c>
      <c r="K1638" s="4" t="n">
        <f aca="false">G1638*I1638</f>
        <v>424.32</v>
      </c>
      <c r="L1638" s="4" t="n">
        <f aca="false">J1638-K1638</f>
        <v>200.28</v>
      </c>
    </row>
    <row r="1639" customFormat="false" ht="15" hidden="false" customHeight="false" outlineLevel="0" collapsed="false">
      <c r="A1639" s="0" t="n">
        <v>2169</v>
      </c>
      <c r="B1639" s="2" t="n">
        <v>45963</v>
      </c>
      <c r="C1639" s="3" t="s">
        <v>16</v>
      </c>
      <c r="D1639" s="3" t="s">
        <v>29</v>
      </c>
      <c r="E1639" s="3" t="s">
        <v>43</v>
      </c>
      <c r="F1639" s="3" t="s">
        <v>19</v>
      </c>
      <c r="G1639" s="0" t="n">
        <v>17</v>
      </c>
      <c r="H1639" s="4" t="n">
        <v>404.24</v>
      </c>
      <c r="I1639" s="4" t="n">
        <v>211.87</v>
      </c>
      <c r="J1639" s="4" t="n">
        <f aca="false">G1639*H1639</f>
        <v>6872.08</v>
      </c>
      <c r="K1639" s="4" t="n">
        <f aca="false">G1639*I1639</f>
        <v>3601.79</v>
      </c>
      <c r="L1639" s="4" t="n">
        <f aca="false">J1639-K1639</f>
        <v>3270.29</v>
      </c>
    </row>
    <row r="1640" customFormat="false" ht="15" hidden="false" customHeight="false" outlineLevel="0" collapsed="false">
      <c r="A1640" s="0" t="n">
        <v>2392</v>
      </c>
      <c r="B1640" s="2" t="n">
        <v>45963</v>
      </c>
      <c r="C1640" s="3" t="s">
        <v>12</v>
      </c>
      <c r="D1640" s="3" t="s">
        <v>17</v>
      </c>
      <c r="E1640" s="3" t="s">
        <v>18</v>
      </c>
      <c r="F1640" s="3" t="s">
        <v>25</v>
      </c>
      <c r="G1640" s="0" t="n">
        <v>22</v>
      </c>
      <c r="H1640" s="4" t="n">
        <v>603.35</v>
      </c>
      <c r="I1640" s="4" t="n">
        <v>414.71</v>
      </c>
      <c r="J1640" s="4" t="n">
        <f aca="false">G1640*H1640</f>
        <v>13273.7</v>
      </c>
      <c r="K1640" s="4" t="n">
        <f aca="false">G1640*I1640</f>
        <v>9123.62</v>
      </c>
      <c r="L1640" s="4" t="n">
        <f aca="false">J1640-K1640</f>
        <v>4150.08</v>
      </c>
    </row>
    <row r="1641" customFormat="false" ht="15" hidden="false" customHeight="false" outlineLevel="0" collapsed="false">
      <c r="A1641" s="0" t="n">
        <v>2743</v>
      </c>
      <c r="B1641" s="2" t="n">
        <v>45963</v>
      </c>
      <c r="C1641" s="3" t="s">
        <v>26</v>
      </c>
      <c r="D1641" s="3" t="s">
        <v>20</v>
      </c>
      <c r="E1641" s="3" t="s">
        <v>34</v>
      </c>
      <c r="F1641" s="3" t="s">
        <v>28</v>
      </c>
      <c r="G1641" s="0" t="n">
        <v>16</v>
      </c>
      <c r="H1641" s="4" t="n">
        <v>96.04</v>
      </c>
      <c r="I1641" s="4" t="n">
        <v>64.44</v>
      </c>
      <c r="J1641" s="4" t="n">
        <f aca="false">G1641*H1641</f>
        <v>1536.64</v>
      </c>
      <c r="K1641" s="4" t="n">
        <f aca="false">G1641*I1641</f>
        <v>1031.04</v>
      </c>
      <c r="L1641" s="4" t="n">
        <f aca="false">J1641-K1641</f>
        <v>505.6</v>
      </c>
    </row>
    <row r="1642" customFormat="false" ht="15" hidden="false" customHeight="false" outlineLevel="0" collapsed="false">
      <c r="A1642" s="0" t="n">
        <v>1652</v>
      </c>
      <c r="B1642" s="2" t="n">
        <v>45965</v>
      </c>
      <c r="C1642" s="3" t="s">
        <v>23</v>
      </c>
      <c r="D1642" s="3" t="s">
        <v>17</v>
      </c>
      <c r="E1642" s="3" t="s">
        <v>44</v>
      </c>
      <c r="F1642" s="3" t="s">
        <v>19</v>
      </c>
      <c r="G1642" s="0" t="n">
        <v>4</v>
      </c>
      <c r="H1642" s="4" t="n">
        <v>253.08</v>
      </c>
      <c r="I1642" s="4" t="n">
        <v>154.15</v>
      </c>
      <c r="J1642" s="4" t="n">
        <f aca="false">G1642*H1642</f>
        <v>1012.32</v>
      </c>
      <c r="K1642" s="4" t="n">
        <f aca="false">G1642*I1642</f>
        <v>616.6</v>
      </c>
      <c r="L1642" s="4" t="n">
        <f aca="false">J1642-K1642</f>
        <v>395.72</v>
      </c>
    </row>
    <row r="1643" customFormat="false" ht="15" hidden="false" customHeight="false" outlineLevel="0" collapsed="false">
      <c r="A1643" s="0" t="n">
        <v>2765</v>
      </c>
      <c r="B1643" s="2" t="n">
        <v>45965</v>
      </c>
      <c r="C1643" s="3" t="s">
        <v>16</v>
      </c>
      <c r="D1643" s="3" t="s">
        <v>13</v>
      </c>
      <c r="E1643" s="3" t="s">
        <v>24</v>
      </c>
      <c r="F1643" s="3" t="s">
        <v>39</v>
      </c>
      <c r="G1643" s="0" t="n">
        <v>4</v>
      </c>
      <c r="H1643" s="4" t="n">
        <v>31.53</v>
      </c>
      <c r="I1643" s="4" t="n">
        <v>21.47</v>
      </c>
      <c r="J1643" s="4" t="n">
        <f aca="false">G1643*H1643</f>
        <v>126.12</v>
      </c>
      <c r="K1643" s="4" t="n">
        <f aca="false">G1643*I1643</f>
        <v>85.88</v>
      </c>
      <c r="L1643" s="4" t="n">
        <f aca="false">J1643-K1643</f>
        <v>40.24</v>
      </c>
    </row>
    <row r="1644" customFormat="false" ht="15" hidden="false" customHeight="false" outlineLevel="0" collapsed="false">
      <c r="A1644" s="0" t="n">
        <v>1092</v>
      </c>
      <c r="B1644" s="2" t="n">
        <v>45966</v>
      </c>
      <c r="C1644" s="3" t="s">
        <v>23</v>
      </c>
      <c r="D1644" s="3" t="s">
        <v>29</v>
      </c>
      <c r="E1644" s="3" t="s">
        <v>30</v>
      </c>
      <c r="F1644" s="3" t="s">
        <v>22</v>
      </c>
      <c r="G1644" s="0" t="n">
        <v>39</v>
      </c>
      <c r="H1644" s="4" t="n">
        <v>459.23</v>
      </c>
      <c r="I1644" s="4" t="n">
        <v>256.03</v>
      </c>
      <c r="J1644" s="4" t="n">
        <f aca="false">G1644*H1644</f>
        <v>17909.97</v>
      </c>
      <c r="K1644" s="4" t="n">
        <f aca="false">G1644*I1644</f>
        <v>9985.17</v>
      </c>
      <c r="L1644" s="4" t="n">
        <f aca="false">J1644-K1644</f>
        <v>7924.8</v>
      </c>
    </row>
    <row r="1645" customFormat="false" ht="15" hidden="false" customHeight="false" outlineLevel="0" collapsed="false">
      <c r="A1645" s="0" t="n">
        <v>1976</v>
      </c>
      <c r="B1645" s="2" t="n">
        <v>45966</v>
      </c>
      <c r="C1645" s="3" t="s">
        <v>16</v>
      </c>
      <c r="D1645" s="3" t="s">
        <v>29</v>
      </c>
      <c r="E1645" s="3" t="s">
        <v>37</v>
      </c>
      <c r="F1645" s="3" t="s">
        <v>33</v>
      </c>
      <c r="G1645" s="0" t="n">
        <v>38</v>
      </c>
      <c r="H1645" s="4" t="n">
        <v>339.34</v>
      </c>
      <c r="I1645" s="4" t="n">
        <v>173.48</v>
      </c>
      <c r="J1645" s="4" t="n">
        <f aca="false">G1645*H1645</f>
        <v>12894.92</v>
      </c>
      <c r="K1645" s="4" t="n">
        <f aca="false">G1645*I1645</f>
        <v>6592.24</v>
      </c>
      <c r="L1645" s="4" t="n">
        <f aca="false">J1645-K1645</f>
        <v>6302.68</v>
      </c>
    </row>
    <row r="1646" customFormat="false" ht="15" hidden="false" customHeight="false" outlineLevel="0" collapsed="false">
      <c r="A1646" s="0" t="n">
        <v>2076</v>
      </c>
      <c r="B1646" s="2" t="n">
        <v>45966</v>
      </c>
      <c r="C1646" s="3" t="s">
        <v>12</v>
      </c>
      <c r="D1646" s="3" t="s">
        <v>20</v>
      </c>
      <c r="E1646" s="3" t="s">
        <v>34</v>
      </c>
      <c r="F1646" s="3" t="s">
        <v>28</v>
      </c>
      <c r="G1646" s="0" t="n">
        <v>38</v>
      </c>
      <c r="H1646" s="4" t="n">
        <v>272.36</v>
      </c>
      <c r="I1646" s="4" t="n">
        <v>158.13</v>
      </c>
      <c r="J1646" s="4" t="n">
        <f aca="false">G1646*H1646</f>
        <v>10349.68</v>
      </c>
      <c r="K1646" s="4" t="n">
        <f aca="false">G1646*I1646</f>
        <v>6008.94</v>
      </c>
      <c r="L1646" s="4" t="n">
        <f aca="false">J1646-K1646</f>
        <v>4340.74</v>
      </c>
    </row>
    <row r="1647" customFormat="false" ht="15" hidden="false" customHeight="false" outlineLevel="0" collapsed="false">
      <c r="A1647" s="0" t="n">
        <v>1082</v>
      </c>
      <c r="B1647" s="2" t="n">
        <v>45967</v>
      </c>
      <c r="C1647" s="3" t="s">
        <v>23</v>
      </c>
      <c r="D1647" s="3" t="s">
        <v>13</v>
      </c>
      <c r="E1647" s="3" t="s">
        <v>14</v>
      </c>
      <c r="F1647" s="3" t="s">
        <v>28</v>
      </c>
      <c r="G1647" s="0" t="n">
        <v>23</v>
      </c>
      <c r="H1647" s="4" t="n">
        <v>46.48</v>
      </c>
      <c r="I1647" s="4" t="n">
        <v>33.34</v>
      </c>
      <c r="J1647" s="4" t="n">
        <f aca="false">G1647*H1647</f>
        <v>1069.04</v>
      </c>
      <c r="K1647" s="4" t="n">
        <f aca="false">G1647*I1647</f>
        <v>766.82</v>
      </c>
      <c r="L1647" s="4" t="n">
        <f aca="false">J1647-K1647</f>
        <v>302.22</v>
      </c>
    </row>
    <row r="1648" customFormat="false" ht="15" hidden="false" customHeight="false" outlineLevel="0" collapsed="false">
      <c r="A1648" s="0" t="n">
        <v>1908</v>
      </c>
      <c r="B1648" s="2" t="n">
        <v>45967</v>
      </c>
      <c r="C1648" s="3" t="s">
        <v>23</v>
      </c>
      <c r="D1648" s="3" t="s">
        <v>29</v>
      </c>
      <c r="E1648" s="3" t="s">
        <v>30</v>
      </c>
      <c r="F1648" s="3" t="s">
        <v>25</v>
      </c>
      <c r="G1648" s="0" t="n">
        <v>7</v>
      </c>
      <c r="H1648" s="4" t="n">
        <v>471.65</v>
      </c>
      <c r="I1648" s="4" t="n">
        <v>324.25</v>
      </c>
      <c r="J1648" s="4" t="n">
        <f aca="false">G1648*H1648</f>
        <v>3301.55</v>
      </c>
      <c r="K1648" s="4" t="n">
        <f aca="false">G1648*I1648</f>
        <v>2269.75</v>
      </c>
      <c r="L1648" s="4" t="n">
        <f aca="false">J1648-K1648</f>
        <v>1031.8</v>
      </c>
    </row>
    <row r="1649" customFormat="false" ht="15" hidden="false" customHeight="false" outlineLevel="0" collapsed="false">
      <c r="A1649" s="0" t="n">
        <v>2505</v>
      </c>
      <c r="B1649" s="2" t="n">
        <v>45967</v>
      </c>
      <c r="C1649" s="3" t="s">
        <v>32</v>
      </c>
      <c r="D1649" s="3" t="s">
        <v>17</v>
      </c>
      <c r="E1649" s="3" t="s">
        <v>40</v>
      </c>
      <c r="F1649" s="3" t="s">
        <v>28</v>
      </c>
      <c r="G1649" s="0" t="n">
        <v>7</v>
      </c>
      <c r="H1649" s="4" t="n">
        <v>636.87</v>
      </c>
      <c r="I1649" s="4" t="n">
        <v>422.13</v>
      </c>
      <c r="J1649" s="4" t="n">
        <f aca="false">G1649*H1649</f>
        <v>4458.09</v>
      </c>
      <c r="K1649" s="4" t="n">
        <f aca="false">G1649*I1649</f>
        <v>2954.91</v>
      </c>
      <c r="L1649" s="4" t="n">
        <f aca="false">J1649-K1649</f>
        <v>1503.18</v>
      </c>
    </row>
    <row r="1650" customFormat="false" ht="15" hidden="false" customHeight="false" outlineLevel="0" collapsed="false">
      <c r="A1650" s="0" t="n">
        <v>1999</v>
      </c>
      <c r="B1650" s="2" t="n">
        <v>45968</v>
      </c>
      <c r="C1650" s="3" t="s">
        <v>32</v>
      </c>
      <c r="D1650" s="3" t="s">
        <v>17</v>
      </c>
      <c r="E1650" s="3" t="s">
        <v>35</v>
      </c>
      <c r="F1650" s="3" t="s">
        <v>33</v>
      </c>
      <c r="G1650" s="0" t="n">
        <v>2</v>
      </c>
      <c r="H1650" s="4" t="n">
        <v>824.45</v>
      </c>
      <c r="I1650" s="4" t="n">
        <v>466.34</v>
      </c>
      <c r="J1650" s="4" t="n">
        <f aca="false">G1650*H1650</f>
        <v>1648.9</v>
      </c>
      <c r="K1650" s="4" t="n">
        <f aca="false">G1650*I1650</f>
        <v>932.68</v>
      </c>
      <c r="L1650" s="4" t="n">
        <f aca="false">J1650-K1650</f>
        <v>716.22</v>
      </c>
    </row>
    <row r="1651" customFormat="false" ht="15" hidden="false" customHeight="false" outlineLevel="0" collapsed="false">
      <c r="A1651" s="0" t="n">
        <v>2555</v>
      </c>
      <c r="B1651" s="2" t="n">
        <v>45968</v>
      </c>
      <c r="C1651" s="3" t="s">
        <v>12</v>
      </c>
      <c r="D1651" s="3" t="s">
        <v>17</v>
      </c>
      <c r="E1651" s="3" t="s">
        <v>27</v>
      </c>
      <c r="F1651" s="3" t="s">
        <v>25</v>
      </c>
      <c r="G1651" s="0" t="n">
        <v>8</v>
      </c>
      <c r="H1651" s="4" t="n">
        <v>154.68</v>
      </c>
      <c r="I1651" s="4" t="n">
        <v>82.02</v>
      </c>
      <c r="J1651" s="4" t="n">
        <f aca="false">G1651*H1651</f>
        <v>1237.44</v>
      </c>
      <c r="K1651" s="4" t="n">
        <f aca="false">G1651*I1651</f>
        <v>656.16</v>
      </c>
      <c r="L1651" s="4" t="n">
        <f aca="false">J1651-K1651</f>
        <v>581.28</v>
      </c>
    </row>
    <row r="1652" customFormat="false" ht="15" hidden="false" customHeight="false" outlineLevel="0" collapsed="false">
      <c r="A1652" s="0" t="n">
        <v>2584</v>
      </c>
      <c r="B1652" s="2" t="n">
        <v>45968</v>
      </c>
      <c r="C1652" s="3" t="s">
        <v>32</v>
      </c>
      <c r="D1652" s="3" t="s">
        <v>17</v>
      </c>
      <c r="E1652" s="3" t="s">
        <v>35</v>
      </c>
      <c r="F1652" s="3" t="s">
        <v>25</v>
      </c>
      <c r="G1652" s="0" t="n">
        <v>16</v>
      </c>
      <c r="H1652" s="4" t="n">
        <v>370.28</v>
      </c>
      <c r="I1652" s="4" t="n">
        <v>231.84</v>
      </c>
      <c r="J1652" s="4" t="n">
        <f aca="false">G1652*H1652</f>
        <v>5924.48</v>
      </c>
      <c r="K1652" s="4" t="n">
        <f aca="false">G1652*I1652</f>
        <v>3709.44</v>
      </c>
      <c r="L1652" s="4" t="n">
        <f aca="false">J1652-K1652</f>
        <v>2215.04</v>
      </c>
    </row>
    <row r="1653" customFormat="false" ht="15" hidden="false" customHeight="false" outlineLevel="0" collapsed="false">
      <c r="A1653" s="0" t="n">
        <v>2586</v>
      </c>
      <c r="B1653" s="2" t="n">
        <v>45969</v>
      </c>
      <c r="C1653" s="3" t="s">
        <v>16</v>
      </c>
      <c r="D1653" s="3" t="s">
        <v>17</v>
      </c>
      <c r="E1653" s="3" t="s">
        <v>27</v>
      </c>
      <c r="F1653" s="3" t="s">
        <v>36</v>
      </c>
      <c r="G1653" s="0" t="n">
        <v>17</v>
      </c>
      <c r="H1653" s="4" t="n">
        <v>315.46</v>
      </c>
      <c r="I1653" s="4" t="n">
        <v>227.15</v>
      </c>
      <c r="J1653" s="4" t="n">
        <f aca="false">G1653*H1653</f>
        <v>5362.82</v>
      </c>
      <c r="K1653" s="4" t="n">
        <f aca="false">G1653*I1653</f>
        <v>3861.55</v>
      </c>
      <c r="L1653" s="4" t="n">
        <f aca="false">J1653-K1653</f>
        <v>1501.27</v>
      </c>
    </row>
    <row r="1654" customFormat="false" ht="15" hidden="false" customHeight="false" outlineLevel="0" collapsed="false">
      <c r="A1654" s="0" t="n">
        <v>1076</v>
      </c>
      <c r="B1654" s="2" t="n">
        <v>45970</v>
      </c>
      <c r="C1654" s="3" t="s">
        <v>23</v>
      </c>
      <c r="D1654" s="3" t="s">
        <v>17</v>
      </c>
      <c r="E1654" s="3" t="s">
        <v>18</v>
      </c>
      <c r="F1654" s="3" t="s">
        <v>25</v>
      </c>
      <c r="G1654" s="0" t="n">
        <v>21</v>
      </c>
      <c r="H1654" s="4" t="n">
        <v>272.02</v>
      </c>
      <c r="I1654" s="4" t="n">
        <v>192.11</v>
      </c>
      <c r="J1654" s="4" t="n">
        <f aca="false">G1654*H1654</f>
        <v>5712.42</v>
      </c>
      <c r="K1654" s="4" t="n">
        <f aca="false">G1654*I1654</f>
        <v>4034.31</v>
      </c>
      <c r="L1654" s="4" t="n">
        <f aca="false">J1654-K1654</f>
        <v>1678.11</v>
      </c>
    </row>
    <row r="1655" customFormat="false" ht="15" hidden="false" customHeight="false" outlineLevel="0" collapsed="false">
      <c r="A1655" s="0" t="n">
        <v>1414</v>
      </c>
      <c r="B1655" s="2" t="n">
        <v>45971</v>
      </c>
      <c r="C1655" s="3" t="s">
        <v>23</v>
      </c>
      <c r="D1655" s="3" t="s">
        <v>17</v>
      </c>
      <c r="E1655" s="3" t="s">
        <v>35</v>
      </c>
      <c r="F1655" s="3" t="s">
        <v>22</v>
      </c>
      <c r="G1655" s="0" t="n">
        <v>31</v>
      </c>
      <c r="H1655" s="4" t="n">
        <v>371.81</v>
      </c>
      <c r="I1655" s="4" t="n">
        <v>239.31</v>
      </c>
      <c r="J1655" s="4" t="n">
        <f aca="false">G1655*H1655</f>
        <v>11526.11</v>
      </c>
      <c r="K1655" s="4" t="n">
        <f aca="false">G1655*I1655</f>
        <v>7418.61</v>
      </c>
      <c r="L1655" s="4" t="n">
        <f aca="false">J1655-K1655</f>
        <v>4107.5</v>
      </c>
    </row>
    <row r="1656" customFormat="false" ht="15" hidden="false" customHeight="false" outlineLevel="0" collapsed="false">
      <c r="A1656" s="0" t="n">
        <v>2391</v>
      </c>
      <c r="B1656" s="2" t="n">
        <v>45971</v>
      </c>
      <c r="C1656" s="3" t="s">
        <v>26</v>
      </c>
      <c r="D1656" s="3" t="s">
        <v>20</v>
      </c>
      <c r="E1656" s="3" t="s">
        <v>34</v>
      </c>
      <c r="F1656" s="3" t="s">
        <v>15</v>
      </c>
      <c r="G1656" s="0" t="n">
        <v>8</v>
      </c>
      <c r="H1656" s="4" t="n">
        <v>223.2</v>
      </c>
      <c r="I1656" s="4" t="n">
        <v>121.49</v>
      </c>
      <c r="J1656" s="4" t="n">
        <f aca="false">G1656*H1656</f>
        <v>1785.6</v>
      </c>
      <c r="K1656" s="4" t="n">
        <f aca="false">G1656*I1656</f>
        <v>971.92</v>
      </c>
      <c r="L1656" s="4" t="n">
        <f aca="false">J1656-K1656</f>
        <v>813.68</v>
      </c>
    </row>
    <row r="1657" customFormat="false" ht="15" hidden="false" customHeight="false" outlineLevel="0" collapsed="false">
      <c r="A1657" s="0" t="n">
        <v>1251</v>
      </c>
      <c r="B1657" s="2" t="n">
        <v>45972</v>
      </c>
      <c r="C1657" s="3" t="s">
        <v>32</v>
      </c>
      <c r="D1657" s="3" t="s">
        <v>17</v>
      </c>
      <c r="E1657" s="3" t="s">
        <v>35</v>
      </c>
      <c r="F1657" s="3" t="s">
        <v>36</v>
      </c>
      <c r="G1657" s="0" t="n">
        <v>14</v>
      </c>
      <c r="H1657" s="4" t="n">
        <v>873.23</v>
      </c>
      <c r="I1657" s="4" t="n">
        <v>498.53</v>
      </c>
      <c r="J1657" s="4" t="n">
        <f aca="false">G1657*H1657</f>
        <v>12225.22</v>
      </c>
      <c r="K1657" s="4" t="n">
        <f aca="false">G1657*I1657</f>
        <v>6979.42</v>
      </c>
      <c r="L1657" s="4" t="n">
        <f aca="false">J1657-K1657</f>
        <v>5245.8</v>
      </c>
    </row>
    <row r="1658" customFormat="false" ht="15" hidden="false" customHeight="false" outlineLevel="0" collapsed="false">
      <c r="A1658" s="0" t="n">
        <v>1682</v>
      </c>
      <c r="B1658" s="2" t="n">
        <v>45972</v>
      </c>
      <c r="C1658" s="3" t="s">
        <v>12</v>
      </c>
      <c r="D1658" s="3" t="s">
        <v>13</v>
      </c>
      <c r="E1658" s="3" t="s">
        <v>46</v>
      </c>
      <c r="F1658" s="3" t="s">
        <v>36</v>
      </c>
      <c r="G1658" s="0" t="n">
        <v>15</v>
      </c>
      <c r="H1658" s="4" t="n">
        <v>27.44</v>
      </c>
      <c r="I1658" s="4" t="n">
        <v>20.25</v>
      </c>
      <c r="J1658" s="4" t="n">
        <f aca="false">G1658*H1658</f>
        <v>411.6</v>
      </c>
      <c r="K1658" s="4" t="n">
        <f aca="false">G1658*I1658</f>
        <v>303.75</v>
      </c>
      <c r="L1658" s="4" t="n">
        <f aca="false">J1658-K1658</f>
        <v>107.85</v>
      </c>
    </row>
    <row r="1659" customFormat="false" ht="15" hidden="false" customHeight="false" outlineLevel="0" collapsed="false">
      <c r="A1659" s="0" t="n">
        <v>2182</v>
      </c>
      <c r="B1659" s="2" t="n">
        <v>45972</v>
      </c>
      <c r="C1659" s="3" t="s">
        <v>23</v>
      </c>
      <c r="D1659" s="3" t="s">
        <v>20</v>
      </c>
      <c r="E1659" s="3" t="s">
        <v>21</v>
      </c>
      <c r="F1659" s="3" t="s">
        <v>22</v>
      </c>
      <c r="G1659" s="0" t="n">
        <v>7</v>
      </c>
      <c r="H1659" s="4" t="n">
        <v>97.24</v>
      </c>
      <c r="I1659" s="4" t="n">
        <v>54.74</v>
      </c>
      <c r="J1659" s="4" t="n">
        <f aca="false">G1659*H1659</f>
        <v>680.68</v>
      </c>
      <c r="K1659" s="4" t="n">
        <f aca="false">G1659*I1659</f>
        <v>383.18</v>
      </c>
      <c r="L1659" s="4" t="n">
        <f aca="false">J1659-K1659</f>
        <v>297.5</v>
      </c>
    </row>
    <row r="1660" customFormat="false" ht="15" hidden="false" customHeight="false" outlineLevel="0" collapsed="false">
      <c r="A1660" s="0" t="n">
        <v>2254</v>
      </c>
      <c r="B1660" s="2" t="n">
        <v>45972</v>
      </c>
      <c r="C1660" s="3" t="s">
        <v>26</v>
      </c>
      <c r="D1660" s="3" t="s">
        <v>17</v>
      </c>
      <c r="E1660" s="3" t="s">
        <v>27</v>
      </c>
      <c r="F1660" s="3" t="s">
        <v>19</v>
      </c>
      <c r="G1660" s="0" t="n">
        <v>13</v>
      </c>
      <c r="H1660" s="4" t="n">
        <v>831.12</v>
      </c>
      <c r="I1660" s="4" t="n">
        <v>434.59</v>
      </c>
      <c r="J1660" s="4" t="n">
        <f aca="false">G1660*H1660</f>
        <v>10804.56</v>
      </c>
      <c r="K1660" s="4" t="n">
        <f aca="false">G1660*I1660</f>
        <v>5649.67</v>
      </c>
      <c r="L1660" s="4" t="n">
        <f aca="false">J1660-K1660</f>
        <v>5154.89</v>
      </c>
    </row>
    <row r="1661" customFormat="false" ht="15" hidden="false" customHeight="false" outlineLevel="0" collapsed="false">
      <c r="A1661" s="0" t="n">
        <v>2319</v>
      </c>
      <c r="B1661" s="2" t="n">
        <v>45972</v>
      </c>
      <c r="C1661" s="3" t="s">
        <v>32</v>
      </c>
      <c r="D1661" s="3" t="s">
        <v>20</v>
      </c>
      <c r="E1661" s="3" t="s">
        <v>21</v>
      </c>
      <c r="F1661" s="3" t="s">
        <v>39</v>
      </c>
      <c r="G1661" s="0" t="n">
        <v>9</v>
      </c>
      <c r="H1661" s="4" t="n">
        <v>206.1</v>
      </c>
      <c r="I1661" s="4" t="n">
        <v>126.04</v>
      </c>
      <c r="J1661" s="4" t="n">
        <f aca="false">G1661*H1661</f>
        <v>1854.9</v>
      </c>
      <c r="K1661" s="4" t="n">
        <f aca="false">G1661*I1661</f>
        <v>1134.36</v>
      </c>
      <c r="L1661" s="4" t="n">
        <f aca="false">J1661-K1661</f>
        <v>720.54</v>
      </c>
    </row>
    <row r="1662" customFormat="false" ht="15" hidden="false" customHeight="false" outlineLevel="0" collapsed="false">
      <c r="A1662" s="0" t="n">
        <v>2742</v>
      </c>
      <c r="B1662" s="2" t="n">
        <v>45972</v>
      </c>
      <c r="C1662" s="3" t="s">
        <v>12</v>
      </c>
      <c r="D1662" s="3" t="s">
        <v>13</v>
      </c>
      <c r="E1662" s="3" t="s">
        <v>31</v>
      </c>
      <c r="F1662" s="3" t="s">
        <v>36</v>
      </c>
      <c r="G1662" s="0" t="n">
        <v>4</v>
      </c>
      <c r="H1662" s="4" t="n">
        <v>49.8</v>
      </c>
      <c r="I1662" s="4" t="n">
        <v>27.53</v>
      </c>
      <c r="J1662" s="4" t="n">
        <f aca="false">G1662*H1662</f>
        <v>199.2</v>
      </c>
      <c r="K1662" s="4" t="n">
        <f aca="false">G1662*I1662</f>
        <v>110.12</v>
      </c>
      <c r="L1662" s="4" t="n">
        <f aca="false">J1662-K1662</f>
        <v>89.08</v>
      </c>
    </row>
    <row r="1663" customFormat="false" ht="15" hidden="false" customHeight="false" outlineLevel="0" collapsed="false">
      <c r="A1663" s="0" t="n">
        <v>1785</v>
      </c>
      <c r="B1663" s="2" t="n">
        <v>45973</v>
      </c>
      <c r="C1663" s="3" t="s">
        <v>12</v>
      </c>
      <c r="D1663" s="3" t="s">
        <v>29</v>
      </c>
      <c r="E1663" s="3" t="s">
        <v>41</v>
      </c>
      <c r="F1663" s="3" t="s">
        <v>19</v>
      </c>
      <c r="G1663" s="0" t="n">
        <v>17</v>
      </c>
      <c r="H1663" s="4" t="n">
        <v>358.29</v>
      </c>
      <c r="I1663" s="4" t="n">
        <v>189.6</v>
      </c>
      <c r="J1663" s="4" t="n">
        <f aca="false">G1663*H1663</f>
        <v>6090.93</v>
      </c>
      <c r="K1663" s="4" t="n">
        <f aca="false">G1663*I1663</f>
        <v>3223.2</v>
      </c>
      <c r="L1663" s="4" t="n">
        <f aca="false">J1663-K1663</f>
        <v>2867.73</v>
      </c>
    </row>
    <row r="1664" customFormat="false" ht="15" hidden="false" customHeight="false" outlineLevel="0" collapsed="false">
      <c r="A1664" s="0" t="n">
        <v>2235</v>
      </c>
      <c r="B1664" s="2" t="n">
        <v>45973</v>
      </c>
      <c r="C1664" s="3" t="s">
        <v>23</v>
      </c>
      <c r="D1664" s="3" t="s">
        <v>13</v>
      </c>
      <c r="E1664" s="3" t="s">
        <v>46</v>
      </c>
      <c r="F1664" s="3" t="s">
        <v>39</v>
      </c>
      <c r="G1664" s="0" t="n">
        <v>16</v>
      </c>
      <c r="H1664" s="4" t="n">
        <v>13.89</v>
      </c>
      <c r="I1664" s="4" t="n">
        <v>9.23</v>
      </c>
      <c r="J1664" s="4" t="n">
        <f aca="false">G1664*H1664</f>
        <v>222.24</v>
      </c>
      <c r="K1664" s="4" t="n">
        <f aca="false">G1664*I1664</f>
        <v>147.68</v>
      </c>
      <c r="L1664" s="4" t="n">
        <f aca="false">J1664-K1664</f>
        <v>74.56</v>
      </c>
    </row>
    <row r="1665" customFormat="false" ht="15" hidden="false" customHeight="false" outlineLevel="0" collapsed="false">
      <c r="A1665" s="0" t="n">
        <v>1039</v>
      </c>
      <c r="B1665" s="2" t="n">
        <v>45974</v>
      </c>
      <c r="C1665" s="3" t="s">
        <v>23</v>
      </c>
      <c r="D1665" s="3" t="s">
        <v>29</v>
      </c>
      <c r="E1665" s="3" t="s">
        <v>41</v>
      </c>
      <c r="F1665" s="3" t="s">
        <v>15</v>
      </c>
      <c r="G1665" s="0" t="n">
        <v>36</v>
      </c>
      <c r="H1665" s="4" t="n">
        <v>474.95</v>
      </c>
      <c r="I1665" s="4" t="n">
        <v>344.67</v>
      </c>
      <c r="J1665" s="4" t="n">
        <f aca="false">G1665*H1665</f>
        <v>17098.2</v>
      </c>
      <c r="K1665" s="4" t="n">
        <f aca="false">G1665*I1665</f>
        <v>12408.12</v>
      </c>
      <c r="L1665" s="4" t="n">
        <f aca="false">J1665-K1665</f>
        <v>4690.08</v>
      </c>
    </row>
    <row r="1666" customFormat="false" ht="15" hidden="false" customHeight="false" outlineLevel="0" collapsed="false">
      <c r="A1666" s="0" t="n">
        <v>1441</v>
      </c>
      <c r="B1666" s="2" t="n">
        <v>45974</v>
      </c>
      <c r="C1666" s="3" t="s">
        <v>12</v>
      </c>
      <c r="D1666" s="3" t="s">
        <v>17</v>
      </c>
      <c r="E1666" s="3" t="s">
        <v>44</v>
      </c>
      <c r="F1666" s="3" t="s">
        <v>36</v>
      </c>
      <c r="G1666" s="0" t="n">
        <v>21</v>
      </c>
      <c r="H1666" s="4" t="n">
        <v>72.66</v>
      </c>
      <c r="I1666" s="4" t="n">
        <v>40.75</v>
      </c>
      <c r="J1666" s="4" t="n">
        <f aca="false">G1666*H1666</f>
        <v>1525.86</v>
      </c>
      <c r="K1666" s="4" t="n">
        <f aca="false">G1666*I1666</f>
        <v>855.75</v>
      </c>
      <c r="L1666" s="4" t="n">
        <f aca="false">J1666-K1666</f>
        <v>670.11</v>
      </c>
    </row>
    <row r="1667" customFormat="false" ht="15" hidden="false" customHeight="false" outlineLevel="0" collapsed="false">
      <c r="A1667" s="0" t="n">
        <v>1118</v>
      </c>
      <c r="B1667" s="2" t="n">
        <v>45975</v>
      </c>
      <c r="C1667" s="3" t="s">
        <v>32</v>
      </c>
      <c r="D1667" s="3" t="s">
        <v>17</v>
      </c>
      <c r="E1667" s="3" t="s">
        <v>44</v>
      </c>
      <c r="F1667" s="3" t="s">
        <v>36</v>
      </c>
      <c r="G1667" s="0" t="n">
        <v>39</v>
      </c>
      <c r="H1667" s="4" t="n">
        <v>106.02</v>
      </c>
      <c r="I1667" s="4" t="n">
        <v>73.26</v>
      </c>
      <c r="J1667" s="4" t="n">
        <f aca="false">G1667*H1667</f>
        <v>4134.78</v>
      </c>
      <c r="K1667" s="4" t="n">
        <f aca="false">G1667*I1667</f>
        <v>2857.14</v>
      </c>
      <c r="L1667" s="4" t="n">
        <f aca="false">J1667-K1667</f>
        <v>1277.64</v>
      </c>
    </row>
    <row r="1668" customFormat="false" ht="15" hidden="false" customHeight="false" outlineLevel="0" collapsed="false">
      <c r="A1668" s="0" t="n">
        <v>1143</v>
      </c>
      <c r="B1668" s="2" t="n">
        <v>45976</v>
      </c>
      <c r="C1668" s="3" t="s">
        <v>26</v>
      </c>
      <c r="D1668" s="3" t="s">
        <v>29</v>
      </c>
      <c r="E1668" s="3" t="s">
        <v>30</v>
      </c>
      <c r="F1668" s="3" t="s">
        <v>22</v>
      </c>
      <c r="G1668" s="0" t="n">
        <v>25</v>
      </c>
      <c r="H1668" s="4" t="n">
        <v>242.49</v>
      </c>
      <c r="I1668" s="4" t="n">
        <v>166.55</v>
      </c>
      <c r="J1668" s="4" t="n">
        <f aca="false">G1668*H1668</f>
        <v>6062.25</v>
      </c>
      <c r="K1668" s="4" t="n">
        <f aca="false">G1668*I1668</f>
        <v>4163.75</v>
      </c>
      <c r="L1668" s="4" t="n">
        <f aca="false">J1668-K1668</f>
        <v>1898.5</v>
      </c>
    </row>
    <row r="1669" customFormat="false" ht="15" hidden="false" customHeight="false" outlineLevel="0" collapsed="false">
      <c r="A1669" s="0" t="n">
        <v>1306</v>
      </c>
      <c r="B1669" s="2" t="n">
        <v>45976</v>
      </c>
      <c r="C1669" s="3" t="s">
        <v>32</v>
      </c>
      <c r="D1669" s="3" t="s">
        <v>20</v>
      </c>
      <c r="E1669" s="3" t="s">
        <v>34</v>
      </c>
      <c r="F1669" s="3" t="s">
        <v>22</v>
      </c>
      <c r="G1669" s="0" t="n">
        <v>25</v>
      </c>
      <c r="H1669" s="4" t="n">
        <v>262.73</v>
      </c>
      <c r="I1669" s="4" t="n">
        <v>162.55</v>
      </c>
      <c r="J1669" s="4" t="n">
        <f aca="false">G1669*H1669</f>
        <v>6568.25</v>
      </c>
      <c r="K1669" s="4" t="n">
        <f aca="false">G1669*I1669</f>
        <v>4063.75</v>
      </c>
      <c r="L1669" s="4" t="n">
        <f aca="false">J1669-K1669</f>
        <v>2504.5</v>
      </c>
    </row>
    <row r="1670" customFormat="false" ht="15" hidden="false" customHeight="false" outlineLevel="0" collapsed="false">
      <c r="A1670" s="0" t="n">
        <v>1981</v>
      </c>
      <c r="B1670" s="2" t="n">
        <v>45976</v>
      </c>
      <c r="C1670" s="3" t="s">
        <v>26</v>
      </c>
      <c r="D1670" s="3" t="s">
        <v>13</v>
      </c>
      <c r="E1670" s="3" t="s">
        <v>45</v>
      </c>
      <c r="F1670" s="3" t="s">
        <v>19</v>
      </c>
      <c r="G1670" s="0" t="n">
        <v>1</v>
      </c>
      <c r="H1670" s="4" t="n">
        <v>26.26</v>
      </c>
      <c r="I1670" s="4" t="n">
        <v>14.35</v>
      </c>
      <c r="J1670" s="4" t="n">
        <f aca="false">G1670*H1670</f>
        <v>26.26</v>
      </c>
      <c r="K1670" s="4" t="n">
        <f aca="false">G1670*I1670</f>
        <v>14.35</v>
      </c>
      <c r="L1670" s="4" t="n">
        <f aca="false">J1670-K1670</f>
        <v>11.91</v>
      </c>
    </row>
    <row r="1671" customFormat="false" ht="15" hidden="false" customHeight="false" outlineLevel="0" collapsed="false">
      <c r="A1671" s="0" t="n">
        <v>2027</v>
      </c>
      <c r="B1671" s="2" t="n">
        <v>45976</v>
      </c>
      <c r="C1671" s="3" t="s">
        <v>26</v>
      </c>
      <c r="D1671" s="3" t="s">
        <v>29</v>
      </c>
      <c r="E1671" s="3" t="s">
        <v>30</v>
      </c>
      <c r="F1671" s="3" t="s">
        <v>39</v>
      </c>
      <c r="G1671" s="0" t="n">
        <v>5</v>
      </c>
      <c r="H1671" s="4" t="n">
        <v>195.97</v>
      </c>
      <c r="I1671" s="4" t="n">
        <v>123.11</v>
      </c>
      <c r="J1671" s="4" t="n">
        <f aca="false">G1671*H1671</f>
        <v>979.85</v>
      </c>
      <c r="K1671" s="4" t="n">
        <f aca="false">G1671*I1671</f>
        <v>615.55</v>
      </c>
      <c r="L1671" s="4" t="n">
        <f aca="false">J1671-K1671</f>
        <v>364.3</v>
      </c>
    </row>
    <row r="1672" customFormat="false" ht="15" hidden="false" customHeight="false" outlineLevel="0" collapsed="false">
      <c r="A1672" s="0" t="n">
        <v>2032</v>
      </c>
      <c r="B1672" s="2" t="n">
        <v>45976</v>
      </c>
      <c r="C1672" s="3" t="s">
        <v>23</v>
      </c>
      <c r="D1672" s="3" t="s">
        <v>20</v>
      </c>
      <c r="E1672" s="3" t="s">
        <v>21</v>
      </c>
      <c r="F1672" s="3" t="s">
        <v>33</v>
      </c>
      <c r="G1672" s="0" t="n">
        <v>35</v>
      </c>
      <c r="H1672" s="4" t="n">
        <v>266.65</v>
      </c>
      <c r="I1672" s="4" t="n">
        <v>183.65</v>
      </c>
      <c r="J1672" s="4" t="n">
        <f aca="false">G1672*H1672</f>
        <v>9332.75</v>
      </c>
      <c r="K1672" s="4" t="n">
        <f aca="false">G1672*I1672</f>
        <v>6427.75</v>
      </c>
      <c r="L1672" s="4" t="n">
        <f aca="false">J1672-K1672</f>
        <v>2905</v>
      </c>
    </row>
    <row r="1673" customFormat="false" ht="15" hidden="false" customHeight="false" outlineLevel="0" collapsed="false">
      <c r="A1673" s="0" t="n">
        <v>2084</v>
      </c>
      <c r="B1673" s="2" t="n">
        <v>45976</v>
      </c>
      <c r="C1673" s="3" t="s">
        <v>23</v>
      </c>
      <c r="D1673" s="3" t="s">
        <v>20</v>
      </c>
      <c r="E1673" s="3" t="s">
        <v>34</v>
      </c>
      <c r="F1673" s="3" t="s">
        <v>25</v>
      </c>
      <c r="G1673" s="0" t="n">
        <v>25</v>
      </c>
      <c r="H1673" s="4" t="n">
        <v>236.51</v>
      </c>
      <c r="I1673" s="4" t="n">
        <v>171.35</v>
      </c>
      <c r="J1673" s="4" t="n">
        <f aca="false">G1673*H1673</f>
        <v>5912.75</v>
      </c>
      <c r="K1673" s="4" t="n">
        <f aca="false">G1673*I1673</f>
        <v>4283.75</v>
      </c>
      <c r="L1673" s="4" t="n">
        <f aca="false">J1673-K1673</f>
        <v>1629</v>
      </c>
    </row>
    <row r="1674" customFormat="false" ht="15" hidden="false" customHeight="false" outlineLevel="0" collapsed="false">
      <c r="A1674" s="0" t="n">
        <v>1026</v>
      </c>
      <c r="B1674" s="2" t="n">
        <v>45977</v>
      </c>
      <c r="C1674" s="3" t="s">
        <v>32</v>
      </c>
      <c r="D1674" s="3" t="s">
        <v>13</v>
      </c>
      <c r="E1674" s="3" t="s">
        <v>31</v>
      </c>
      <c r="F1674" s="3" t="s">
        <v>36</v>
      </c>
      <c r="G1674" s="0" t="n">
        <v>9</v>
      </c>
      <c r="H1674" s="4" t="n">
        <v>20.1</v>
      </c>
      <c r="I1674" s="4" t="n">
        <v>10.41</v>
      </c>
      <c r="J1674" s="4" t="n">
        <f aca="false">G1674*H1674</f>
        <v>180.9</v>
      </c>
      <c r="K1674" s="4" t="n">
        <f aca="false">G1674*I1674</f>
        <v>93.69</v>
      </c>
      <c r="L1674" s="4" t="n">
        <f aca="false">J1674-K1674</f>
        <v>87.21</v>
      </c>
    </row>
    <row r="1675" customFormat="false" ht="15" hidden="false" customHeight="false" outlineLevel="0" collapsed="false">
      <c r="A1675" s="0" t="n">
        <v>1180</v>
      </c>
      <c r="B1675" s="2" t="n">
        <v>45977</v>
      </c>
      <c r="C1675" s="3" t="s">
        <v>16</v>
      </c>
      <c r="D1675" s="3" t="s">
        <v>13</v>
      </c>
      <c r="E1675" s="3" t="s">
        <v>24</v>
      </c>
      <c r="F1675" s="3" t="s">
        <v>22</v>
      </c>
      <c r="G1675" s="0" t="n">
        <v>7</v>
      </c>
      <c r="H1675" s="4" t="n">
        <v>43.89</v>
      </c>
      <c r="I1675" s="4" t="n">
        <v>22</v>
      </c>
      <c r="J1675" s="4" t="n">
        <f aca="false">G1675*H1675</f>
        <v>307.23</v>
      </c>
      <c r="K1675" s="4" t="n">
        <f aca="false">G1675*I1675</f>
        <v>154</v>
      </c>
      <c r="L1675" s="4" t="n">
        <f aca="false">J1675-K1675</f>
        <v>153.23</v>
      </c>
    </row>
    <row r="1676" customFormat="false" ht="15" hidden="false" customHeight="false" outlineLevel="0" collapsed="false">
      <c r="A1676" s="0" t="n">
        <v>1896</v>
      </c>
      <c r="B1676" s="2" t="n">
        <v>45977</v>
      </c>
      <c r="C1676" s="3" t="s">
        <v>26</v>
      </c>
      <c r="D1676" s="3" t="s">
        <v>29</v>
      </c>
      <c r="E1676" s="3" t="s">
        <v>41</v>
      </c>
      <c r="F1676" s="3" t="s">
        <v>28</v>
      </c>
      <c r="G1676" s="0" t="n">
        <v>35</v>
      </c>
      <c r="H1676" s="4" t="n">
        <v>116.05</v>
      </c>
      <c r="I1676" s="4" t="n">
        <v>84.64</v>
      </c>
      <c r="J1676" s="4" t="n">
        <f aca="false">G1676*H1676</f>
        <v>4061.75</v>
      </c>
      <c r="K1676" s="4" t="n">
        <f aca="false">G1676*I1676</f>
        <v>2962.4</v>
      </c>
      <c r="L1676" s="4" t="n">
        <f aca="false">J1676-K1676</f>
        <v>1099.35</v>
      </c>
    </row>
    <row r="1677" customFormat="false" ht="15" hidden="false" customHeight="false" outlineLevel="0" collapsed="false">
      <c r="A1677" s="0" t="n">
        <v>1038</v>
      </c>
      <c r="B1677" s="2" t="n">
        <v>45978</v>
      </c>
      <c r="C1677" s="3" t="s">
        <v>12</v>
      </c>
      <c r="D1677" s="3" t="s">
        <v>29</v>
      </c>
      <c r="E1677" s="3" t="s">
        <v>41</v>
      </c>
      <c r="F1677" s="3" t="s">
        <v>25</v>
      </c>
      <c r="G1677" s="0" t="n">
        <v>22</v>
      </c>
      <c r="H1677" s="4" t="n">
        <v>132.34</v>
      </c>
      <c r="I1677" s="4" t="n">
        <v>82.95</v>
      </c>
      <c r="J1677" s="4" t="n">
        <f aca="false">G1677*H1677</f>
        <v>2911.48</v>
      </c>
      <c r="K1677" s="4" t="n">
        <f aca="false">G1677*I1677</f>
        <v>1824.9</v>
      </c>
      <c r="L1677" s="4" t="n">
        <f aca="false">J1677-K1677</f>
        <v>1086.58</v>
      </c>
    </row>
    <row r="1678" customFormat="false" ht="15" hidden="false" customHeight="false" outlineLevel="0" collapsed="false">
      <c r="A1678" s="0" t="n">
        <v>1648</v>
      </c>
      <c r="B1678" s="2" t="n">
        <v>45978</v>
      </c>
      <c r="C1678" s="3" t="s">
        <v>16</v>
      </c>
      <c r="D1678" s="3" t="s">
        <v>17</v>
      </c>
      <c r="E1678" s="3" t="s">
        <v>27</v>
      </c>
      <c r="F1678" s="3" t="s">
        <v>15</v>
      </c>
      <c r="G1678" s="0" t="n">
        <v>33</v>
      </c>
      <c r="H1678" s="4" t="n">
        <v>580.51</v>
      </c>
      <c r="I1678" s="4" t="n">
        <v>430.75</v>
      </c>
      <c r="J1678" s="4" t="n">
        <f aca="false">G1678*H1678</f>
        <v>19156.83</v>
      </c>
      <c r="K1678" s="4" t="n">
        <f aca="false">G1678*I1678</f>
        <v>14214.75</v>
      </c>
      <c r="L1678" s="4" t="n">
        <f aca="false">J1678-K1678</f>
        <v>4942.08</v>
      </c>
    </row>
    <row r="1679" customFormat="false" ht="15" hidden="false" customHeight="false" outlineLevel="0" collapsed="false">
      <c r="A1679" s="0" t="n">
        <v>2590</v>
      </c>
      <c r="B1679" s="2" t="n">
        <v>45978</v>
      </c>
      <c r="C1679" s="3" t="s">
        <v>23</v>
      </c>
      <c r="D1679" s="3" t="s">
        <v>13</v>
      </c>
      <c r="E1679" s="3" t="s">
        <v>14</v>
      </c>
      <c r="F1679" s="3" t="s">
        <v>36</v>
      </c>
      <c r="G1679" s="0" t="n">
        <v>38</v>
      </c>
      <c r="H1679" s="4" t="n">
        <v>41.21</v>
      </c>
      <c r="I1679" s="4" t="n">
        <v>21.12</v>
      </c>
      <c r="J1679" s="4" t="n">
        <f aca="false">G1679*H1679</f>
        <v>1565.98</v>
      </c>
      <c r="K1679" s="4" t="n">
        <f aca="false">G1679*I1679</f>
        <v>802.56</v>
      </c>
      <c r="L1679" s="4" t="n">
        <f aca="false">J1679-K1679</f>
        <v>763.42</v>
      </c>
    </row>
    <row r="1680" customFormat="false" ht="15" hidden="false" customHeight="false" outlineLevel="0" collapsed="false">
      <c r="A1680" s="0" t="n">
        <v>2780</v>
      </c>
      <c r="B1680" s="2" t="n">
        <v>45978</v>
      </c>
      <c r="C1680" s="3" t="s">
        <v>23</v>
      </c>
      <c r="D1680" s="3" t="s">
        <v>20</v>
      </c>
      <c r="E1680" s="3" t="s">
        <v>38</v>
      </c>
      <c r="F1680" s="3" t="s">
        <v>22</v>
      </c>
      <c r="G1680" s="0" t="n">
        <v>29</v>
      </c>
      <c r="H1680" s="4" t="n">
        <v>190.79</v>
      </c>
      <c r="I1680" s="4" t="n">
        <v>131.21</v>
      </c>
      <c r="J1680" s="4" t="n">
        <f aca="false">G1680*H1680</f>
        <v>5532.91</v>
      </c>
      <c r="K1680" s="4" t="n">
        <f aca="false">G1680*I1680</f>
        <v>3805.09</v>
      </c>
      <c r="L1680" s="4" t="n">
        <f aca="false">J1680-K1680</f>
        <v>1727.82</v>
      </c>
    </row>
    <row r="1681" customFormat="false" ht="15" hidden="false" customHeight="false" outlineLevel="0" collapsed="false">
      <c r="A1681" s="0" t="n">
        <v>1929</v>
      </c>
      <c r="B1681" s="2" t="n">
        <v>45979</v>
      </c>
      <c r="C1681" s="3" t="s">
        <v>26</v>
      </c>
      <c r="D1681" s="3" t="s">
        <v>20</v>
      </c>
      <c r="E1681" s="3" t="s">
        <v>21</v>
      </c>
      <c r="F1681" s="3" t="s">
        <v>33</v>
      </c>
      <c r="G1681" s="0" t="n">
        <v>21</v>
      </c>
      <c r="H1681" s="4" t="n">
        <v>33.1</v>
      </c>
      <c r="I1681" s="4" t="n">
        <v>18.82</v>
      </c>
      <c r="J1681" s="4" t="n">
        <f aca="false">G1681*H1681</f>
        <v>695.1</v>
      </c>
      <c r="K1681" s="4" t="n">
        <f aca="false">G1681*I1681</f>
        <v>395.22</v>
      </c>
      <c r="L1681" s="4" t="n">
        <f aca="false">J1681-K1681</f>
        <v>299.88</v>
      </c>
    </row>
    <row r="1682" customFormat="false" ht="15" hidden="false" customHeight="false" outlineLevel="0" collapsed="false">
      <c r="A1682" s="0" t="n">
        <v>2288</v>
      </c>
      <c r="B1682" s="2" t="n">
        <v>45979</v>
      </c>
      <c r="C1682" s="3" t="s">
        <v>16</v>
      </c>
      <c r="D1682" s="3" t="s">
        <v>20</v>
      </c>
      <c r="E1682" s="3" t="s">
        <v>34</v>
      </c>
      <c r="F1682" s="3" t="s">
        <v>19</v>
      </c>
      <c r="G1682" s="0" t="n">
        <v>8</v>
      </c>
      <c r="H1682" s="4" t="n">
        <v>264.79</v>
      </c>
      <c r="I1682" s="4" t="n">
        <v>145.64</v>
      </c>
      <c r="J1682" s="4" t="n">
        <f aca="false">G1682*H1682</f>
        <v>2118.32</v>
      </c>
      <c r="K1682" s="4" t="n">
        <f aca="false">G1682*I1682</f>
        <v>1165.12</v>
      </c>
      <c r="L1682" s="4" t="n">
        <f aca="false">J1682-K1682</f>
        <v>953.2</v>
      </c>
    </row>
    <row r="1683" customFormat="false" ht="15" hidden="false" customHeight="false" outlineLevel="0" collapsed="false">
      <c r="A1683" s="0" t="n">
        <v>2574</v>
      </c>
      <c r="B1683" s="2" t="n">
        <v>45979</v>
      </c>
      <c r="C1683" s="3" t="s">
        <v>12</v>
      </c>
      <c r="D1683" s="3" t="s">
        <v>20</v>
      </c>
      <c r="E1683" s="3" t="s">
        <v>34</v>
      </c>
      <c r="F1683" s="3" t="s">
        <v>28</v>
      </c>
      <c r="G1683" s="0" t="n">
        <v>17</v>
      </c>
      <c r="H1683" s="4" t="n">
        <v>61.7</v>
      </c>
      <c r="I1683" s="4" t="n">
        <v>36.3</v>
      </c>
      <c r="J1683" s="4" t="n">
        <f aca="false">G1683*H1683</f>
        <v>1048.9</v>
      </c>
      <c r="K1683" s="4" t="n">
        <f aca="false">G1683*I1683</f>
        <v>617.1</v>
      </c>
      <c r="L1683" s="4" t="n">
        <f aca="false">J1683-K1683</f>
        <v>431.8</v>
      </c>
    </row>
    <row r="1684" customFormat="false" ht="15" hidden="false" customHeight="false" outlineLevel="0" collapsed="false">
      <c r="A1684" s="0" t="n">
        <v>2638</v>
      </c>
      <c r="B1684" s="2" t="n">
        <v>45979</v>
      </c>
      <c r="C1684" s="3" t="s">
        <v>16</v>
      </c>
      <c r="D1684" s="3" t="s">
        <v>20</v>
      </c>
      <c r="E1684" s="3" t="s">
        <v>21</v>
      </c>
      <c r="F1684" s="3" t="s">
        <v>25</v>
      </c>
      <c r="G1684" s="0" t="n">
        <v>1</v>
      </c>
      <c r="H1684" s="4" t="n">
        <v>127.44</v>
      </c>
      <c r="I1684" s="4" t="n">
        <v>66.68</v>
      </c>
      <c r="J1684" s="4" t="n">
        <f aca="false">G1684*H1684</f>
        <v>127.44</v>
      </c>
      <c r="K1684" s="4" t="n">
        <f aca="false">G1684*I1684</f>
        <v>66.68</v>
      </c>
      <c r="L1684" s="4" t="n">
        <f aca="false">J1684-K1684</f>
        <v>60.76</v>
      </c>
    </row>
    <row r="1685" customFormat="false" ht="15" hidden="false" customHeight="false" outlineLevel="0" collapsed="false">
      <c r="A1685" s="0" t="n">
        <v>1042</v>
      </c>
      <c r="B1685" s="2" t="n">
        <v>45980</v>
      </c>
      <c r="C1685" s="3" t="s">
        <v>32</v>
      </c>
      <c r="D1685" s="3" t="s">
        <v>13</v>
      </c>
      <c r="E1685" s="3" t="s">
        <v>24</v>
      </c>
      <c r="F1685" s="3" t="s">
        <v>19</v>
      </c>
      <c r="G1685" s="0" t="n">
        <v>2</v>
      </c>
      <c r="H1685" s="4" t="n">
        <v>59.08</v>
      </c>
      <c r="I1685" s="4" t="n">
        <v>36.27</v>
      </c>
      <c r="J1685" s="4" t="n">
        <f aca="false">G1685*H1685</f>
        <v>118.16</v>
      </c>
      <c r="K1685" s="4" t="n">
        <f aca="false">G1685*I1685</f>
        <v>72.54</v>
      </c>
      <c r="L1685" s="4" t="n">
        <f aca="false">J1685-K1685</f>
        <v>45.62</v>
      </c>
    </row>
    <row r="1686" customFormat="false" ht="15" hidden="false" customHeight="false" outlineLevel="0" collapsed="false">
      <c r="A1686" s="0" t="n">
        <v>1074</v>
      </c>
      <c r="B1686" s="2" t="n">
        <v>45980</v>
      </c>
      <c r="C1686" s="3" t="s">
        <v>32</v>
      </c>
      <c r="D1686" s="3" t="s">
        <v>17</v>
      </c>
      <c r="E1686" s="3" t="s">
        <v>44</v>
      </c>
      <c r="F1686" s="3" t="s">
        <v>28</v>
      </c>
      <c r="G1686" s="0" t="n">
        <v>34</v>
      </c>
      <c r="H1686" s="4" t="n">
        <v>607.27</v>
      </c>
      <c r="I1686" s="4" t="n">
        <v>400.01</v>
      </c>
      <c r="J1686" s="4" t="n">
        <f aca="false">G1686*H1686</f>
        <v>20647.18</v>
      </c>
      <c r="K1686" s="4" t="n">
        <f aca="false">G1686*I1686</f>
        <v>13600.34</v>
      </c>
      <c r="L1686" s="4" t="n">
        <f aca="false">J1686-K1686</f>
        <v>7046.84</v>
      </c>
    </row>
    <row r="1687" customFormat="false" ht="15" hidden="false" customHeight="false" outlineLevel="0" collapsed="false">
      <c r="A1687" s="0" t="n">
        <v>1097</v>
      </c>
      <c r="B1687" s="2" t="n">
        <v>45980</v>
      </c>
      <c r="C1687" s="3" t="s">
        <v>32</v>
      </c>
      <c r="D1687" s="3" t="s">
        <v>20</v>
      </c>
      <c r="E1687" s="3" t="s">
        <v>38</v>
      </c>
      <c r="F1687" s="3" t="s">
        <v>25</v>
      </c>
      <c r="G1687" s="0" t="n">
        <v>15</v>
      </c>
      <c r="H1687" s="4" t="n">
        <v>111.84</v>
      </c>
      <c r="I1687" s="4" t="n">
        <v>72.98</v>
      </c>
      <c r="J1687" s="4" t="n">
        <f aca="false">G1687*H1687</f>
        <v>1677.6</v>
      </c>
      <c r="K1687" s="4" t="n">
        <f aca="false">G1687*I1687</f>
        <v>1094.7</v>
      </c>
      <c r="L1687" s="4" t="n">
        <f aca="false">J1687-K1687</f>
        <v>582.9</v>
      </c>
    </row>
    <row r="1688" customFormat="false" ht="15" hidden="false" customHeight="false" outlineLevel="0" collapsed="false">
      <c r="A1688" s="0" t="n">
        <v>1199</v>
      </c>
      <c r="B1688" s="2" t="n">
        <v>45980</v>
      </c>
      <c r="C1688" s="3" t="s">
        <v>32</v>
      </c>
      <c r="D1688" s="3" t="s">
        <v>13</v>
      </c>
      <c r="E1688" s="3" t="s">
        <v>31</v>
      </c>
      <c r="F1688" s="3" t="s">
        <v>19</v>
      </c>
      <c r="G1688" s="0" t="n">
        <v>34</v>
      </c>
      <c r="H1688" s="4" t="n">
        <v>20.13</v>
      </c>
      <c r="I1688" s="4" t="n">
        <v>14.49</v>
      </c>
      <c r="J1688" s="4" t="n">
        <f aca="false">G1688*H1688</f>
        <v>684.42</v>
      </c>
      <c r="K1688" s="4" t="n">
        <f aca="false">G1688*I1688</f>
        <v>492.66</v>
      </c>
      <c r="L1688" s="4" t="n">
        <f aca="false">J1688-K1688</f>
        <v>191.76</v>
      </c>
    </row>
    <row r="1689" customFormat="false" ht="15" hidden="false" customHeight="false" outlineLevel="0" collapsed="false">
      <c r="A1689" s="0" t="n">
        <v>2250</v>
      </c>
      <c r="B1689" s="2" t="n">
        <v>45980</v>
      </c>
      <c r="C1689" s="3" t="s">
        <v>32</v>
      </c>
      <c r="D1689" s="3" t="s">
        <v>20</v>
      </c>
      <c r="E1689" s="3" t="s">
        <v>38</v>
      </c>
      <c r="F1689" s="3" t="s">
        <v>33</v>
      </c>
      <c r="G1689" s="0" t="n">
        <v>33</v>
      </c>
      <c r="H1689" s="4" t="n">
        <v>115.8</v>
      </c>
      <c r="I1689" s="4" t="n">
        <v>85.2</v>
      </c>
      <c r="J1689" s="4" t="n">
        <f aca="false">G1689*H1689</f>
        <v>3821.4</v>
      </c>
      <c r="K1689" s="4" t="n">
        <f aca="false">G1689*I1689</f>
        <v>2811.6</v>
      </c>
      <c r="L1689" s="4" t="n">
        <f aca="false">J1689-K1689</f>
        <v>1009.8</v>
      </c>
    </row>
    <row r="1690" customFormat="false" ht="15" hidden="false" customHeight="false" outlineLevel="0" collapsed="false">
      <c r="A1690" s="0" t="n">
        <v>2301</v>
      </c>
      <c r="B1690" s="2" t="n">
        <v>45980</v>
      </c>
      <c r="C1690" s="3" t="s">
        <v>23</v>
      </c>
      <c r="D1690" s="3" t="s">
        <v>20</v>
      </c>
      <c r="E1690" s="3" t="s">
        <v>38</v>
      </c>
      <c r="F1690" s="3" t="s">
        <v>36</v>
      </c>
      <c r="G1690" s="0" t="n">
        <v>6</v>
      </c>
      <c r="H1690" s="4" t="n">
        <v>120.43</v>
      </c>
      <c r="I1690" s="4" t="n">
        <v>74.26</v>
      </c>
      <c r="J1690" s="4" t="n">
        <f aca="false">G1690*H1690</f>
        <v>722.58</v>
      </c>
      <c r="K1690" s="4" t="n">
        <f aca="false">G1690*I1690</f>
        <v>445.56</v>
      </c>
      <c r="L1690" s="4" t="n">
        <f aca="false">J1690-K1690</f>
        <v>277.02</v>
      </c>
    </row>
    <row r="1691" customFormat="false" ht="15" hidden="false" customHeight="false" outlineLevel="0" collapsed="false">
      <c r="A1691" s="0" t="n">
        <v>1228</v>
      </c>
      <c r="B1691" s="2" t="n">
        <v>45981</v>
      </c>
      <c r="C1691" s="3" t="s">
        <v>23</v>
      </c>
      <c r="D1691" s="3" t="s">
        <v>13</v>
      </c>
      <c r="E1691" s="3" t="s">
        <v>31</v>
      </c>
      <c r="F1691" s="3" t="s">
        <v>39</v>
      </c>
      <c r="G1691" s="0" t="n">
        <v>17</v>
      </c>
      <c r="H1691" s="4" t="n">
        <v>43.77</v>
      </c>
      <c r="I1691" s="4" t="n">
        <v>32.73</v>
      </c>
      <c r="J1691" s="4" t="n">
        <f aca="false">G1691*H1691</f>
        <v>744.09</v>
      </c>
      <c r="K1691" s="4" t="n">
        <f aca="false">G1691*I1691</f>
        <v>556.41</v>
      </c>
      <c r="L1691" s="4" t="n">
        <f aca="false">J1691-K1691</f>
        <v>187.68</v>
      </c>
    </row>
    <row r="1692" customFormat="false" ht="15" hidden="false" customHeight="false" outlineLevel="0" collapsed="false">
      <c r="A1692" s="0" t="n">
        <v>1271</v>
      </c>
      <c r="B1692" s="2" t="n">
        <v>45981</v>
      </c>
      <c r="C1692" s="3" t="s">
        <v>26</v>
      </c>
      <c r="D1692" s="3" t="s">
        <v>13</v>
      </c>
      <c r="E1692" s="3" t="s">
        <v>24</v>
      </c>
      <c r="F1692" s="3" t="s">
        <v>22</v>
      </c>
      <c r="G1692" s="0" t="n">
        <v>26</v>
      </c>
      <c r="H1692" s="4" t="n">
        <v>29.51</v>
      </c>
      <c r="I1692" s="4" t="n">
        <v>17.17</v>
      </c>
      <c r="J1692" s="4" t="n">
        <f aca="false">G1692*H1692</f>
        <v>767.26</v>
      </c>
      <c r="K1692" s="4" t="n">
        <f aca="false">G1692*I1692</f>
        <v>446.42</v>
      </c>
      <c r="L1692" s="4" t="n">
        <f aca="false">J1692-K1692</f>
        <v>320.84</v>
      </c>
    </row>
    <row r="1693" customFormat="false" ht="15" hidden="false" customHeight="false" outlineLevel="0" collapsed="false">
      <c r="A1693" s="0" t="n">
        <v>2343</v>
      </c>
      <c r="B1693" s="2" t="n">
        <v>45981</v>
      </c>
      <c r="C1693" s="3" t="s">
        <v>23</v>
      </c>
      <c r="D1693" s="3" t="s">
        <v>20</v>
      </c>
      <c r="E1693" s="3" t="s">
        <v>38</v>
      </c>
      <c r="F1693" s="3" t="s">
        <v>33</v>
      </c>
      <c r="G1693" s="0" t="n">
        <v>2</v>
      </c>
      <c r="H1693" s="4" t="n">
        <v>189.84</v>
      </c>
      <c r="I1693" s="4" t="n">
        <v>112.62</v>
      </c>
      <c r="J1693" s="4" t="n">
        <f aca="false">G1693*H1693</f>
        <v>379.68</v>
      </c>
      <c r="K1693" s="4" t="n">
        <f aca="false">G1693*I1693</f>
        <v>225.24</v>
      </c>
      <c r="L1693" s="4" t="n">
        <f aca="false">J1693-K1693</f>
        <v>154.44</v>
      </c>
    </row>
    <row r="1694" customFormat="false" ht="15" hidden="false" customHeight="false" outlineLevel="0" collapsed="false">
      <c r="A1694" s="0" t="n">
        <v>2085</v>
      </c>
      <c r="B1694" s="2" t="n">
        <v>45982</v>
      </c>
      <c r="C1694" s="3" t="s">
        <v>23</v>
      </c>
      <c r="D1694" s="3" t="s">
        <v>20</v>
      </c>
      <c r="E1694" s="3" t="s">
        <v>42</v>
      </c>
      <c r="F1694" s="3" t="s">
        <v>33</v>
      </c>
      <c r="G1694" s="0" t="n">
        <v>32</v>
      </c>
      <c r="H1694" s="4" t="n">
        <v>267.96</v>
      </c>
      <c r="I1694" s="4" t="n">
        <v>145.91</v>
      </c>
      <c r="J1694" s="4" t="n">
        <f aca="false">G1694*H1694</f>
        <v>8574.72</v>
      </c>
      <c r="K1694" s="4" t="n">
        <f aca="false">G1694*I1694</f>
        <v>4669.12</v>
      </c>
      <c r="L1694" s="4" t="n">
        <f aca="false">J1694-K1694</f>
        <v>3905.6</v>
      </c>
    </row>
    <row r="1695" customFormat="false" ht="15" hidden="false" customHeight="false" outlineLevel="0" collapsed="false">
      <c r="A1695" s="0" t="n">
        <v>1536</v>
      </c>
      <c r="B1695" s="2" t="n">
        <v>45983</v>
      </c>
      <c r="C1695" s="3" t="s">
        <v>12</v>
      </c>
      <c r="D1695" s="3" t="s">
        <v>13</v>
      </c>
      <c r="E1695" s="3" t="s">
        <v>46</v>
      </c>
      <c r="F1695" s="3" t="s">
        <v>33</v>
      </c>
      <c r="G1695" s="0" t="n">
        <v>12</v>
      </c>
      <c r="H1695" s="4" t="n">
        <v>3.6</v>
      </c>
      <c r="I1695" s="4" t="n">
        <v>2.17</v>
      </c>
      <c r="J1695" s="4" t="n">
        <f aca="false">G1695*H1695</f>
        <v>43.2</v>
      </c>
      <c r="K1695" s="4" t="n">
        <f aca="false">G1695*I1695</f>
        <v>26.04</v>
      </c>
      <c r="L1695" s="4" t="n">
        <f aca="false">J1695-K1695</f>
        <v>17.16</v>
      </c>
    </row>
    <row r="1696" customFormat="false" ht="15" hidden="false" customHeight="false" outlineLevel="0" collapsed="false">
      <c r="A1696" s="0" t="n">
        <v>1620</v>
      </c>
      <c r="B1696" s="2" t="n">
        <v>45983</v>
      </c>
      <c r="C1696" s="3" t="s">
        <v>12</v>
      </c>
      <c r="D1696" s="3" t="s">
        <v>29</v>
      </c>
      <c r="E1696" s="3" t="s">
        <v>41</v>
      </c>
      <c r="F1696" s="3" t="s">
        <v>33</v>
      </c>
      <c r="G1696" s="0" t="n">
        <v>11</v>
      </c>
      <c r="H1696" s="4" t="n">
        <v>263.12</v>
      </c>
      <c r="I1696" s="4" t="n">
        <v>187.3</v>
      </c>
      <c r="J1696" s="4" t="n">
        <f aca="false">G1696*H1696</f>
        <v>2894.32</v>
      </c>
      <c r="K1696" s="4" t="n">
        <f aca="false">G1696*I1696</f>
        <v>2060.3</v>
      </c>
      <c r="L1696" s="4" t="n">
        <f aca="false">J1696-K1696</f>
        <v>834.02</v>
      </c>
    </row>
    <row r="1697" customFormat="false" ht="15" hidden="false" customHeight="false" outlineLevel="0" collapsed="false">
      <c r="A1697" s="0" t="n">
        <v>1341</v>
      </c>
      <c r="B1697" s="2" t="n">
        <v>45985</v>
      </c>
      <c r="C1697" s="3" t="s">
        <v>32</v>
      </c>
      <c r="D1697" s="3" t="s">
        <v>20</v>
      </c>
      <c r="E1697" s="3" t="s">
        <v>42</v>
      </c>
      <c r="F1697" s="3" t="s">
        <v>25</v>
      </c>
      <c r="G1697" s="0" t="n">
        <v>3</v>
      </c>
      <c r="H1697" s="4" t="n">
        <v>112.03</v>
      </c>
      <c r="I1697" s="4" t="n">
        <v>81.07</v>
      </c>
      <c r="J1697" s="4" t="n">
        <f aca="false">G1697*H1697</f>
        <v>336.09</v>
      </c>
      <c r="K1697" s="4" t="n">
        <f aca="false">G1697*I1697</f>
        <v>243.21</v>
      </c>
      <c r="L1697" s="4" t="n">
        <f aca="false">J1697-K1697</f>
        <v>92.8800000000001</v>
      </c>
    </row>
    <row r="1698" customFormat="false" ht="15" hidden="false" customHeight="false" outlineLevel="0" collapsed="false">
      <c r="A1698" s="0" t="n">
        <v>1764</v>
      </c>
      <c r="B1698" s="2" t="n">
        <v>45985</v>
      </c>
      <c r="C1698" s="3" t="s">
        <v>32</v>
      </c>
      <c r="D1698" s="3" t="s">
        <v>13</v>
      </c>
      <c r="E1698" s="3" t="s">
        <v>14</v>
      </c>
      <c r="F1698" s="3" t="s">
        <v>33</v>
      </c>
      <c r="G1698" s="0" t="n">
        <v>12</v>
      </c>
      <c r="H1698" s="4" t="n">
        <v>4.96</v>
      </c>
      <c r="I1698" s="4" t="n">
        <v>3.34</v>
      </c>
      <c r="J1698" s="4" t="n">
        <f aca="false">G1698*H1698</f>
        <v>59.52</v>
      </c>
      <c r="K1698" s="4" t="n">
        <f aca="false">G1698*I1698</f>
        <v>40.08</v>
      </c>
      <c r="L1698" s="4" t="n">
        <f aca="false">J1698-K1698</f>
        <v>19.44</v>
      </c>
    </row>
    <row r="1699" customFormat="false" ht="15" hidden="false" customHeight="false" outlineLevel="0" collapsed="false">
      <c r="A1699" s="0" t="n">
        <v>1396</v>
      </c>
      <c r="B1699" s="2" t="n">
        <v>45986</v>
      </c>
      <c r="C1699" s="3" t="s">
        <v>23</v>
      </c>
      <c r="D1699" s="3" t="s">
        <v>20</v>
      </c>
      <c r="E1699" s="3" t="s">
        <v>38</v>
      </c>
      <c r="F1699" s="3" t="s">
        <v>22</v>
      </c>
      <c r="G1699" s="0" t="n">
        <v>34</v>
      </c>
      <c r="H1699" s="4" t="n">
        <v>235.23</v>
      </c>
      <c r="I1699" s="4" t="n">
        <v>138.23</v>
      </c>
      <c r="J1699" s="4" t="n">
        <f aca="false">G1699*H1699</f>
        <v>7997.82</v>
      </c>
      <c r="K1699" s="4" t="n">
        <f aca="false">G1699*I1699</f>
        <v>4699.82</v>
      </c>
      <c r="L1699" s="4" t="n">
        <f aca="false">J1699-K1699</f>
        <v>3298</v>
      </c>
    </row>
    <row r="1700" customFormat="false" ht="15" hidden="false" customHeight="false" outlineLevel="0" collapsed="false">
      <c r="A1700" s="0" t="n">
        <v>1474</v>
      </c>
      <c r="B1700" s="2" t="n">
        <v>45986</v>
      </c>
      <c r="C1700" s="3" t="s">
        <v>16</v>
      </c>
      <c r="D1700" s="3" t="s">
        <v>13</v>
      </c>
      <c r="E1700" s="3" t="s">
        <v>14</v>
      </c>
      <c r="F1700" s="3" t="s">
        <v>39</v>
      </c>
      <c r="G1700" s="0" t="n">
        <v>37</v>
      </c>
      <c r="H1700" s="4" t="n">
        <v>58.32</v>
      </c>
      <c r="I1700" s="4" t="n">
        <v>37.07</v>
      </c>
      <c r="J1700" s="4" t="n">
        <f aca="false">G1700*H1700</f>
        <v>2157.84</v>
      </c>
      <c r="K1700" s="4" t="n">
        <f aca="false">G1700*I1700</f>
        <v>1371.59</v>
      </c>
      <c r="L1700" s="4" t="n">
        <f aca="false">J1700-K1700</f>
        <v>786.25</v>
      </c>
    </row>
    <row r="1701" customFormat="false" ht="15" hidden="false" customHeight="false" outlineLevel="0" collapsed="false">
      <c r="A1701" s="0" t="n">
        <v>1501</v>
      </c>
      <c r="B1701" s="2" t="n">
        <v>45986</v>
      </c>
      <c r="C1701" s="3" t="s">
        <v>32</v>
      </c>
      <c r="D1701" s="3" t="s">
        <v>17</v>
      </c>
      <c r="E1701" s="3" t="s">
        <v>44</v>
      </c>
      <c r="F1701" s="3" t="s">
        <v>33</v>
      </c>
      <c r="G1701" s="0" t="n">
        <v>23</v>
      </c>
      <c r="H1701" s="4" t="n">
        <v>115.62</v>
      </c>
      <c r="I1701" s="4" t="n">
        <v>68.66</v>
      </c>
      <c r="J1701" s="4" t="n">
        <f aca="false">G1701*H1701</f>
        <v>2659.26</v>
      </c>
      <c r="K1701" s="4" t="n">
        <f aca="false">G1701*I1701</f>
        <v>1579.18</v>
      </c>
      <c r="L1701" s="4" t="n">
        <f aca="false">J1701-K1701</f>
        <v>1080.08</v>
      </c>
    </row>
    <row r="1702" customFormat="false" ht="15" hidden="false" customHeight="false" outlineLevel="0" collapsed="false">
      <c r="A1702" s="0" t="n">
        <v>2001</v>
      </c>
      <c r="B1702" s="2" t="n">
        <v>45986</v>
      </c>
      <c r="C1702" s="3" t="s">
        <v>32</v>
      </c>
      <c r="D1702" s="3" t="s">
        <v>20</v>
      </c>
      <c r="E1702" s="3" t="s">
        <v>21</v>
      </c>
      <c r="F1702" s="3" t="s">
        <v>15</v>
      </c>
      <c r="G1702" s="0" t="n">
        <v>11</v>
      </c>
      <c r="H1702" s="4" t="n">
        <v>86.7</v>
      </c>
      <c r="I1702" s="4" t="n">
        <v>63.02</v>
      </c>
      <c r="J1702" s="4" t="n">
        <f aca="false">G1702*H1702</f>
        <v>953.7</v>
      </c>
      <c r="K1702" s="4" t="n">
        <f aca="false">G1702*I1702</f>
        <v>693.22</v>
      </c>
      <c r="L1702" s="4" t="n">
        <f aca="false">J1702-K1702</f>
        <v>260.48</v>
      </c>
    </row>
    <row r="1703" customFormat="false" ht="15" hidden="false" customHeight="false" outlineLevel="0" collapsed="false">
      <c r="A1703" s="0" t="n">
        <v>2625</v>
      </c>
      <c r="B1703" s="2" t="n">
        <v>45986</v>
      </c>
      <c r="C1703" s="3" t="s">
        <v>12</v>
      </c>
      <c r="D1703" s="3" t="s">
        <v>20</v>
      </c>
      <c r="E1703" s="3" t="s">
        <v>34</v>
      </c>
      <c r="F1703" s="3" t="s">
        <v>22</v>
      </c>
      <c r="G1703" s="0" t="n">
        <v>13</v>
      </c>
      <c r="H1703" s="4" t="n">
        <v>67.52</v>
      </c>
      <c r="I1703" s="4" t="n">
        <v>34.99</v>
      </c>
      <c r="J1703" s="4" t="n">
        <f aca="false">G1703*H1703</f>
        <v>877.76</v>
      </c>
      <c r="K1703" s="4" t="n">
        <f aca="false">G1703*I1703</f>
        <v>454.87</v>
      </c>
      <c r="L1703" s="4" t="n">
        <f aca="false">J1703-K1703</f>
        <v>422.89</v>
      </c>
    </row>
    <row r="1704" customFormat="false" ht="15" hidden="false" customHeight="false" outlineLevel="0" collapsed="false">
      <c r="A1704" s="0" t="n">
        <v>1519</v>
      </c>
      <c r="B1704" s="2" t="n">
        <v>45987</v>
      </c>
      <c r="C1704" s="3" t="s">
        <v>32</v>
      </c>
      <c r="D1704" s="3" t="s">
        <v>20</v>
      </c>
      <c r="E1704" s="3" t="s">
        <v>38</v>
      </c>
      <c r="F1704" s="3" t="s">
        <v>25</v>
      </c>
      <c r="G1704" s="0" t="n">
        <v>38</v>
      </c>
      <c r="H1704" s="4" t="n">
        <v>55.72</v>
      </c>
      <c r="I1704" s="4" t="n">
        <v>31.96</v>
      </c>
      <c r="J1704" s="4" t="n">
        <f aca="false">G1704*H1704</f>
        <v>2117.36</v>
      </c>
      <c r="K1704" s="4" t="n">
        <f aca="false">G1704*I1704</f>
        <v>1214.48</v>
      </c>
      <c r="L1704" s="4" t="n">
        <f aca="false">J1704-K1704</f>
        <v>902.88</v>
      </c>
    </row>
    <row r="1705" customFormat="false" ht="15" hidden="false" customHeight="false" outlineLevel="0" collapsed="false">
      <c r="A1705" s="0" t="n">
        <v>1607</v>
      </c>
      <c r="B1705" s="2" t="n">
        <v>45987</v>
      </c>
      <c r="C1705" s="3" t="s">
        <v>32</v>
      </c>
      <c r="D1705" s="3" t="s">
        <v>13</v>
      </c>
      <c r="E1705" s="3" t="s">
        <v>45</v>
      </c>
      <c r="F1705" s="3" t="s">
        <v>28</v>
      </c>
      <c r="G1705" s="0" t="n">
        <v>7</v>
      </c>
      <c r="H1705" s="4" t="n">
        <v>32.79</v>
      </c>
      <c r="I1705" s="4" t="n">
        <v>19.63</v>
      </c>
      <c r="J1705" s="4" t="n">
        <f aca="false">G1705*H1705</f>
        <v>229.53</v>
      </c>
      <c r="K1705" s="4" t="n">
        <f aca="false">G1705*I1705</f>
        <v>137.41</v>
      </c>
      <c r="L1705" s="4" t="n">
        <f aca="false">J1705-K1705</f>
        <v>92.12</v>
      </c>
    </row>
    <row r="1706" customFormat="false" ht="15" hidden="false" customHeight="false" outlineLevel="0" collapsed="false">
      <c r="A1706" s="0" t="n">
        <v>1326</v>
      </c>
      <c r="B1706" s="2" t="n">
        <v>45988</v>
      </c>
      <c r="C1706" s="3" t="s">
        <v>32</v>
      </c>
      <c r="D1706" s="3" t="s">
        <v>17</v>
      </c>
      <c r="E1706" s="3" t="s">
        <v>44</v>
      </c>
      <c r="F1706" s="3" t="s">
        <v>33</v>
      </c>
      <c r="G1706" s="0" t="n">
        <v>15</v>
      </c>
      <c r="H1706" s="4" t="n">
        <v>685.14</v>
      </c>
      <c r="I1706" s="4" t="n">
        <v>387.2</v>
      </c>
      <c r="J1706" s="4" t="n">
        <f aca="false">G1706*H1706</f>
        <v>10277.1</v>
      </c>
      <c r="K1706" s="4" t="n">
        <f aca="false">G1706*I1706</f>
        <v>5808</v>
      </c>
      <c r="L1706" s="4" t="n">
        <f aca="false">J1706-K1706</f>
        <v>4469.1</v>
      </c>
    </row>
    <row r="1707" customFormat="false" ht="15" hidden="false" customHeight="false" outlineLevel="0" collapsed="false">
      <c r="A1707" s="0" t="n">
        <v>1400</v>
      </c>
      <c r="B1707" s="2" t="n">
        <v>45988</v>
      </c>
      <c r="C1707" s="3" t="s">
        <v>23</v>
      </c>
      <c r="D1707" s="3" t="s">
        <v>13</v>
      </c>
      <c r="E1707" s="3" t="s">
        <v>14</v>
      </c>
      <c r="F1707" s="3" t="s">
        <v>28</v>
      </c>
      <c r="G1707" s="0" t="n">
        <v>12</v>
      </c>
      <c r="H1707" s="4" t="n">
        <v>34.63</v>
      </c>
      <c r="I1707" s="4" t="n">
        <v>20.3</v>
      </c>
      <c r="J1707" s="4" t="n">
        <f aca="false">G1707*H1707</f>
        <v>415.56</v>
      </c>
      <c r="K1707" s="4" t="n">
        <f aca="false">G1707*I1707</f>
        <v>243.6</v>
      </c>
      <c r="L1707" s="4" t="n">
        <f aca="false">J1707-K1707</f>
        <v>171.96</v>
      </c>
    </row>
    <row r="1708" customFormat="false" ht="15" hidden="false" customHeight="false" outlineLevel="0" collapsed="false">
      <c r="A1708" s="0" t="n">
        <v>1328</v>
      </c>
      <c r="B1708" s="2" t="n">
        <v>45989</v>
      </c>
      <c r="C1708" s="3" t="s">
        <v>23</v>
      </c>
      <c r="D1708" s="3" t="s">
        <v>29</v>
      </c>
      <c r="E1708" s="3" t="s">
        <v>41</v>
      </c>
      <c r="F1708" s="3" t="s">
        <v>22</v>
      </c>
      <c r="G1708" s="0" t="n">
        <v>10</v>
      </c>
      <c r="H1708" s="4" t="n">
        <v>251.86</v>
      </c>
      <c r="I1708" s="4" t="n">
        <v>183.02</v>
      </c>
      <c r="J1708" s="4" t="n">
        <f aca="false">G1708*H1708</f>
        <v>2518.6</v>
      </c>
      <c r="K1708" s="4" t="n">
        <f aca="false">G1708*I1708</f>
        <v>1830.2</v>
      </c>
      <c r="L1708" s="4" t="n">
        <f aca="false">J1708-K1708</f>
        <v>688.4</v>
      </c>
    </row>
    <row r="1709" customFormat="false" ht="15" hidden="false" customHeight="false" outlineLevel="0" collapsed="false">
      <c r="A1709" s="0" t="n">
        <v>1440</v>
      </c>
      <c r="B1709" s="2" t="n">
        <v>45989</v>
      </c>
      <c r="C1709" s="3" t="s">
        <v>32</v>
      </c>
      <c r="D1709" s="3" t="s">
        <v>29</v>
      </c>
      <c r="E1709" s="3" t="s">
        <v>37</v>
      </c>
      <c r="F1709" s="3" t="s">
        <v>22</v>
      </c>
      <c r="G1709" s="0" t="n">
        <v>36</v>
      </c>
      <c r="H1709" s="4" t="n">
        <v>348.18</v>
      </c>
      <c r="I1709" s="4" t="n">
        <v>251.34</v>
      </c>
      <c r="J1709" s="4" t="n">
        <f aca="false">G1709*H1709</f>
        <v>12534.48</v>
      </c>
      <c r="K1709" s="4" t="n">
        <f aca="false">G1709*I1709</f>
        <v>9048.24</v>
      </c>
      <c r="L1709" s="4" t="n">
        <f aca="false">J1709-K1709</f>
        <v>3486.24</v>
      </c>
    </row>
    <row r="1710" customFormat="false" ht="15" hidden="false" customHeight="false" outlineLevel="0" collapsed="false">
      <c r="A1710" s="0" t="n">
        <v>1889</v>
      </c>
      <c r="B1710" s="2" t="n">
        <v>45989</v>
      </c>
      <c r="C1710" s="3" t="s">
        <v>12</v>
      </c>
      <c r="D1710" s="3" t="s">
        <v>13</v>
      </c>
      <c r="E1710" s="3" t="s">
        <v>46</v>
      </c>
      <c r="F1710" s="3" t="s">
        <v>33</v>
      </c>
      <c r="G1710" s="0" t="n">
        <v>29</v>
      </c>
      <c r="H1710" s="4" t="n">
        <v>22.32</v>
      </c>
      <c r="I1710" s="4" t="n">
        <v>13.56</v>
      </c>
      <c r="J1710" s="4" t="n">
        <f aca="false">G1710*H1710</f>
        <v>647.28</v>
      </c>
      <c r="K1710" s="4" t="n">
        <f aca="false">G1710*I1710</f>
        <v>393.24</v>
      </c>
      <c r="L1710" s="4" t="n">
        <f aca="false">J1710-K1710</f>
        <v>254.04</v>
      </c>
    </row>
    <row r="1711" customFormat="false" ht="15" hidden="false" customHeight="false" outlineLevel="0" collapsed="false">
      <c r="A1711" s="0" t="n">
        <v>2731</v>
      </c>
      <c r="B1711" s="2" t="n">
        <v>45990</v>
      </c>
      <c r="C1711" s="3" t="s">
        <v>12</v>
      </c>
      <c r="D1711" s="3" t="s">
        <v>13</v>
      </c>
      <c r="E1711" s="3" t="s">
        <v>45</v>
      </c>
      <c r="F1711" s="3" t="s">
        <v>15</v>
      </c>
      <c r="G1711" s="0" t="n">
        <v>12</v>
      </c>
      <c r="H1711" s="4" t="n">
        <v>40.77</v>
      </c>
      <c r="I1711" s="4" t="n">
        <v>20.65</v>
      </c>
      <c r="J1711" s="4" t="n">
        <f aca="false">G1711*H1711</f>
        <v>489.24</v>
      </c>
      <c r="K1711" s="4" t="n">
        <f aca="false">G1711*I1711</f>
        <v>247.8</v>
      </c>
      <c r="L1711" s="4" t="n">
        <f aca="false">J1711-K1711</f>
        <v>241.44</v>
      </c>
    </row>
    <row r="1712" customFormat="false" ht="15" hidden="false" customHeight="false" outlineLevel="0" collapsed="false">
      <c r="A1712" s="0" t="n">
        <v>1089</v>
      </c>
      <c r="B1712" s="2" t="n">
        <v>45991</v>
      </c>
      <c r="C1712" s="3" t="s">
        <v>12</v>
      </c>
      <c r="D1712" s="3" t="s">
        <v>20</v>
      </c>
      <c r="E1712" s="3" t="s">
        <v>34</v>
      </c>
      <c r="F1712" s="3" t="s">
        <v>39</v>
      </c>
      <c r="G1712" s="0" t="n">
        <v>30</v>
      </c>
      <c r="H1712" s="4" t="n">
        <v>271.69</v>
      </c>
      <c r="I1712" s="4" t="n">
        <v>167.45</v>
      </c>
      <c r="J1712" s="4" t="n">
        <f aca="false">G1712*H1712</f>
        <v>8150.7</v>
      </c>
      <c r="K1712" s="4" t="n">
        <f aca="false">G1712*I1712</f>
        <v>5023.5</v>
      </c>
      <c r="L1712" s="4" t="n">
        <f aca="false">J1712-K1712</f>
        <v>3127.2</v>
      </c>
    </row>
    <row r="1713" customFormat="false" ht="15" hidden="false" customHeight="false" outlineLevel="0" collapsed="false">
      <c r="A1713" s="0" t="n">
        <v>1262</v>
      </c>
      <c r="B1713" s="2" t="n">
        <v>45991</v>
      </c>
      <c r="C1713" s="3" t="s">
        <v>12</v>
      </c>
      <c r="D1713" s="3" t="s">
        <v>20</v>
      </c>
      <c r="E1713" s="3" t="s">
        <v>42</v>
      </c>
      <c r="F1713" s="3" t="s">
        <v>22</v>
      </c>
      <c r="G1713" s="0" t="n">
        <v>38</v>
      </c>
      <c r="H1713" s="4" t="n">
        <v>36.93</v>
      </c>
      <c r="I1713" s="4" t="n">
        <v>25.75</v>
      </c>
      <c r="J1713" s="4" t="n">
        <f aca="false">G1713*H1713</f>
        <v>1403.34</v>
      </c>
      <c r="K1713" s="4" t="n">
        <f aca="false">G1713*I1713</f>
        <v>978.5</v>
      </c>
      <c r="L1713" s="4" t="n">
        <f aca="false">J1713-K1713</f>
        <v>424.84</v>
      </c>
    </row>
    <row r="1714" customFormat="false" ht="15" hidden="false" customHeight="false" outlineLevel="0" collapsed="false">
      <c r="A1714" s="0" t="n">
        <v>2188</v>
      </c>
      <c r="B1714" s="2" t="n">
        <v>45991</v>
      </c>
      <c r="C1714" s="3" t="s">
        <v>32</v>
      </c>
      <c r="D1714" s="3" t="s">
        <v>29</v>
      </c>
      <c r="E1714" s="3" t="s">
        <v>37</v>
      </c>
      <c r="F1714" s="3" t="s">
        <v>15</v>
      </c>
      <c r="G1714" s="0" t="n">
        <v>29</v>
      </c>
      <c r="H1714" s="4" t="n">
        <v>373.62</v>
      </c>
      <c r="I1714" s="4" t="n">
        <v>258.6</v>
      </c>
      <c r="J1714" s="4" t="n">
        <f aca="false">G1714*H1714</f>
        <v>10834.98</v>
      </c>
      <c r="K1714" s="4" t="n">
        <f aca="false">G1714*I1714</f>
        <v>7499.4</v>
      </c>
      <c r="L1714" s="4" t="n">
        <f aca="false">J1714-K1714</f>
        <v>3335.58</v>
      </c>
    </row>
    <row r="1715" customFormat="false" ht="15" hidden="false" customHeight="false" outlineLevel="0" collapsed="false">
      <c r="A1715" s="0" t="n">
        <v>2209</v>
      </c>
      <c r="B1715" s="2" t="n">
        <v>45991</v>
      </c>
      <c r="C1715" s="3" t="s">
        <v>12</v>
      </c>
      <c r="D1715" s="3" t="s">
        <v>29</v>
      </c>
      <c r="E1715" s="3" t="s">
        <v>37</v>
      </c>
      <c r="F1715" s="3" t="s">
        <v>28</v>
      </c>
      <c r="G1715" s="0" t="n">
        <v>12</v>
      </c>
      <c r="H1715" s="4" t="n">
        <v>266.94</v>
      </c>
      <c r="I1715" s="4" t="n">
        <v>195.89</v>
      </c>
      <c r="J1715" s="4" t="n">
        <f aca="false">G1715*H1715</f>
        <v>3203.28</v>
      </c>
      <c r="K1715" s="4" t="n">
        <f aca="false">G1715*I1715</f>
        <v>2350.68</v>
      </c>
      <c r="L1715" s="4" t="n">
        <f aca="false">J1715-K1715</f>
        <v>852.6</v>
      </c>
    </row>
    <row r="1716" customFormat="false" ht="15" hidden="false" customHeight="false" outlineLevel="0" collapsed="false">
      <c r="A1716" s="0" t="n">
        <v>2259</v>
      </c>
      <c r="B1716" s="2" t="n">
        <v>45991</v>
      </c>
      <c r="C1716" s="3" t="s">
        <v>32</v>
      </c>
      <c r="D1716" s="3" t="s">
        <v>29</v>
      </c>
      <c r="E1716" s="3" t="s">
        <v>37</v>
      </c>
      <c r="F1716" s="3" t="s">
        <v>25</v>
      </c>
      <c r="G1716" s="0" t="n">
        <v>4</v>
      </c>
      <c r="H1716" s="4" t="n">
        <v>387.82</v>
      </c>
      <c r="I1716" s="4" t="n">
        <v>273.19</v>
      </c>
      <c r="J1716" s="4" t="n">
        <f aca="false">G1716*H1716</f>
        <v>1551.28</v>
      </c>
      <c r="K1716" s="4" t="n">
        <f aca="false">G1716*I1716</f>
        <v>1092.76</v>
      </c>
      <c r="L1716" s="4" t="n">
        <f aca="false">J1716-K1716</f>
        <v>458.52</v>
      </c>
    </row>
    <row r="1717" customFormat="false" ht="15" hidden="false" customHeight="false" outlineLevel="0" collapsed="false">
      <c r="A1717" s="0" t="n">
        <v>1663</v>
      </c>
      <c r="B1717" s="2" t="n">
        <v>45992</v>
      </c>
      <c r="C1717" s="3" t="s">
        <v>32</v>
      </c>
      <c r="D1717" s="3" t="s">
        <v>13</v>
      </c>
      <c r="E1717" s="3" t="s">
        <v>46</v>
      </c>
      <c r="F1717" s="3" t="s">
        <v>36</v>
      </c>
      <c r="G1717" s="0" t="n">
        <v>19</v>
      </c>
      <c r="H1717" s="4" t="n">
        <v>34.41</v>
      </c>
      <c r="I1717" s="4" t="n">
        <v>21.6</v>
      </c>
      <c r="J1717" s="4" t="n">
        <f aca="false">G1717*H1717</f>
        <v>653.79</v>
      </c>
      <c r="K1717" s="4" t="n">
        <f aca="false">G1717*I1717</f>
        <v>410.4</v>
      </c>
      <c r="L1717" s="4" t="n">
        <f aca="false">J1717-K1717</f>
        <v>243.39</v>
      </c>
    </row>
    <row r="1718" customFormat="false" ht="15" hidden="false" customHeight="false" outlineLevel="0" collapsed="false">
      <c r="A1718" s="0" t="n">
        <v>1990</v>
      </c>
      <c r="B1718" s="2" t="n">
        <v>45992</v>
      </c>
      <c r="C1718" s="3" t="s">
        <v>26</v>
      </c>
      <c r="D1718" s="3" t="s">
        <v>20</v>
      </c>
      <c r="E1718" s="3" t="s">
        <v>42</v>
      </c>
      <c r="F1718" s="3" t="s">
        <v>36</v>
      </c>
      <c r="G1718" s="0" t="n">
        <v>25</v>
      </c>
      <c r="H1718" s="4" t="n">
        <v>58.58</v>
      </c>
      <c r="I1718" s="4" t="n">
        <v>35.7</v>
      </c>
      <c r="J1718" s="4" t="n">
        <f aca="false">G1718*H1718</f>
        <v>1464.5</v>
      </c>
      <c r="K1718" s="4" t="n">
        <f aca="false">G1718*I1718</f>
        <v>892.5</v>
      </c>
      <c r="L1718" s="4" t="n">
        <f aca="false">J1718-K1718</f>
        <v>572</v>
      </c>
    </row>
    <row r="1719" customFormat="false" ht="15" hidden="false" customHeight="false" outlineLevel="0" collapsed="false">
      <c r="A1719" s="0" t="n">
        <v>2217</v>
      </c>
      <c r="B1719" s="2" t="n">
        <v>45992</v>
      </c>
      <c r="C1719" s="3" t="s">
        <v>23</v>
      </c>
      <c r="D1719" s="3" t="s">
        <v>13</v>
      </c>
      <c r="E1719" s="3" t="s">
        <v>46</v>
      </c>
      <c r="F1719" s="3" t="s">
        <v>33</v>
      </c>
      <c r="G1719" s="0" t="n">
        <v>3</v>
      </c>
      <c r="H1719" s="4" t="n">
        <v>8.62</v>
      </c>
      <c r="I1719" s="4" t="n">
        <v>5.85</v>
      </c>
      <c r="J1719" s="4" t="n">
        <f aca="false">G1719*H1719</f>
        <v>25.86</v>
      </c>
      <c r="K1719" s="4" t="n">
        <f aca="false">G1719*I1719</f>
        <v>17.55</v>
      </c>
      <c r="L1719" s="4" t="n">
        <f aca="false">J1719-K1719</f>
        <v>8.31</v>
      </c>
    </row>
    <row r="1720" customFormat="false" ht="15" hidden="false" customHeight="false" outlineLevel="0" collapsed="false">
      <c r="A1720" s="0" t="n">
        <v>1208</v>
      </c>
      <c r="B1720" s="2" t="n">
        <v>45993</v>
      </c>
      <c r="C1720" s="3" t="s">
        <v>32</v>
      </c>
      <c r="D1720" s="3" t="s">
        <v>29</v>
      </c>
      <c r="E1720" s="3" t="s">
        <v>41</v>
      </c>
      <c r="F1720" s="3" t="s">
        <v>28</v>
      </c>
      <c r="G1720" s="0" t="n">
        <v>30</v>
      </c>
      <c r="H1720" s="4" t="n">
        <v>151.09</v>
      </c>
      <c r="I1720" s="4" t="n">
        <v>93.99</v>
      </c>
      <c r="J1720" s="4" t="n">
        <f aca="false">G1720*H1720</f>
        <v>4532.7</v>
      </c>
      <c r="K1720" s="4" t="n">
        <f aca="false">G1720*I1720</f>
        <v>2819.7</v>
      </c>
      <c r="L1720" s="4" t="n">
        <f aca="false">J1720-K1720</f>
        <v>1713</v>
      </c>
    </row>
    <row r="1721" customFormat="false" ht="15" hidden="false" customHeight="false" outlineLevel="0" collapsed="false">
      <c r="A1721" s="0" t="n">
        <v>1615</v>
      </c>
      <c r="B1721" s="2" t="n">
        <v>45993</v>
      </c>
      <c r="C1721" s="3" t="s">
        <v>16</v>
      </c>
      <c r="D1721" s="3" t="s">
        <v>20</v>
      </c>
      <c r="E1721" s="3" t="s">
        <v>21</v>
      </c>
      <c r="F1721" s="3" t="s">
        <v>19</v>
      </c>
      <c r="G1721" s="0" t="n">
        <v>33</v>
      </c>
      <c r="H1721" s="4" t="n">
        <v>125.78</v>
      </c>
      <c r="I1721" s="4" t="n">
        <v>84.16</v>
      </c>
      <c r="J1721" s="4" t="n">
        <f aca="false">G1721*H1721</f>
        <v>4150.74</v>
      </c>
      <c r="K1721" s="4" t="n">
        <f aca="false">G1721*I1721</f>
        <v>2777.28</v>
      </c>
      <c r="L1721" s="4" t="n">
        <f aca="false">J1721-K1721</f>
        <v>1373.46</v>
      </c>
    </row>
    <row r="1722" customFormat="false" ht="15" hidden="false" customHeight="false" outlineLevel="0" collapsed="false">
      <c r="A1722" s="0" t="n">
        <v>1957</v>
      </c>
      <c r="B1722" s="2" t="n">
        <v>45993</v>
      </c>
      <c r="C1722" s="3" t="s">
        <v>12</v>
      </c>
      <c r="D1722" s="3" t="s">
        <v>20</v>
      </c>
      <c r="E1722" s="3" t="s">
        <v>34</v>
      </c>
      <c r="F1722" s="3" t="s">
        <v>15</v>
      </c>
      <c r="G1722" s="0" t="n">
        <v>40</v>
      </c>
      <c r="H1722" s="4" t="n">
        <v>38.09</v>
      </c>
      <c r="I1722" s="4" t="n">
        <v>21.85</v>
      </c>
      <c r="J1722" s="4" t="n">
        <f aca="false">G1722*H1722</f>
        <v>1523.6</v>
      </c>
      <c r="K1722" s="4" t="n">
        <f aca="false">G1722*I1722</f>
        <v>874</v>
      </c>
      <c r="L1722" s="4" t="n">
        <f aca="false">J1722-K1722</f>
        <v>649.6</v>
      </c>
    </row>
    <row r="1723" customFormat="false" ht="15" hidden="false" customHeight="false" outlineLevel="0" collapsed="false">
      <c r="A1723" s="0" t="n">
        <v>1640</v>
      </c>
      <c r="B1723" s="2" t="n">
        <v>45994</v>
      </c>
      <c r="C1723" s="3" t="s">
        <v>23</v>
      </c>
      <c r="D1723" s="3" t="s">
        <v>29</v>
      </c>
      <c r="E1723" s="3" t="s">
        <v>41</v>
      </c>
      <c r="F1723" s="3" t="s">
        <v>28</v>
      </c>
      <c r="G1723" s="0" t="n">
        <v>9</v>
      </c>
      <c r="H1723" s="4" t="n">
        <v>427.24</v>
      </c>
      <c r="I1723" s="4" t="n">
        <v>234.84</v>
      </c>
      <c r="J1723" s="4" t="n">
        <f aca="false">G1723*H1723</f>
        <v>3845.16</v>
      </c>
      <c r="K1723" s="4" t="n">
        <f aca="false">G1723*I1723</f>
        <v>2113.56</v>
      </c>
      <c r="L1723" s="4" t="n">
        <f aca="false">J1723-K1723</f>
        <v>1731.6</v>
      </c>
    </row>
    <row r="1724" customFormat="false" ht="15" hidden="false" customHeight="false" outlineLevel="0" collapsed="false">
      <c r="A1724" s="0" t="n">
        <v>1953</v>
      </c>
      <c r="B1724" s="2" t="n">
        <v>45994</v>
      </c>
      <c r="C1724" s="3" t="s">
        <v>16</v>
      </c>
      <c r="D1724" s="3" t="s">
        <v>17</v>
      </c>
      <c r="E1724" s="3" t="s">
        <v>44</v>
      </c>
      <c r="F1724" s="3" t="s">
        <v>36</v>
      </c>
      <c r="G1724" s="0" t="n">
        <v>15</v>
      </c>
      <c r="H1724" s="4" t="n">
        <v>613.87</v>
      </c>
      <c r="I1724" s="4" t="n">
        <v>420.66</v>
      </c>
      <c r="J1724" s="4" t="n">
        <f aca="false">G1724*H1724</f>
        <v>9208.05</v>
      </c>
      <c r="K1724" s="4" t="n">
        <f aca="false">G1724*I1724</f>
        <v>6309.9</v>
      </c>
      <c r="L1724" s="4" t="n">
        <f aca="false">J1724-K1724</f>
        <v>2898.15</v>
      </c>
    </row>
    <row r="1725" customFormat="false" ht="15" hidden="false" customHeight="false" outlineLevel="0" collapsed="false">
      <c r="A1725" s="0" t="n">
        <v>2108</v>
      </c>
      <c r="B1725" s="2" t="n">
        <v>45995</v>
      </c>
      <c r="C1725" s="3" t="s">
        <v>32</v>
      </c>
      <c r="D1725" s="3" t="s">
        <v>20</v>
      </c>
      <c r="E1725" s="3" t="s">
        <v>34</v>
      </c>
      <c r="F1725" s="3" t="s">
        <v>36</v>
      </c>
      <c r="G1725" s="0" t="n">
        <v>32</v>
      </c>
      <c r="H1725" s="4" t="n">
        <v>63.95</v>
      </c>
      <c r="I1725" s="4" t="n">
        <v>45.94</v>
      </c>
      <c r="J1725" s="4" t="n">
        <f aca="false">G1725*H1725</f>
        <v>2046.4</v>
      </c>
      <c r="K1725" s="4" t="n">
        <f aca="false">G1725*I1725</f>
        <v>1470.08</v>
      </c>
      <c r="L1725" s="4" t="n">
        <f aca="false">J1725-K1725</f>
        <v>576.32</v>
      </c>
    </row>
    <row r="1726" customFormat="false" ht="15" hidden="false" customHeight="false" outlineLevel="0" collapsed="false">
      <c r="A1726" s="0" t="n">
        <v>1173</v>
      </c>
      <c r="B1726" s="2" t="n">
        <v>45996</v>
      </c>
      <c r="C1726" s="3" t="s">
        <v>26</v>
      </c>
      <c r="D1726" s="3" t="s">
        <v>20</v>
      </c>
      <c r="E1726" s="3" t="s">
        <v>38</v>
      </c>
      <c r="F1726" s="3" t="s">
        <v>39</v>
      </c>
      <c r="G1726" s="0" t="n">
        <v>4</v>
      </c>
      <c r="H1726" s="4" t="n">
        <v>193.53</v>
      </c>
      <c r="I1726" s="4" t="n">
        <v>137.46</v>
      </c>
      <c r="J1726" s="4" t="n">
        <f aca="false">G1726*H1726</f>
        <v>774.12</v>
      </c>
      <c r="K1726" s="4" t="n">
        <f aca="false">G1726*I1726</f>
        <v>549.84</v>
      </c>
      <c r="L1726" s="4" t="n">
        <f aca="false">J1726-K1726</f>
        <v>224.28</v>
      </c>
    </row>
    <row r="1727" customFormat="false" ht="15" hidden="false" customHeight="false" outlineLevel="0" collapsed="false">
      <c r="A1727" s="0" t="n">
        <v>1934</v>
      </c>
      <c r="B1727" s="2" t="n">
        <v>45996</v>
      </c>
      <c r="C1727" s="3" t="s">
        <v>23</v>
      </c>
      <c r="D1727" s="3" t="s">
        <v>13</v>
      </c>
      <c r="E1727" s="3" t="s">
        <v>24</v>
      </c>
      <c r="F1727" s="3" t="s">
        <v>25</v>
      </c>
      <c r="G1727" s="0" t="n">
        <v>13</v>
      </c>
      <c r="H1727" s="4" t="n">
        <v>49.3</v>
      </c>
      <c r="I1727" s="4" t="n">
        <v>24.71</v>
      </c>
      <c r="J1727" s="4" t="n">
        <f aca="false">G1727*H1727</f>
        <v>640.9</v>
      </c>
      <c r="K1727" s="4" t="n">
        <f aca="false">G1727*I1727</f>
        <v>321.23</v>
      </c>
      <c r="L1727" s="4" t="n">
        <f aca="false">J1727-K1727</f>
        <v>319.67</v>
      </c>
    </row>
    <row r="1728" customFormat="false" ht="15" hidden="false" customHeight="false" outlineLevel="0" collapsed="false">
      <c r="A1728" s="0" t="n">
        <v>1935</v>
      </c>
      <c r="B1728" s="2" t="n">
        <v>45996</v>
      </c>
      <c r="C1728" s="3" t="s">
        <v>26</v>
      </c>
      <c r="D1728" s="3" t="s">
        <v>29</v>
      </c>
      <c r="E1728" s="3" t="s">
        <v>30</v>
      </c>
      <c r="F1728" s="3" t="s">
        <v>25</v>
      </c>
      <c r="G1728" s="0" t="n">
        <v>4</v>
      </c>
      <c r="H1728" s="4" t="n">
        <v>218.32</v>
      </c>
      <c r="I1728" s="4" t="n">
        <v>153.51</v>
      </c>
      <c r="J1728" s="4" t="n">
        <f aca="false">G1728*H1728</f>
        <v>873.28</v>
      </c>
      <c r="K1728" s="4" t="n">
        <f aca="false">G1728*I1728</f>
        <v>614.04</v>
      </c>
      <c r="L1728" s="4" t="n">
        <f aca="false">J1728-K1728</f>
        <v>259.24</v>
      </c>
    </row>
    <row r="1729" customFormat="false" ht="15" hidden="false" customHeight="false" outlineLevel="0" collapsed="false">
      <c r="A1729" s="0" t="n">
        <v>1948</v>
      </c>
      <c r="B1729" s="2" t="n">
        <v>45996</v>
      </c>
      <c r="C1729" s="3" t="s">
        <v>12</v>
      </c>
      <c r="D1729" s="3" t="s">
        <v>13</v>
      </c>
      <c r="E1729" s="3" t="s">
        <v>31</v>
      </c>
      <c r="F1729" s="3" t="s">
        <v>25</v>
      </c>
      <c r="G1729" s="0" t="n">
        <v>11</v>
      </c>
      <c r="H1729" s="4" t="n">
        <v>54.29</v>
      </c>
      <c r="I1729" s="4" t="n">
        <v>33.59</v>
      </c>
      <c r="J1729" s="4" t="n">
        <f aca="false">G1729*H1729</f>
        <v>597.19</v>
      </c>
      <c r="K1729" s="4" t="n">
        <f aca="false">G1729*I1729</f>
        <v>369.49</v>
      </c>
      <c r="L1729" s="4" t="n">
        <f aca="false">J1729-K1729</f>
        <v>227.7</v>
      </c>
    </row>
    <row r="1730" customFormat="false" ht="15" hidden="false" customHeight="false" outlineLevel="0" collapsed="false">
      <c r="A1730" s="0" t="n">
        <v>1968</v>
      </c>
      <c r="B1730" s="2" t="n">
        <v>45996</v>
      </c>
      <c r="C1730" s="3" t="s">
        <v>12</v>
      </c>
      <c r="D1730" s="3" t="s">
        <v>17</v>
      </c>
      <c r="E1730" s="3" t="s">
        <v>27</v>
      </c>
      <c r="F1730" s="3" t="s">
        <v>22</v>
      </c>
      <c r="G1730" s="0" t="n">
        <v>10</v>
      </c>
      <c r="H1730" s="4" t="n">
        <v>567.18</v>
      </c>
      <c r="I1730" s="4" t="n">
        <v>350.76</v>
      </c>
      <c r="J1730" s="4" t="n">
        <f aca="false">G1730*H1730</f>
        <v>5671.8</v>
      </c>
      <c r="K1730" s="4" t="n">
        <f aca="false">G1730*I1730</f>
        <v>3507.6</v>
      </c>
      <c r="L1730" s="4" t="n">
        <f aca="false">J1730-K1730</f>
        <v>2164.2</v>
      </c>
    </row>
    <row r="1731" customFormat="false" ht="15" hidden="false" customHeight="false" outlineLevel="0" collapsed="false">
      <c r="A1731" s="0" t="n">
        <v>2031</v>
      </c>
      <c r="B1731" s="2" t="n">
        <v>45996</v>
      </c>
      <c r="C1731" s="3" t="s">
        <v>32</v>
      </c>
      <c r="D1731" s="3" t="s">
        <v>20</v>
      </c>
      <c r="E1731" s="3" t="s">
        <v>34</v>
      </c>
      <c r="F1731" s="3" t="s">
        <v>33</v>
      </c>
      <c r="G1731" s="0" t="n">
        <v>31</v>
      </c>
      <c r="H1731" s="4" t="n">
        <v>255.39</v>
      </c>
      <c r="I1731" s="4" t="n">
        <v>183.56</v>
      </c>
      <c r="J1731" s="4" t="n">
        <f aca="false">G1731*H1731</f>
        <v>7917.09</v>
      </c>
      <c r="K1731" s="4" t="n">
        <f aca="false">G1731*I1731</f>
        <v>5690.36</v>
      </c>
      <c r="L1731" s="4" t="n">
        <f aca="false">J1731-K1731</f>
        <v>2226.73</v>
      </c>
    </row>
    <row r="1732" customFormat="false" ht="15" hidden="false" customHeight="false" outlineLevel="0" collapsed="false">
      <c r="A1732" s="0" t="n">
        <v>2069</v>
      </c>
      <c r="B1732" s="2" t="n">
        <v>45997</v>
      </c>
      <c r="C1732" s="3" t="s">
        <v>16</v>
      </c>
      <c r="D1732" s="3" t="s">
        <v>20</v>
      </c>
      <c r="E1732" s="3" t="s">
        <v>34</v>
      </c>
      <c r="F1732" s="3" t="s">
        <v>22</v>
      </c>
      <c r="G1732" s="0" t="n">
        <v>20</v>
      </c>
      <c r="H1732" s="4" t="n">
        <v>179.09</v>
      </c>
      <c r="I1732" s="4" t="n">
        <v>120.72</v>
      </c>
      <c r="J1732" s="4" t="n">
        <f aca="false">G1732*H1732</f>
        <v>3581.8</v>
      </c>
      <c r="K1732" s="4" t="n">
        <f aca="false">G1732*I1732</f>
        <v>2414.4</v>
      </c>
      <c r="L1732" s="4" t="n">
        <f aca="false">J1732-K1732</f>
        <v>1167.4</v>
      </c>
    </row>
    <row r="1733" customFormat="false" ht="15" hidden="false" customHeight="false" outlineLevel="0" collapsed="false">
      <c r="A1733" s="0" t="n">
        <v>1459</v>
      </c>
      <c r="B1733" s="2" t="n">
        <v>45998</v>
      </c>
      <c r="C1733" s="3" t="s">
        <v>16</v>
      </c>
      <c r="D1733" s="3" t="s">
        <v>17</v>
      </c>
      <c r="E1733" s="3" t="s">
        <v>35</v>
      </c>
      <c r="F1733" s="3" t="s">
        <v>15</v>
      </c>
      <c r="G1733" s="0" t="n">
        <v>3</v>
      </c>
      <c r="H1733" s="4" t="n">
        <v>673.86</v>
      </c>
      <c r="I1733" s="4" t="n">
        <v>466.8</v>
      </c>
      <c r="J1733" s="4" t="n">
        <f aca="false">G1733*H1733</f>
        <v>2021.58</v>
      </c>
      <c r="K1733" s="4" t="n">
        <f aca="false">G1733*I1733</f>
        <v>1400.4</v>
      </c>
      <c r="L1733" s="4" t="n">
        <f aca="false">J1733-K1733</f>
        <v>621.18</v>
      </c>
    </row>
    <row r="1734" customFormat="false" ht="15" hidden="false" customHeight="false" outlineLevel="0" collapsed="false">
      <c r="A1734" s="0" t="n">
        <v>1498</v>
      </c>
      <c r="B1734" s="2" t="n">
        <v>45998</v>
      </c>
      <c r="C1734" s="3" t="s">
        <v>32</v>
      </c>
      <c r="D1734" s="3" t="s">
        <v>29</v>
      </c>
      <c r="E1734" s="3" t="s">
        <v>30</v>
      </c>
      <c r="F1734" s="3" t="s">
        <v>15</v>
      </c>
      <c r="G1734" s="0" t="n">
        <v>20</v>
      </c>
      <c r="H1734" s="4" t="n">
        <v>82.58</v>
      </c>
      <c r="I1734" s="4" t="n">
        <v>48.34</v>
      </c>
      <c r="J1734" s="4" t="n">
        <f aca="false">G1734*H1734</f>
        <v>1651.6</v>
      </c>
      <c r="K1734" s="4" t="n">
        <f aca="false">G1734*I1734</f>
        <v>966.8</v>
      </c>
      <c r="L1734" s="4" t="n">
        <f aca="false">J1734-K1734</f>
        <v>684.8</v>
      </c>
    </row>
    <row r="1735" customFormat="false" ht="15" hidden="false" customHeight="false" outlineLevel="0" collapsed="false">
      <c r="A1735" s="0" t="n">
        <v>1668</v>
      </c>
      <c r="B1735" s="2" t="n">
        <v>45998</v>
      </c>
      <c r="C1735" s="3" t="s">
        <v>23</v>
      </c>
      <c r="D1735" s="3" t="s">
        <v>29</v>
      </c>
      <c r="E1735" s="3" t="s">
        <v>30</v>
      </c>
      <c r="F1735" s="3" t="s">
        <v>19</v>
      </c>
      <c r="G1735" s="0" t="n">
        <v>9</v>
      </c>
      <c r="H1735" s="4" t="n">
        <v>86.67</v>
      </c>
      <c r="I1735" s="4" t="n">
        <v>61.95</v>
      </c>
      <c r="J1735" s="4" t="n">
        <f aca="false">G1735*H1735</f>
        <v>780.03</v>
      </c>
      <c r="K1735" s="4" t="n">
        <f aca="false">G1735*I1735</f>
        <v>557.55</v>
      </c>
      <c r="L1735" s="4" t="n">
        <f aca="false">J1735-K1735</f>
        <v>222.48</v>
      </c>
    </row>
    <row r="1736" customFormat="false" ht="15" hidden="false" customHeight="false" outlineLevel="0" collapsed="false">
      <c r="A1736" s="0" t="n">
        <v>1721</v>
      </c>
      <c r="B1736" s="2" t="n">
        <v>45998</v>
      </c>
      <c r="C1736" s="3" t="s">
        <v>23</v>
      </c>
      <c r="D1736" s="3" t="s">
        <v>17</v>
      </c>
      <c r="E1736" s="3" t="s">
        <v>44</v>
      </c>
      <c r="F1736" s="3" t="s">
        <v>39</v>
      </c>
      <c r="G1736" s="0" t="n">
        <v>11</v>
      </c>
      <c r="H1736" s="4" t="n">
        <v>336.55</v>
      </c>
      <c r="I1736" s="4" t="n">
        <v>204.62</v>
      </c>
      <c r="J1736" s="4" t="n">
        <f aca="false">G1736*H1736</f>
        <v>3702.05</v>
      </c>
      <c r="K1736" s="4" t="n">
        <f aca="false">G1736*I1736</f>
        <v>2250.82</v>
      </c>
      <c r="L1736" s="4" t="n">
        <f aca="false">J1736-K1736</f>
        <v>1451.23</v>
      </c>
    </row>
    <row r="1737" customFormat="false" ht="15" hidden="false" customHeight="false" outlineLevel="0" collapsed="false">
      <c r="A1737" s="0" t="n">
        <v>2127</v>
      </c>
      <c r="B1737" s="2" t="n">
        <v>45998</v>
      </c>
      <c r="C1737" s="3" t="s">
        <v>23</v>
      </c>
      <c r="D1737" s="3" t="s">
        <v>13</v>
      </c>
      <c r="E1737" s="3" t="s">
        <v>45</v>
      </c>
      <c r="F1737" s="3" t="s">
        <v>15</v>
      </c>
      <c r="G1737" s="0" t="n">
        <v>36</v>
      </c>
      <c r="H1737" s="4" t="n">
        <v>45.36</v>
      </c>
      <c r="I1737" s="4" t="n">
        <v>32.96</v>
      </c>
      <c r="J1737" s="4" t="n">
        <f aca="false">G1737*H1737</f>
        <v>1632.96</v>
      </c>
      <c r="K1737" s="4" t="n">
        <f aca="false">G1737*I1737</f>
        <v>1186.56</v>
      </c>
      <c r="L1737" s="4" t="n">
        <f aca="false">J1737-K1737</f>
        <v>446.4</v>
      </c>
    </row>
    <row r="1738" customFormat="false" ht="15" hidden="false" customHeight="false" outlineLevel="0" collapsed="false">
      <c r="A1738" s="0" t="n">
        <v>2716</v>
      </c>
      <c r="B1738" s="2" t="n">
        <v>45998</v>
      </c>
      <c r="C1738" s="3" t="s">
        <v>12</v>
      </c>
      <c r="D1738" s="3" t="s">
        <v>17</v>
      </c>
      <c r="E1738" s="3" t="s">
        <v>27</v>
      </c>
      <c r="F1738" s="3" t="s">
        <v>33</v>
      </c>
      <c r="G1738" s="0" t="n">
        <v>34</v>
      </c>
      <c r="H1738" s="4" t="n">
        <v>479.59</v>
      </c>
      <c r="I1738" s="4" t="n">
        <v>343.33</v>
      </c>
      <c r="J1738" s="4" t="n">
        <f aca="false">G1738*H1738</f>
        <v>16306.06</v>
      </c>
      <c r="K1738" s="4" t="n">
        <f aca="false">G1738*I1738</f>
        <v>11673.22</v>
      </c>
      <c r="L1738" s="4" t="n">
        <f aca="false">J1738-K1738</f>
        <v>4632.84</v>
      </c>
    </row>
    <row r="1739" customFormat="false" ht="15" hidden="false" customHeight="false" outlineLevel="0" collapsed="false">
      <c r="A1739" s="0" t="n">
        <v>1031</v>
      </c>
      <c r="B1739" s="2" t="n">
        <v>45999</v>
      </c>
      <c r="C1739" s="3" t="s">
        <v>12</v>
      </c>
      <c r="D1739" s="3" t="s">
        <v>17</v>
      </c>
      <c r="E1739" s="3" t="s">
        <v>40</v>
      </c>
      <c r="F1739" s="3" t="s">
        <v>19</v>
      </c>
      <c r="G1739" s="0" t="n">
        <v>28</v>
      </c>
      <c r="H1739" s="4" t="n">
        <v>167.05</v>
      </c>
      <c r="I1739" s="4" t="n">
        <v>119.47</v>
      </c>
      <c r="J1739" s="4" t="n">
        <f aca="false">G1739*H1739</f>
        <v>4677.4</v>
      </c>
      <c r="K1739" s="4" t="n">
        <f aca="false">G1739*I1739</f>
        <v>3345.16</v>
      </c>
      <c r="L1739" s="4" t="n">
        <f aca="false">J1739-K1739</f>
        <v>1332.24</v>
      </c>
    </row>
    <row r="1740" customFormat="false" ht="15" hidden="false" customHeight="false" outlineLevel="0" collapsed="false">
      <c r="A1740" s="0" t="n">
        <v>2767</v>
      </c>
      <c r="B1740" s="2" t="n">
        <v>45999</v>
      </c>
      <c r="C1740" s="3" t="s">
        <v>12</v>
      </c>
      <c r="D1740" s="3" t="s">
        <v>17</v>
      </c>
      <c r="E1740" s="3" t="s">
        <v>18</v>
      </c>
      <c r="F1740" s="3" t="s">
        <v>22</v>
      </c>
      <c r="G1740" s="0" t="n">
        <v>31</v>
      </c>
      <c r="H1740" s="4" t="n">
        <v>334.53</v>
      </c>
      <c r="I1740" s="4" t="n">
        <v>219.98</v>
      </c>
      <c r="J1740" s="4" t="n">
        <f aca="false">G1740*H1740</f>
        <v>10370.43</v>
      </c>
      <c r="K1740" s="4" t="n">
        <f aca="false">G1740*I1740</f>
        <v>6819.38</v>
      </c>
      <c r="L1740" s="4" t="n">
        <f aca="false">J1740-K1740</f>
        <v>3551.05</v>
      </c>
    </row>
    <row r="1741" customFormat="false" ht="15" hidden="false" customHeight="false" outlineLevel="0" collapsed="false">
      <c r="A1741" s="0" t="n">
        <v>2785</v>
      </c>
      <c r="B1741" s="2" t="n">
        <v>45999</v>
      </c>
      <c r="C1741" s="3" t="s">
        <v>23</v>
      </c>
      <c r="D1741" s="3" t="s">
        <v>29</v>
      </c>
      <c r="E1741" s="3" t="s">
        <v>43</v>
      </c>
      <c r="F1741" s="3" t="s">
        <v>36</v>
      </c>
      <c r="G1741" s="0" t="n">
        <v>7</v>
      </c>
      <c r="H1741" s="4" t="n">
        <v>473</v>
      </c>
      <c r="I1741" s="4" t="n">
        <v>267.68</v>
      </c>
      <c r="J1741" s="4" t="n">
        <f aca="false">G1741*H1741</f>
        <v>3311</v>
      </c>
      <c r="K1741" s="4" t="n">
        <f aca="false">G1741*I1741</f>
        <v>1873.76</v>
      </c>
      <c r="L1741" s="4" t="n">
        <f aca="false">J1741-K1741</f>
        <v>1437.24</v>
      </c>
    </row>
    <row r="1742" customFormat="false" ht="15" hidden="false" customHeight="false" outlineLevel="0" collapsed="false">
      <c r="A1742" s="0" t="n">
        <v>1154</v>
      </c>
      <c r="B1742" s="2" t="n">
        <v>46002</v>
      </c>
      <c r="C1742" s="3" t="s">
        <v>23</v>
      </c>
      <c r="D1742" s="3" t="s">
        <v>13</v>
      </c>
      <c r="E1742" s="3" t="s">
        <v>45</v>
      </c>
      <c r="F1742" s="3" t="s">
        <v>19</v>
      </c>
      <c r="G1742" s="0" t="n">
        <v>5</v>
      </c>
      <c r="H1742" s="4" t="n">
        <v>54.22</v>
      </c>
      <c r="I1742" s="4" t="n">
        <v>36.35</v>
      </c>
      <c r="J1742" s="4" t="n">
        <f aca="false">G1742*H1742</f>
        <v>271.1</v>
      </c>
      <c r="K1742" s="4" t="n">
        <f aca="false">G1742*I1742</f>
        <v>181.75</v>
      </c>
      <c r="L1742" s="4" t="n">
        <f aca="false">J1742-K1742</f>
        <v>89.35</v>
      </c>
    </row>
    <row r="1743" customFormat="false" ht="15" hidden="false" customHeight="false" outlineLevel="0" collapsed="false">
      <c r="A1743" s="0" t="n">
        <v>1724</v>
      </c>
      <c r="B1743" s="2" t="n">
        <v>46002</v>
      </c>
      <c r="C1743" s="3" t="s">
        <v>26</v>
      </c>
      <c r="D1743" s="3" t="s">
        <v>13</v>
      </c>
      <c r="E1743" s="3" t="s">
        <v>45</v>
      </c>
      <c r="F1743" s="3" t="s">
        <v>28</v>
      </c>
      <c r="G1743" s="0" t="n">
        <v>4</v>
      </c>
      <c r="H1743" s="4" t="n">
        <v>38.69</v>
      </c>
      <c r="I1743" s="4" t="n">
        <v>24.75</v>
      </c>
      <c r="J1743" s="4" t="n">
        <f aca="false">G1743*H1743</f>
        <v>154.76</v>
      </c>
      <c r="K1743" s="4" t="n">
        <f aca="false">G1743*I1743</f>
        <v>99</v>
      </c>
      <c r="L1743" s="4" t="n">
        <f aca="false">J1743-K1743</f>
        <v>55.76</v>
      </c>
    </row>
    <row r="1744" customFormat="false" ht="15" hidden="false" customHeight="false" outlineLevel="0" collapsed="false">
      <c r="A1744" s="0" t="n">
        <v>2118</v>
      </c>
      <c r="B1744" s="2" t="n">
        <v>46002</v>
      </c>
      <c r="C1744" s="3" t="s">
        <v>26</v>
      </c>
      <c r="D1744" s="3" t="s">
        <v>20</v>
      </c>
      <c r="E1744" s="3" t="s">
        <v>21</v>
      </c>
      <c r="F1744" s="3" t="s">
        <v>39</v>
      </c>
      <c r="G1744" s="0" t="n">
        <v>17</v>
      </c>
      <c r="H1744" s="4" t="n">
        <v>146.11</v>
      </c>
      <c r="I1744" s="4" t="n">
        <v>82.48</v>
      </c>
      <c r="J1744" s="4" t="n">
        <f aca="false">G1744*H1744</f>
        <v>2483.87</v>
      </c>
      <c r="K1744" s="4" t="n">
        <f aca="false">G1744*I1744</f>
        <v>1402.16</v>
      </c>
      <c r="L1744" s="4" t="n">
        <f aca="false">J1744-K1744</f>
        <v>1081.71</v>
      </c>
    </row>
    <row r="1745" customFormat="false" ht="15" hidden="false" customHeight="false" outlineLevel="0" collapsed="false">
      <c r="A1745" s="0" t="n">
        <v>1250</v>
      </c>
      <c r="B1745" s="2" t="n">
        <v>46003</v>
      </c>
      <c r="C1745" s="3" t="s">
        <v>32</v>
      </c>
      <c r="D1745" s="3" t="s">
        <v>20</v>
      </c>
      <c r="E1745" s="3" t="s">
        <v>21</v>
      </c>
      <c r="F1745" s="3" t="s">
        <v>33</v>
      </c>
      <c r="G1745" s="0" t="n">
        <v>38</v>
      </c>
      <c r="H1745" s="4" t="n">
        <v>224.66</v>
      </c>
      <c r="I1745" s="4" t="n">
        <v>138.08</v>
      </c>
      <c r="J1745" s="4" t="n">
        <f aca="false">G1745*H1745</f>
        <v>8537.08</v>
      </c>
      <c r="K1745" s="4" t="n">
        <f aca="false">G1745*I1745</f>
        <v>5247.04</v>
      </c>
      <c r="L1745" s="4" t="n">
        <f aca="false">J1745-K1745</f>
        <v>3290.04</v>
      </c>
    </row>
    <row r="1746" customFormat="false" ht="15" hidden="false" customHeight="false" outlineLevel="0" collapsed="false">
      <c r="A1746" s="0" t="n">
        <v>1608</v>
      </c>
      <c r="B1746" s="2" t="n">
        <v>46003</v>
      </c>
      <c r="C1746" s="3" t="s">
        <v>16</v>
      </c>
      <c r="D1746" s="3" t="s">
        <v>17</v>
      </c>
      <c r="E1746" s="3" t="s">
        <v>44</v>
      </c>
      <c r="F1746" s="3" t="s">
        <v>25</v>
      </c>
      <c r="G1746" s="0" t="n">
        <v>24</v>
      </c>
      <c r="H1746" s="4" t="n">
        <v>879.17</v>
      </c>
      <c r="I1746" s="4" t="n">
        <v>466.57</v>
      </c>
      <c r="J1746" s="4" t="n">
        <f aca="false">G1746*H1746</f>
        <v>21100.08</v>
      </c>
      <c r="K1746" s="4" t="n">
        <f aca="false">G1746*I1746</f>
        <v>11197.68</v>
      </c>
      <c r="L1746" s="4" t="n">
        <f aca="false">J1746-K1746</f>
        <v>9902.4</v>
      </c>
    </row>
    <row r="1747" customFormat="false" ht="15" hidden="false" customHeight="false" outlineLevel="0" collapsed="false">
      <c r="A1747" s="0" t="n">
        <v>2159</v>
      </c>
      <c r="B1747" s="2" t="n">
        <v>46003</v>
      </c>
      <c r="C1747" s="3" t="s">
        <v>23</v>
      </c>
      <c r="D1747" s="3" t="s">
        <v>17</v>
      </c>
      <c r="E1747" s="3" t="s">
        <v>27</v>
      </c>
      <c r="F1747" s="3" t="s">
        <v>39</v>
      </c>
      <c r="G1747" s="0" t="n">
        <v>19</v>
      </c>
      <c r="H1747" s="4" t="n">
        <v>372.23</v>
      </c>
      <c r="I1747" s="4" t="n">
        <v>273.24</v>
      </c>
      <c r="J1747" s="4" t="n">
        <f aca="false">G1747*H1747</f>
        <v>7072.37</v>
      </c>
      <c r="K1747" s="4" t="n">
        <f aca="false">G1747*I1747</f>
        <v>5191.56</v>
      </c>
      <c r="L1747" s="4" t="n">
        <f aca="false">J1747-K1747</f>
        <v>1880.81</v>
      </c>
    </row>
    <row r="1748" customFormat="false" ht="15" hidden="false" customHeight="false" outlineLevel="0" collapsed="false">
      <c r="A1748" s="0" t="n">
        <v>2378</v>
      </c>
      <c r="B1748" s="2" t="n">
        <v>46003</v>
      </c>
      <c r="C1748" s="3" t="s">
        <v>23</v>
      </c>
      <c r="D1748" s="3" t="s">
        <v>20</v>
      </c>
      <c r="E1748" s="3" t="s">
        <v>38</v>
      </c>
      <c r="F1748" s="3" t="s">
        <v>15</v>
      </c>
      <c r="G1748" s="0" t="n">
        <v>19</v>
      </c>
      <c r="H1748" s="4" t="n">
        <v>280.54</v>
      </c>
      <c r="I1748" s="4" t="n">
        <v>195.98</v>
      </c>
      <c r="J1748" s="4" t="n">
        <f aca="false">G1748*H1748</f>
        <v>5330.26</v>
      </c>
      <c r="K1748" s="4" t="n">
        <f aca="false">G1748*I1748</f>
        <v>3723.62</v>
      </c>
      <c r="L1748" s="4" t="n">
        <f aca="false">J1748-K1748</f>
        <v>1606.64</v>
      </c>
    </row>
    <row r="1749" customFormat="false" ht="15" hidden="false" customHeight="false" outlineLevel="0" collapsed="false">
      <c r="A1749" s="0" t="n">
        <v>1485</v>
      </c>
      <c r="B1749" s="2" t="n">
        <v>46004</v>
      </c>
      <c r="C1749" s="3" t="s">
        <v>16</v>
      </c>
      <c r="D1749" s="3" t="s">
        <v>13</v>
      </c>
      <c r="E1749" s="3" t="s">
        <v>14</v>
      </c>
      <c r="F1749" s="3" t="s">
        <v>36</v>
      </c>
      <c r="G1749" s="0" t="n">
        <v>21</v>
      </c>
      <c r="H1749" s="4" t="n">
        <v>13.2</v>
      </c>
      <c r="I1749" s="4" t="n">
        <v>7.27</v>
      </c>
      <c r="J1749" s="4" t="n">
        <f aca="false">G1749*H1749</f>
        <v>277.2</v>
      </c>
      <c r="K1749" s="4" t="n">
        <f aca="false">G1749*I1749</f>
        <v>152.67</v>
      </c>
      <c r="L1749" s="4" t="n">
        <f aca="false">J1749-K1749</f>
        <v>124.53</v>
      </c>
    </row>
    <row r="1750" customFormat="false" ht="15" hidden="false" customHeight="false" outlineLevel="0" collapsed="false">
      <c r="A1750" s="0" t="n">
        <v>2514</v>
      </c>
      <c r="B1750" s="2" t="n">
        <v>46004</v>
      </c>
      <c r="C1750" s="3" t="s">
        <v>32</v>
      </c>
      <c r="D1750" s="3" t="s">
        <v>17</v>
      </c>
      <c r="E1750" s="3" t="s">
        <v>40</v>
      </c>
      <c r="F1750" s="3" t="s">
        <v>36</v>
      </c>
      <c r="G1750" s="0" t="n">
        <v>25</v>
      </c>
      <c r="H1750" s="4" t="n">
        <v>671.26</v>
      </c>
      <c r="I1750" s="4" t="n">
        <v>448.57</v>
      </c>
      <c r="J1750" s="4" t="n">
        <f aca="false">G1750*H1750</f>
        <v>16781.5</v>
      </c>
      <c r="K1750" s="4" t="n">
        <f aca="false">G1750*I1750</f>
        <v>11214.25</v>
      </c>
      <c r="L1750" s="4" t="n">
        <f aca="false">J1750-K1750</f>
        <v>5567.25</v>
      </c>
    </row>
    <row r="1751" customFormat="false" ht="15" hidden="false" customHeight="false" outlineLevel="0" collapsed="false">
      <c r="A1751" s="0" t="n">
        <v>1397</v>
      </c>
      <c r="B1751" s="2" t="n">
        <v>46005</v>
      </c>
      <c r="C1751" s="3" t="s">
        <v>16</v>
      </c>
      <c r="D1751" s="3" t="s">
        <v>17</v>
      </c>
      <c r="E1751" s="3" t="s">
        <v>18</v>
      </c>
      <c r="F1751" s="3" t="s">
        <v>19</v>
      </c>
      <c r="G1751" s="0" t="n">
        <v>17</v>
      </c>
      <c r="H1751" s="4" t="n">
        <v>460.8</v>
      </c>
      <c r="I1751" s="4" t="n">
        <v>331.4</v>
      </c>
      <c r="J1751" s="4" t="n">
        <f aca="false">G1751*H1751</f>
        <v>7833.6</v>
      </c>
      <c r="K1751" s="4" t="n">
        <f aca="false">G1751*I1751</f>
        <v>5633.8</v>
      </c>
      <c r="L1751" s="4" t="n">
        <f aca="false">J1751-K1751</f>
        <v>2199.8</v>
      </c>
    </row>
    <row r="1752" customFormat="false" ht="15" hidden="false" customHeight="false" outlineLevel="0" collapsed="false">
      <c r="A1752" s="0" t="n">
        <v>1469</v>
      </c>
      <c r="B1752" s="2" t="n">
        <v>46005</v>
      </c>
      <c r="C1752" s="3" t="s">
        <v>16</v>
      </c>
      <c r="D1752" s="3" t="s">
        <v>29</v>
      </c>
      <c r="E1752" s="3" t="s">
        <v>30</v>
      </c>
      <c r="F1752" s="3" t="s">
        <v>28</v>
      </c>
      <c r="G1752" s="0" t="n">
        <v>1</v>
      </c>
      <c r="H1752" s="4" t="n">
        <v>358.45</v>
      </c>
      <c r="I1752" s="4" t="n">
        <v>211.51</v>
      </c>
      <c r="J1752" s="4" t="n">
        <f aca="false">G1752*H1752</f>
        <v>358.45</v>
      </c>
      <c r="K1752" s="4" t="n">
        <f aca="false">G1752*I1752</f>
        <v>211.51</v>
      </c>
      <c r="L1752" s="4" t="n">
        <f aca="false">J1752-K1752</f>
        <v>146.94</v>
      </c>
    </row>
    <row r="1753" customFormat="false" ht="15" hidden="false" customHeight="false" outlineLevel="0" collapsed="false">
      <c r="A1753" s="0" t="n">
        <v>1553</v>
      </c>
      <c r="B1753" s="2" t="n">
        <v>46005</v>
      </c>
      <c r="C1753" s="3" t="s">
        <v>32</v>
      </c>
      <c r="D1753" s="3" t="s">
        <v>13</v>
      </c>
      <c r="E1753" s="3" t="s">
        <v>14</v>
      </c>
      <c r="F1753" s="3" t="s">
        <v>39</v>
      </c>
      <c r="G1753" s="0" t="n">
        <v>38</v>
      </c>
      <c r="H1753" s="4" t="n">
        <v>8.7</v>
      </c>
      <c r="I1753" s="4" t="n">
        <v>6.04</v>
      </c>
      <c r="J1753" s="4" t="n">
        <f aca="false">G1753*H1753</f>
        <v>330.6</v>
      </c>
      <c r="K1753" s="4" t="n">
        <f aca="false">G1753*I1753</f>
        <v>229.52</v>
      </c>
      <c r="L1753" s="4" t="n">
        <f aca="false">J1753-K1753</f>
        <v>101.08</v>
      </c>
    </row>
    <row r="1754" customFormat="false" ht="15" hidden="false" customHeight="false" outlineLevel="0" collapsed="false">
      <c r="A1754" s="0" t="n">
        <v>1575</v>
      </c>
      <c r="B1754" s="2" t="n">
        <v>46005</v>
      </c>
      <c r="C1754" s="3" t="s">
        <v>12</v>
      </c>
      <c r="D1754" s="3" t="s">
        <v>20</v>
      </c>
      <c r="E1754" s="3" t="s">
        <v>34</v>
      </c>
      <c r="F1754" s="3" t="s">
        <v>39</v>
      </c>
      <c r="G1754" s="0" t="n">
        <v>34</v>
      </c>
      <c r="H1754" s="4" t="n">
        <v>211.07</v>
      </c>
      <c r="I1754" s="4" t="n">
        <v>154.7</v>
      </c>
      <c r="J1754" s="4" t="n">
        <f aca="false">G1754*H1754</f>
        <v>7176.38</v>
      </c>
      <c r="K1754" s="4" t="n">
        <f aca="false">G1754*I1754</f>
        <v>5259.8</v>
      </c>
      <c r="L1754" s="4" t="n">
        <f aca="false">J1754-K1754</f>
        <v>1916.58</v>
      </c>
    </row>
    <row r="1755" customFormat="false" ht="15" hidden="false" customHeight="false" outlineLevel="0" collapsed="false">
      <c r="A1755" s="0" t="n">
        <v>1905</v>
      </c>
      <c r="B1755" s="2" t="n">
        <v>46005</v>
      </c>
      <c r="C1755" s="3" t="s">
        <v>16</v>
      </c>
      <c r="D1755" s="3" t="s">
        <v>13</v>
      </c>
      <c r="E1755" s="3" t="s">
        <v>46</v>
      </c>
      <c r="F1755" s="3" t="s">
        <v>36</v>
      </c>
      <c r="G1755" s="0" t="n">
        <v>14</v>
      </c>
      <c r="H1755" s="4" t="n">
        <v>57.29</v>
      </c>
      <c r="I1755" s="4" t="n">
        <v>28.85</v>
      </c>
      <c r="J1755" s="4" t="n">
        <f aca="false">G1755*H1755</f>
        <v>802.06</v>
      </c>
      <c r="K1755" s="4" t="n">
        <f aca="false">G1755*I1755</f>
        <v>403.9</v>
      </c>
      <c r="L1755" s="4" t="n">
        <f aca="false">J1755-K1755</f>
        <v>398.16</v>
      </c>
    </row>
    <row r="1756" customFormat="false" ht="15" hidden="false" customHeight="false" outlineLevel="0" collapsed="false">
      <c r="A1756" s="0" t="n">
        <v>1933</v>
      </c>
      <c r="B1756" s="2" t="n">
        <v>46005</v>
      </c>
      <c r="C1756" s="3" t="s">
        <v>23</v>
      </c>
      <c r="D1756" s="3" t="s">
        <v>20</v>
      </c>
      <c r="E1756" s="3" t="s">
        <v>42</v>
      </c>
      <c r="F1756" s="3" t="s">
        <v>33</v>
      </c>
      <c r="G1756" s="0" t="n">
        <v>40</v>
      </c>
      <c r="H1756" s="4" t="n">
        <v>58.85</v>
      </c>
      <c r="I1756" s="4" t="n">
        <v>44.04</v>
      </c>
      <c r="J1756" s="4" t="n">
        <f aca="false">G1756*H1756</f>
        <v>2354</v>
      </c>
      <c r="K1756" s="4" t="n">
        <f aca="false">G1756*I1756</f>
        <v>1761.6</v>
      </c>
      <c r="L1756" s="4" t="n">
        <f aca="false">J1756-K1756</f>
        <v>592.4</v>
      </c>
    </row>
    <row r="1757" customFormat="false" ht="15" hidden="false" customHeight="false" outlineLevel="0" collapsed="false">
      <c r="A1757" s="0" t="n">
        <v>2607</v>
      </c>
      <c r="B1757" s="2" t="n">
        <v>46005</v>
      </c>
      <c r="C1757" s="3" t="s">
        <v>23</v>
      </c>
      <c r="D1757" s="3" t="s">
        <v>17</v>
      </c>
      <c r="E1757" s="3" t="s">
        <v>40</v>
      </c>
      <c r="F1757" s="3" t="s">
        <v>25</v>
      </c>
      <c r="G1757" s="0" t="n">
        <v>5</v>
      </c>
      <c r="H1757" s="4" t="n">
        <v>458.56</v>
      </c>
      <c r="I1757" s="4" t="n">
        <v>297.61</v>
      </c>
      <c r="J1757" s="4" t="n">
        <f aca="false">G1757*H1757</f>
        <v>2292.8</v>
      </c>
      <c r="K1757" s="4" t="n">
        <f aca="false">G1757*I1757</f>
        <v>1488.05</v>
      </c>
      <c r="L1757" s="4" t="n">
        <f aca="false">J1757-K1757</f>
        <v>804.75</v>
      </c>
    </row>
    <row r="1758" customFormat="false" ht="15" hidden="false" customHeight="false" outlineLevel="0" collapsed="false">
      <c r="A1758" s="0" t="n">
        <v>1065</v>
      </c>
      <c r="B1758" s="2" t="n">
        <v>46006</v>
      </c>
      <c r="C1758" s="3" t="s">
        <v>12</v>
      </c>
      <c r="D1758" s="3" t="s">
        <v>20</v>
      </c>
      <c r="E1758" s="3" t="s">
        <v>42</v>
      </c>
      <c r="F1758" s="3" t="s">
        <v>22</v>
      </c>
      <c r="G1758" s="0" t="n">
        <v>37</v>
      </c>
      <c r="H1758" s="4" t="n">
        <v>290.34</v>
      </c>
      <c r="I1758" s="4" t="n">
        <v>163.5</v>
      </c>
      <c r="J1758" s="4" t="n">
        <f aca="false">G1758*H1758</f>
        <v>10742.58</v>
      </c>
      <c r="K1758" s="4" t="n">
        <f aca="false">G1758*I1758</f>
        <v>6049.5</v>
      </c>
      <c r="L1758" s="4" t="n">
        <f aca="false">J1758-K1758</f>
        <v>4693.08</v>
      </c>
    </row>
    <row r="1759" customFormat="false" ht="15" hidden="false" customHeight="false" outlineLevel="0" collapsed="false">
      <c r="A1759" s="0" t="n">
        <v>1083</v>
      </c>
      <c r="B1759" s="2" t="n">
        <v>46006</v>
      </c>
      <c r="C1759" s="3" t="s">
        <v>12</v>
      </c>
      <c r="D1759" s="3" t="s">
        <v>20</v>
      </c>
      <c r="E1759" s="3" t="s">
        <v>34</v>
      </c>
      <c r="F1759" s="3" t="s">
        <v>36</v>
      </c>
      <c r="G1759" s="0" t="n">
        <v>3</v>
      </c>
      <c r="H1759" s="4" t="n">
        <v>126.74</v>
      </c>
      <c r="I1759" s="4" t="n">
        <v>94.69</v>
      </c>
      <c r="J1759" s="4" t="n">
        <f aca="false">G1759*H1759</f>
        <v>380.22</v>
      </c>
      <c r="K1759" s="4" t="n">
        <f aca="false">G1759*I1759</f>
        <v>284.07</v>
      </c>
      <c r="L1759" s="4" t="n">
        <f aca="false">J1759-K1759</f>
        <v>96.15</v>
      </c>
    </row>
    <row r="1760" customFormat="false" ht="15" hidden="false" customHeight="false" outlineLevel="0" collapsed="false">
      <c r="A1760" s="0" t="n">
        <v>1430</v>
      </c>
      <c r="B1760" s="2" t="n">
        <v>46006</v>
      </c>
      <c r="C1760" s="3" t="s">
        <v>16</v>
      </c>
      <c r="D1760" s="3" t="s">
        <v>13</v>
      </c>
      <c r="E1760" s="3" t="s">
        <v>46</v>
      </c>
      <c r="F1760" s="3" t="s">
        <v>28</v>
      </c>
      <c r="G1760" s="0" t="n">
        <v>37</v>
      </c>
      <c r="H1760" s="4" t="n">
        <v>39.47</v>
      </c>
      <c r="I1760" s="4" t="n">
        <v>24.49</v>
      </c>
      <c r="J1760" s="4" t="n">
        <f aca="false">G1760*H1760</f>
        <v>1460.39</v>
      </c>
      <c r="K1760" s="4" t="n">
        <f aca="false">G1760*I1760</f>
        <v>906.13</v>
      </c>
      <c r="L1760" s="4" t="n">
        <f aca="false">J1760-K1760</f>
        <v>554.26</v>
      </c>
    </row>
    <row r="1761" customFormat="false" ht="15" hidden="false" customHeight="false" outlineLevel="0" collapsed="false">
      <c r="A1761" s="0" t="n">
        <v>1972</v>
      </c>
      <c r="B1761" s="2" t="n">
        <v>46006</v>
      </c>
      <c r="C1761" s="3" t="s">
        <v>26</v>
      </c>
      <c r="D1761" s="3" t="s">
        <v>20</v>
      </c>
      <c r="E1761" s="3" t="s">
        <v>21</v>
      </c>
      <c r="F1761" s="3" t="s">
        <v>36</v>
      </c>
      <c r="G1761" s="0" t="n">
        <v>10</v>
      </c>
      <c r="H1761" s="4" t="n">
        <v>23.09</v>
      </c>
      <c r="I1761" s="4" t="n">
        <v>13.29</v>
      </c>
      <c r="J1761" s="4" t="n">
        <f aca="false">G1761*H1761</f>
        <v>230.9</v>
      </c>
      <c r="K1761" s="4" t="n">
        <f aca="false">G1761*I1761</f>
        <v>132.9</v>
      </c>
      <c r="L1761" s="4" t="n">
        <f aca="false">J1761-K1761</f>
        <v>98</v>
      </c>
    </row>
    <row r="1762" customFormat="false" ht="15" hidden="false" customHeight="false" outlineLevel="0" collapsed="false">
      <c r="A1762" s="0" t="n">
        <v>1995</v>
      </c>
      <c r="B1762" s="2" t="n">
        <v>46006</v>
      </c>
      <c r="C1762" s="3" t="s">
        <v>16</v>
      </c>
      <c r="D1762" s="3" t="s">
        <v>17</v>
      </c>
      <c r="E1762" s="3" t="s">
        <v>27</v>
      </c>
      <c r="F1762" s="3" t="s">
        <v>33</v>
      </c>
      <c r="G1762" s="0" t="n">
        <v>27</v>
      </c>
      <c r="H1762" s="4" t="n">
        <v>652.62</v>
      </c>
      <c r="I1762" s="4" t="n">
        <v>348.68</v>
      </c>
      <c r="J1762" s="4" t="n">
        <f aca="false">G1762*H1762</f>
        <v>17620.74</v>
      </c>
      <c r="K1762" s="4" t="n">
        <f aca="false">G1762*I1762</f>
        <v>9414.36</v>
      </c>
      <c r="L1762" s="4" t="n">
        <f aca="false">J1762-K1762</f>
        <v>8206.38</v>
      </c>
    </row>
    <row r="1763" customFormat="false" ht="15" hidden="false" customHeight="false" outlineLevel="0" collapsed="false">
      <c r="A1763" s="0" t="n">
        <v>2314</v>
      </c>
      <c r="B1763" s="2" t="n">
        <v>46006</v>
      </c>
      <c r="C1763" s="3" t="s">
        <v>16</v>
      </c>
      <c r="D1763" s="3" t="s">
        <v>20</v>
      </c>
      <c r="E1763" s="3" t="s">
        <v>34</v>
      </c>
      <c r="F1763" s="3" t="s">
        <v>28</v>
      </c>
      <c r="G1763" s="0" t="n">
        <v>19</v>
      </c>
      <c r="H1763" s="4" t="n">
        <v>139.48</v>
      </c>
      <c r="I1763" s="4" t="n">
        <v>93.69</v>
      </c>
      <c r="J1763" s="4" t="n">
        <f aca="false">G1763*H1763</f>
        <v>2650.12</v>
      </c>
      <c r="K1763" s="4" t="n">
        <f aca="false">G1763*I1763</f>
        <v>1780.11</v>
      </c>
      <c r="L1763" s="4" t="n">
        <f aca="false">J1763-K1763</f>
        <v>870.01</v>
      </c>
    </row>
    <row r="1764" customFormat="false" ht="15" hidden="false" customHeight="false" outlineLevel="0" collapsed="false">
      <c r="A1764" s="0" t="n">
        <v>2374</v>
      </c>
      <c r="B1764" s="2" t="n">
        <v>46006</v>
      </c>
      <c r="C1764" s="3" t="s">
        <v>12</v>
      </c>
      <c r="D1764" s="3" t="s">
        <v>17</v>
      </c>
      <c r="E1764" s="3" t="s">
        <v>27</v>
      </c>
      <c r="F1764" s="3" t="s">
        <v>28</v>
      </c>
      <c r="G1764" s="0" t="n">
        <v>12</v>
      </c>
      <c r="H1764" s="4" t="n">
        <v>87.46</v>
      </c>
      <c r="I1764" s="4" t="n">
        <v>63.8</v>
      </c>
      <c r="J1764" s="4" t="n">
        <f aca="false">G1764*H1764</f>
        <v>1049.52</v>
      </c>
      <c r="K1764" s="4" t="n">
        <f aca="false">G1764*I1764</f>
        <v>765.6</v>
      </c>
      <c r="L1764" s="4" t="n">
        <f aca="false">J1764-K1764</f>
        <v>283.92</v>
      </c>
    </row>
    <row r="1765" customFormat="false" ht="15" hidden="false" customHeight="false" outlineLevel="0" collapsed="false">
      <c r="A1765" s="0" t="n">
        <v>2720</v>
      </c>
      <c r="B1765" s="2" t="n">
        <v>46006</v>
      </c>
      <c r="C1765" s="3" t="s">
        <v>26</v>
      </c>
      <c r="D1765" s="3" t="s">
        <v>29</v>
      </c>
      <c r="E1765" s="3" t="s">
        <v>43</v>
      </c>
      <c r="F1765" s="3" t="s">
        <v>25</v>
      </c>
      <c r="G1765" s="0" t="n">
        <v>22</v>
      </c>
      <c r="H1765" s="4" t="n">
        <v>139.89</v>
      </c>
      <c r="I1765" s="4" t="n">
        <v>82.93</v>
      </c>
      <c r="J1765" s="4" t="n">
        <f aca="false">G1765*H1765</f>
        <v>3077.58</v>
      </c>
      <c r="K1765" s="4" t="n">
        <f aca="false">G1765*I1765</f>
        <v>1824.46</v>
      </c>
      <c r="L1765" s="4" t="n">
        <f aca="false">J1765-K1765</f>
        <v>1253.12</v>
      </c>
    </row>
    <row r="1766" customFormat="false" ht="15" hidden="false" customHeight="false" outlineLevel="0" collapsed="false">
      <c r="A1766" s="0" t="n">
        <v>2754</v>
      </c>
      <c r="B1766" s="2" t="n">
        <v>46007</v>
      </c>
      <c r="C1766" s="3" t="s">
        <v>32</v>
      </c>
      <c r="D1766" s="3" t="s">
        <v>13</v>
      </c>
      <c r="E1766" s="3" t="s">
        <v>45</v>
      </c>
      <c r="F1766" s="3" t="s">
        <v>25</v>
      </c>
      <c r="G1766" s="0" t="n">
        <v>25</v>
      </c>
      <c r="H1766" s="4" t="n">
        <v>13.74</v>
      </c>
      <c r="I1766" s="4" t="n">
        <v>9.57</v>
      </c>
      <c r="J1766" s="4" t="n">
        <f aca="false">G1766*H1766</f>
        <v>343.5</v>
      </c>
      <c r="K1766" s="4" t="n">
        <f aca="false">G1766*I1766</f>
        <v>239.25</v>
      </c>
      <c r="L1766" s="4" t="n">
        <f aca="false">J1766-K1766</f>
        <v>104.25</v>
      </c>
    </row>
    <row r="1767" customFormat="false" ht="15" hidden="false" customHeight="false" outlineLevel="0" collapsed="false">
      <c r="A1767" s="0" t="n">
        <v>1054</v>
      </c>
      <c r="B1767" s="2" t="n">
        <v>46008</v>
      </c>
      <c r="C1767" s="3" t="s">
        <v>32</v>
      </c>
      <c r="D1767" s="3" t="s">
        <v>29</v>
      </c>
      <c r="E1767" s="3" t="s">
        <v>37</v>
      </c>
      <c r="F1767" s="3" t="s">
        <v>25</v>
      </c>
      <c r="G1767" s="0" t="n">
        <v>11</v>
      </c>
      <c r="H1767" s="4" t="n">
        <v>90.78</v>
      </c>
      <c r="I1767" s="4" t="n">
        <v>60.76</v>
      </c>
      <c r="J1767" s="4" t="n">
        <f aca="false">G1767*H1767</f>
        <v>998.58</v>
      </c>
      <c r="K1767" s="4" t="n">
        <f aca="false">G1767*I1767</f>
        <v>668.36</v>
      </c>
      <c r="L1767" s="4" t="n">
        <f aca="false">J1767-K1767</f>
        <v>330.22</v>
      </c>
    </row>
    <row r="1768" customFormat="false" ht="15" hidden="false" customHeight="false" outlineLevel="0" collapsed="false">
      <c r="A1768" s="0" t="n">
        <v>1255</v>
      </c>
      <c r="B1768" s="2" t="n">
        <v>46008</v>
      </c>
      <c r="C1768" s="3" t="s">
        <v>12</v>
      </c>
      <c r="D1768" s="3" t="s">
        <v>20</v>
      </c>
      <c r="E1768" s="3" t="s">
        <v>42</v>
      </c>
      <c r="F1768" s="3" t="s">
        <v>25</v>
      </c>
      <c r="G1768" s="0" t="n">
        <v>1</v>
      </c>
      <c r="H1768" s="4" t="n">
        <v>165.44</v>
      </c>
      <c r="I1768" s="4" t="n">
        <v>101.13</v>
      </c>
      <c r="J1768" s="4" t="n">
        <f aca="false">G1768*H1768</f>
        <v>165.44</v>
      </c>
      <c r="K1768" s="4" t="n">
        <f aca="false">G1768*I1768</f>
        <v>101.13</v>
      </c>
      <c r="L1768" s="4" t="n">
        <f aca="false">J1768-K1768</f>
        <v>64.31</v>
      </c>
    </row>
    <row r="1769" customFormat="false" ht="15" hidden="false" customHeight="false" outlineLevel="0" collapsed="false">
      <c r="A1769" s="0" t="n">
        <v>2375</v>
      </c>
      <c r="B1769" s="2" t="n">
        <v>46008</v>
      </c>
      <c r="C1769" s="3" t="s">
        <v>32</v>
      </c>
      <c r="D1769" s="3" t="s">
        <v>17</v>
      </c>
      <c r="E1769" s="3" t="s">
        <v>27</v>
      </c>
      <c r="F1769" s="3" t="s">
        <v>19</v>
      </c>
      <c r="G1769" s="0" t="n">
        <v>20</v>
      </c>
      <c r="H1769" s="4" t="n">
        <v>337.32</v>
      </c>
      <c r="I1769" s="4" t="n">
        <v>220.47</v>
      </c>
      <c r="J1769" s="4" t="n">
        <f aca="false">G1769*H1769</f>
        <v>6746.4</v>
      </c>
      <c r="K1769" s="4" t="n">
        <f aca="false">G1769*I1769</f>
        <v>4409.4</v>
      </c>
      <c r="L1769" s="4" t="n">
        <f aca="false">J1769-K1769</f>
        <v>2337</v>
      </c>
    </row>
    <row r="1770" customFormat="false" ht="15" hidden="false" customHeight="false" outlineLevel="0" collapsed="false">
      <c r="A1770" s="0" t="n">
        <v>1686</v>
      </c>
      <c r="B1770" s="2" t="n">
        <v>46009</v>
      </c>
      <c r="C1770" s="3" t="s">
        <v>23</v>
      </c>
      <c r="D1770" s="3" t="s">
        <v>20</v>
      </c>
      <c r="E1770" s="3" t="s">
        <v>34</v>
      </c>
      <c r="F1770" s="3" t="s">
        <v>28</v>
      </c>
      <c r="G1770" s="0" t="n">
        <v>23</v>
      </c>
      <c r="H1770" s="4" t="n">
        <v>75.24</v>
      </c>
      <c r="I1770" s="4" t="n">
        <v>43.29</v>
      </c>
      <c r="J1770" s="4" t="n">
        <f aca="false">G1770*H1770</f>
        <v>1730.52</v>
      </c>
      <c r="K1770" s="4" t="n">
        <f aca="false">G1770*I1770</f>
        <v>995.67</v>
      </c>
      <c r="L1770" s="4" t="n">
        <f aca="false">J1770-K1770</f>
        <v>734.85</v>
      </c>
    </row>
    <row r="1771" customFormat="false" ht="15" hidden="false" customHeight="false" outlineLevel="0" collapsed="false">
      <c r="A1771" s="0" t="n">
        <v>2248</v>
      </c>
      <c r="B1771" s="2" t="n">
        <v>46009</v>
      </c>
      <c r="C1771" s="3" t="s">
        <v>32</v>
      </c>
      <c r="D1771" s="3" t="s">
        <v>29</v>
      </c>
      <c r="E1771" s="3" t="s">
        <v>41</v>
      </c>
      <c r="F1771" s="3" t="s">
        <v>36</v>
      </c>
      <c r="G1771" s="0" t="n">
        <v>22</v>
      </c>
      <c r="H1771" s="4" t="n">
        <v>399.1</v>
      </c>
      <c r="I1771" s="4" t="n">
        <v>207.56</v>
      </c>
      <c r="J1771" s="4" t="n">
        <f aca="false">G1771*H1771</f>
        <v>8780.2</v>
      </c>
      <c r="K1771" s="4" t="n">
        <f aca="false">G1771*I1771</f>
        <v>4566.32</v>
      </c>
      <c r="L1771" s="4" t="n">
        <f aca="false">J1771-K1771</f>
        <v>4213.88</v>
      </c>
    </row>
    <row r="1772" customFormat="false" ht="15" hidden="false" customHeight="false" outlineLevel="0" collapsed="false">
      <c r="A1772" s="0" t="n">
        <v>2321</v>
      </c>
      <c r="B1772" s="2" t="n">
        <v>46010</v>
      </c>
      <c r="C1772" s="3" t="s">
        <v>23</v>
      </c>
      <c r="D1772" s="3" t="s">
        <v>17</v>
      </c>
      <c r="E1772" s="3" t="s">
        <v>40</v>
      </c>
      <c r="F1772" s="3" t="s">
        <v>22</v>
      </c>
      <c r="G1772" s="0" t="n">
        <v>33</v>
      </c>
      <c r="H1772" s="4" t="n">
        <v>721.99</v>
      </c>
      <c r="I1772" s="4" t="n">
        <v>362.59</v>
      </c>
      <c r="J1772" s="4" t="n">
        <f aca="false">G1772*H1772</f>
        <v>23825.67</v>
      </c>
      <c r="K1772" s="4" t="n">
        <f aca="false">G1772*I1772</f>
        <v>11965.47</v>
      </c>
      <c r="L1772" s="4" t="n">
        <f aca="false">J1772-K1772</f>
        <v>11860.2</v>
      </c>
    </row>
    <row r="1773" customFormat="false" ht="15" hidden="false" customHeight="false" outlineLevel="0" collapsed="false">
      <c r="A1773" s="0" t="n">
        <v>1572</v>
      </c>
      <c r="B1773" s="2" t="n">
        <v>46011</v>
      </c>
      <c r="C1773" s="3" t="s">
        <v>12</v>
      </c>
      <c r="D1773" s="3" t="s">
        <v>13</v>
      </c>
      <c r="E1773" s="3" t="s">
        <v>31</v>
      </c>
      <c r="F1773" s="3" t="s">
        <v>33</v>
      </c>
      <c r="G1773" s="0" t="n">
        <v>18</v>
      </c>
      <c r="H1773" s="4" t="n">
        <v>27.11</v>
      </c>
      <c r="I1773" s="4" t="n">
        <v>16.62</v>
      </c>
      <c r="J1773" s="4" t="n">
        <f aca="false">G1773*H1773</f>
        <v>487.98</v>
      </c>
      <c r="K1773" s="4" t="n">
        <f aca="false">G1773*I1773</f>
        <v>299.16</v>
      </c>
      <c r="L1773" s="4" t="n">
        <f aca="false">J1773-K1773</f>
        <v>188.82</v>
      </c>
    </row>
    <row r="1774" customFormat="false" ht="15" hidden="false" customHeight="false" outlineLevel="0" collapsed="false">
      <c r="A1774" s="0" t="n">
        <v>1815</v>
      </c>
      <c r="B1774" s="2" t="n">
        <v>46011</v>
      </c>
      <c r="C1774" s="3" t="s">
        <v>23</v>
      </c>
      <c r="D1774" s="3" t="s">
        <v>29</v>
      </c>
      <c r="E1774" s="3" t="s">
        <v>37</v>
      </c>
      <c r="F1774" s="3" t="s">
        <v>25</v>
      </c>
      <c r="G1774" s="0" t="n">
        <v>21</v>
      </c>
      <c r="H1774" s="4" t="n">
        <v>413.99</v>
      </c>
      <c r="I1774" s="4" t="n">
        <v>291.12</v>
      </c>
      <c r="J1774" s="4" t="n">
        <f aca="false">G1774*H1774</f>
        <v>8693.79</v>
      </c>
      <c r="K1774" s="4" t="n">
        <f aca="false">G1774*I1774</f>
        <v>6113.52</v>
      </c>
      <c r="L1774" s="4" t="n">
        <f aca="false">J1774-K1774</f>
        <v>2580.27</v>
      </c>
    </row>
    <row r="1775" customFormat="false" ht="15" hidden="false" customHeight="false" outlineLevel="0" collapsed="false">
      <c r="A1775" s="0" t="n">
        <v>1188</v>
      </c>
      <c r="B1775" s="2" t="n">
        <v>46012</v>
      </c>
      <c r="C1775" s="3" t="s">
        <v>32</v>
      </c>
      <c r="D1775" s="3" t="s">
        <v>17</v>
      </c>
      <c r="E1775" s="3" t="s">
        <v>40</v>
      </c>
      <c r="F1775" s="3" t="s">
        <v>33</v>
      </c>
      <c r="G1775" s="0" t="n">
        <v>40</v>
      </c>
      <c r="H1775" s="4" t="n">
        <v>245.51</v>
      </c>
      <c r="I1775" s="4" t="n">
        <v>183.45</v>
      </c>
      <c r="J1775" s="4" t="n">
        <f aca="false">G1775*H1775</f>
        <v>9820.4</v>
      </c>
      <c r="K1775" s="4" t="n">
        <f aca="false">G1775*I1775</f>
        <v>7338</v>
      </c>
      <c r="L1775" s="4" t="n">
        <f aca="false">J1775-K1775</f>
        <v>2482.4</v>
      </c>
    </row>
    <row r="1776" customFormat="false" ht="15" hidden="false" customHeight="false" outlineLevel="0" collapsed="false">
      <c r="A1776" s="0" t="n">
        <v>2242</v>
      </c>
      <c r="B1776" s="2" t="n">
        <v>46012</v>
      </c>
      <c r="C1776" s="3" t="s">
        <v>12</v>
      </c>
      <c r="D1776" s="3" t="s">
        <v>29</v>
      </c>
      <c r="E1776" s="3" t="s">
        <v>43</v>
      </c>
      <c r="F1776" s="3" t="s">
        <v>25</v>
      </c>
      <c r="G1776" s="0" t="n">
        <v>36</v>
      </c>
      <c r="H1776" s="4" t="n">
        <v>148.57</v>
      </c>
      <c r="I1776" s="4" t="n">
        <v>108.09</v>
      </c>
      <c r="J1776" s="4" t="n">
        <f aca="false">G1776*H1776</f>
        <v>5348.52</v>
      </c>
      <c r="K1776" s="4" t="n">
        <f aca="false">G1776*I1776</f>
        <v>3891.24</v>
      </c>
      <c r="L1776" s="4" t="n">
        <f aca="false">J1776-K1776</f>
        <v>1457.28</v>
      </c>
    </row>
    <row r="1777" customFormat="false" ht="15" hidden="false" customHeight="false" outlineLevel="0" collapsed="false">
      <c r="A1777" s="0" t="n">
        <v>2312</v>
      </c>
      <c r="B1777" s="2" t="n">
        <v>46012</v>
      </c>
      <c r="C1777" s="3" t="s">
        <v>23</v>
      </c>
      <c r="D1777" s="3" t="s">
        <v>13</v>
      </c>
      <c r="E1777" s="3" t="s">
        <v>46</v>
      </c>
      <c r="F1777" s="3" t="s">
        <v>36</v>
      </c>
      <c r="G1777" s="0" t="n">
        <v>7</v>
      </c>
      <c r="H1777" s="4" t="n">
        <v>10.32</v>
      </c>
      <c r="I1777" s="4" t="n">
        <v>7.57</v>
      </c>
      <c r="J1777" s="4" t="n">
        <f aca="false">G1777*H1777</f>
        <v>72.24</v>
      </c>
      <c r="K1777" s="4" t="n">
        <f aca="false">G1777*I1777</f>
        <v>52.99</v>
      </c>
      <c r="L1777" s="4" t="n">
        <f aca="false">J1777-K1777</f>
        <v>19.25</v>
      </c>
    </row>
    <row r="1778" customFormat="false" ht="15" hidden="false" customHeight="false" outlineLevel="0" collapsed="false">
      <c r="A1778" s="0" t="n">
        <v>2344</v>
      </c>
      <c r="B1778" s="2" t="n">
        <v>46012</v>
      </c>
      <c r="C1778" s="3" t="s">
        <v>26</v>
      </c>
      <c r="D1778" s="3" t="s">
        <v>20</v>
      </c>
      <c r="E1778" s="3" t="s">
        <v>34</v>
      </c>
      <c r="F1778" s="3" t="s">
        <v>36</v>
      </c>
      <c r="G1778" s="0" t="n">
        <v>14</v>
      </c>
      <c r="H1778" s="4" t="n">
        <v>220.18</v>
      </c>
      <c r="I1778" s="4" t="n">
        <v>159.55</v>
      </c>
      <c r="J1778" s="4" t="n">
        <f aca="false">G1778*H1778</f>
        <v>3082.52</v>
      </c>
      <c r="K1778" s="4" t="n">
        <f aca="false">G1778*I1778</f>
        <v>2233.7</v>
      </c>
      <c r="L1778" s="4" t="n">
        <f aca="false">J1778-K1778</f>
        <v>848.82</v>
      </c>
    </row>
    <row r="1779" customFormat="false" ht="15" hidden="false" customHeight="false" outlineLevel="0" collapsed="false">
      <c r="A1779" s="0" t="n">
        <v>1694</v>
      </c>
      <c r="B1779" s="2" t="n">
        <v>46013</v>
      </c>
      <c r="C1779" s="3" t="s">
        <v>16</v>
      </c>
      <c r="D1779" s="3" t="s">
        <v>17</v>
      </c>
      <c r="E1779" s="3" t="s">
        <v>44</v>
      </c>
      <c r="F1779" s="3" t="s">
        <v>28</v>
      </c>
      <c r="G1779" s="0" t="n">
        <v>31</v>
      </c>
      <c r="H1779" s="4" t="n">
        <v>87.39</v>
      </c>
      <c r="I1779" s="4" t="n">
        <v>46.29</v>
      </c>
      <c r="J1779" s="4" t="n">
        <f aca="false">G1779*H1779</f>
        <v>2709.09</v>
      </c>
      <c r="K1779" s="4" t="n">
        <f aca="false">G1779*I1779</f>
        <v>1434.99</v>
      </c>
      <c r="L1779" s="4" t="n">
        <f aca="false">J1779-K1779</f>
        <v>1274.1</v>
      </c>
    </row>
    <row r="1780" customFormat="false" ht="15" hidden="false" customHeight="false" outlineLevel="0" collapsed="false">
      <c r="A1780" s="0" t="n">
        <v>2034</v>
      </c>
      <c r="B1780" s="2" t="n">
        <v>46013</v>
      </c>
      <c r="C1780" s="3" t="s">
        <v>12</v>
      </c>
      <c r="D1780" s="3" t="s">
        <v>20</v>
      </c>
      <c r="E1780" s="3" t="s">
        <v>21</v>
      </c>
      <c r="F1780" s="3" t="s">
        <v>36</v>
      </c>
      <c r="G1780" s="0" t="n">
        <v>16</v>
      </c>
      <c r="H1780" s="4" t="n">
        <v>258.28</v>
      </c>
      <c r="I1780" s="4" t="n">
        <v>155.55</v>
      </c>
      <c r="J1780" s="4" t="n">
        <f aca="false">G1780*H1780</f>
        <v>4132.48</v>
      </c>
      <c r="K1780" s="4" t="n">
        <f aca="false">G1780*I1780</f>
        <v>2488.8</v>
      </c>
      <c r="L1780" s="4" t="n">
        <f aca="false">J1780-K1780</f>
        <v>1643.68</v>
      </c>
    </row>
    <row r="1781" customFormat="false" ht="15" hidden="false" customHeight="false" outlineLevel="0" collapsed="false">
      <c r="A1781" s="0" t="n">
        <v>1401</v>
      </c>
      <c r="B1781" s="2" t="n">
        <v>46014</v>
      </c>
      <c r="C1781" s="3" t="s">
        <v>23</v>
      </c>
      <c r="D1781" s="3" t="s">
        <v>13</v>
      </c>
      <c r="E1781" s="3" t="s">
        <v>45</v>
      </c>
      <c r="F1781" s="3" t="s">
        <v>39</v>
      </c>
      <c r="G1781" s="0" t="n">
        <v>29</v>
      </c>
      <c r="H1781" s="4" t="n">
        <v>57.11</v>
      </c>
      <c r="I1781" s="4" t="n">
        <v>39.78</v>
      </c>
      <c r="J1781" s="4" t="n">
        <f aca="false">G1781*H1781</f>
        <v>1656.19</v>
      </c>
      <c r="K1781" s="4" t="n">
        <f aca="false">G1781*I1781</f>
        <v>1153.62</v>
      </c>
      <c r="L1781" s="4" t="n">
        <f aca="false">J1781-K1781</f>
        <v>502.57</v>
      </c>
    </row>
    <row r="1782" customFormat="false" ht="15" hidden="false" customHeight="false" outlineLevel="0" collapsed="false">
      <c r="A1782" s="0" t="n">
        <v>1859</v>
      </c>
      <c r="B1782" s="2" t="n">
        <v>46014</v>
      </c>
      <c r="C1782" s="3" t="s">
        <v>16</v>
      </c>
      <c r="D1782" s="3" t="s">
        <v>29</v>
      </c>
      <c r="E1782" s="3" t="s">
        <v>37</v>
      </c>
      <c r="F1782" s="3" t="s">
        <v>36</v>
      </c>
      <c r="G1782" s="0" t="n">
        <v>40</v>
      </c>
      <c r="H1782" s="4" t="n">
        <v>342.9</v>
      </c>
      <c r="I1782" s="4" t="n">
        <v>201.92</v>
      </c>
      <c r="J1782" s="4" t="n">
        <f aca="false">G1782*H1782</f>
        <v>13716</v>
      </c>
      <c r="K1782" s="4" t="n">
        <f aca="false">G1782*I1782</f>
        <v>8076.8</v>
      </c>
      <c r="L1782" s="4" t="n">
        <f aca="false">J1782-K1782</f>
        <v>5639.2</v>
      </c>
    </row>
    <row r="1783" customFormat="false" ht="15" hidden="false" customHeight="false" outlineLevel="0" collapsed="false">
      <c r="A1783" s="0" t="n">
        <v>1994</v>
      </c>
      <c r="B1783" s="2" t="n">
        <v>46014</v>
      </c>
      <c r="C1783" s="3" t="s">
        <v>32</v>
      </c>
      <c r="D1783" s="3" t="s">
        <v>13</v>
      </c>
      <c r="E1783" s="3" t="s">
        <v>14</v>
      </c>
      <c r="F1783" s="3" t="s">
        <v>15</v>
      </c>
      <c r="G1783" s="0" t="n">
        <v>24</v>
      </c>
      <c r="H1783" s="4" t="n">
        <v>19.68</v>
      </c>
      <c r="I1783" s="4" t="n">
        <v>11.16</v>
      </c>
      <c r="J1783" s="4" t="n">
        <f aca="false">G1783*H1783</f>
        <v>472.32</v>
      </c>
      <c r="K1783" s="4" t="n">
        <f aca="false">G1783*I1783</f>
        <v>267.84</v>
      </c>
      <c r="L1783" s="4" t="n">
        <f aca="false">J1783-K1783</f>
        <v>204.48</v>
      </c>
    </row>
    <row r="1784" customFormat="false" ht="15" hidden="false" customHeight="false" outlineLevel="0" collapsed="false">
      <c r="A1784" s="0" t="n">
        <v>1070</v>
      </c>
      <c r="B1784" s="2" t="n">
        <v>46015</v>
      </c>
      <c r="C1784" s="3" t="s">
        <v>32</v>
      </c>
      <c r="D1784" s="3" t="s">
        <v>20</v>
      </c>
      <c r="E1784" s="3" t="s">
        <v>42</v>
      </c>
      <c r="F1784" s="3" t="s">
        <v>39</v>
      </c>
      <c r="G1784" s="0" t="n">
        <v>17</v>
      </c>
      <c r="H1784" s="4" t="n">
        <v>281.43</v>
      </c>
      <c r="I1784" s="4" t="n">
        <v>170.63</v>
      </c>
      <c r="J1784" s="4" t="n">
        <f aca="false">G1784*H1784</f>
        <v>4784.31</v>
      </c>
      <c r="K1784" s="4" t="n">
        <f aca="false">G1784*I1784</f>
        <v>2900.71</v>
      </c>
      <c r="L1784" s="4" t="n">
        <f aca="false">J1784-K1784</f>
        <v>1883.6</v>
      </c>
    </row>
    <row r="1785" customFormat="false" ht="15" hidden="false" customHeight="false" outlineLevel="0" collapsed="false">
      <c r="A1785" s="0" t="n">
        <v>1716</v>
      </c>
      <c r="B1785" s="2" t="n">
        <v>46015</v>
      </c>
      <c r="C1785" s="3" t="s">
        <v>16</v>
      </c>
      <c r="D1785" s="3" t="s">
        <v>13</v>
      </c>
      <c r="E1785" s="3" t="s">
        <v>45</v>
      </c>
      <c r="F1785" s="3" t="s">
        <v>39</v>
      </c>
      <c r="G1785" s="0" t="n">
        <v>26</v>
      </c>
      <c r="H1785" s="4" t="n">
        <v>18.81</v>
      </c>
      <c r="I1785" s="4" t="n">
        <v>10.32</v>
      </c>
      <c r="J1785" s="4" t="n">
        <f aca="false">G1785*H1785</f>
        <v>489.06</v>
      </c>
      <c r="K1785" s="4" t="n">
        <f aca="false">G1785*I1785</f>
        <v>268.32</v>
      </c>
      <c r="L1785" s="4" t="n">
        <f aca="false">J1785-K1785</f>
        <v>220.74</v>
      </c>
    </row>
    <row r="1786" customFormat="false" ht="15" hidden="false" customHeight="false" outlineLevel="0" collapsed="false">
      <c r="A1786" s="0" t="n">
        <v>2197</v>
      </c>
      <c r="B1786" s="2" t="n">
        <v>46015</v>
      </c>
      <c r="C1786" s="3" t="s">
        <v>32</v>
      </c>
      <c r="D1786" s="3" t="s">
        <v>29</v>
      </c>
      <c r="E1786" s="3" t="s">
        <v>41</v>
      </c>
      <c r="F1786" s="3" t="s">
        <v>33</v>
      </c>
      <c r="G1786" s="0" t="n">
        <v>24</v>
      </c>
      <c r="H1786" s="4" t="n">
        <v>214.46</v>
      </c>
      <c r="I1786" s="4" t="n">
        <v>158.6</v>
      </c>
      <c r="J1786" s="4" t="n">
        <f aca="false">G1786*H1786</f>
        <v>5147.04</v>
      </c>
      <c r="K1786" s="4" t="n">
        <f aca="false">G1786*I1786</f>
        <v>3806.4</v>
      </c>
      <c r="L1786" s="4" t="n">
        <f aca="false">J1786-K1786</f>
        <v>1340.64</v>
      </c>
    </row>
    <row r="1787" customFormat="false" ht="15" hidden="false" customHeight="false" outlineLevel="0" collapsed="false">
      <c r="A1787" s="0" t="n">
        <v>2092</v>
      </c>
      <c r="B1787" s="2" t="n">
        <v>46016</v>
      </c>
      <c r="C1787" s="3" t="s">
        <v>16</v>
      </c>
      <c r="D1787" s="3" t="s">
        <v>29</v>
      </c>
      <c r="E1787" s="3" t="s">
        <v>37</v>
      </c>
      <c r="F1787" s="3" t="s">
        <v>28</v>
      </c>
      <c r="G1787" s="0" t="n">
        <v>28</v>
      </c>
      <c r="H1787" s="4" t="n">
        <v>131.05</v>
      </c>
      <c r="I1787" s="4" t="n">
        <v>77.55</v>
      </c>
      <c r="J1787" s="4" t="n">
        <f aca="false">G1787*H1787</f>
        <v>3669.4</v>
      </c>
      <c r="K1787" s="4" t="n">
        <f aca="false">G1787*I1787</f>
        <v>2171.4</v>
      </c>
      <c r="L1787" s="4" t="n">
        <f aca="false">J1787-K1787</f>
        <v>1498</v>
      </c>
    </row>
    <row r="1788" customFormat="false" ht="15" hidden="false" customHeight="false" outlineLevel="0" collapsed="false">
      <c r="A1788" s="0" t="n">
        <v>2191</v>
      </c>
      <c r="B1788" s="2" t="n">
        <v>46016</v>
      </c>
      <c r="C1788" s="3" t="s">
        <v>23</v>
      </c>
      <c r="D1788" s="3" t="s">
        <v>29</v>
      </c>
      <c r="E1788" s="3" t="s">
        <v>43</v>
      </c>
      <c r="F1788" s="3" t="s">
        <v>28</v>
      </c>
      <c r="G1788" s="0" t="n">
        <v>24</v>
      </c>
      <c r="H1788" s="4" t="n">
        <v>215.56</v>
      </c>
      <c r="I1788" s="4" t="n">
        <v>139.14</v>
      </c>
      <c r="J1788" s="4" t="n">
        <f aca="false">G1788*H1788</f>
        <v>5173.44</v>
      </c>
      <c r="K1788" s="4" t="n">
        <f aca="false">G1788*I1788</f>
        <v>3339.36</v>
      </c>
      <c r="L1788" s="4" t="n">
        <f aca="false">J1788-K1788</f>
        <v>1834.08</v>
      </c>
    </row>
    <row r="1789" customFormat="false" ht="15" hidden="false" customHeight="false" outlineLevel="0" collapsed="false">
      <c r="A1789" s="0" t="n">
        <v>2383</v>
      </c>
      <c r="B1789" s="2" t="n">
        <v>46016</v>
      </c>
      <c r="C1789" s="3" t="s">
        <v>23</v>
      </c>
      <c r="D1789" s="3" t="s">
        <v>29</v>
      </c>
      <c r="E1789" s="3" t="s">
        <v>37</v>
      </c>
      <c r="F1789" s="3" t="s">
        <v>22</v>
      </c>
      <c r="G1789" s="0" t="n">
        <v>11</v>
      </c>
      <c r="H1789" s="4" t="n">
        <v>284.5</v>
      </c>
      <c r="I1789" s="4" t="n">
        <v>152.79</v>
      </c>
      <c r="J1789" s="4" t="n">
        <f aca="false">G1789*H1789</f>
        <v>3129.5</v>
      </c>
      <c r="K1789" s="4" t="n">
        <f aca="false">G1789*I1789</f>
        <v>1680.69</v>
      </c>
      <c r="L1789" s="4" t="n">
        <f aca="false">J1789-K1789</f>
        <v>1448.81</v>
      </c>
    </row>
    <row r="1790" customFormat="false" ht="15" hidden="false" customHeight="false" outlineLevel="0" collapsed="false">
      <c r="A1790" s="0" t="n">
        <v>2535</v>
      </c>
      <c r="B1790" s="2" t="n">
        <v>46016</v>
      </c>
      <c r="C1790" s="3" t="s">
        <v>16</v>
      </c>
      <c r="D1790" s="3" t="s">
        <v>17</v>
      </c>
      <c r="E1790" s="3" t="s">
        <v>44</v>
      </c>
      <c r="F1790" s="3" t="s">
        <v>39</v>
      </c>
      <c r="G1790" s="0" t="n">
        <v>5</v>
      </c>
      <c r="H1790" s="4" t="n">
        <v>166.09</v>
      </c>
      <c r="I1790" s="4" t="n">
        <v>109.08</v>
      </c>
      <c r="J1790" s="4" t="n">
        <f aca="false">G1790*H1790</f>
        <v>830.45</v>
      </c>
      <c r="K1790" s="4" t="n">
        <f aca="false">G1790*I1790</f>
        <v>545.4</v>
      </c>
      <c r="L1790" s="4" t="n">
        <f aca="false">J1790-K1790</f>
        <v>285.05</v>
      </c>
    </row>
    <row r="1791" customFormat="false" ht="15" hidden="false" customHeight="false" outlineLevel="0" collapsed="false">
      <c r="A1791" s="0" t="n">
        <v>1324</v>
      </c>
      <c r="B1791" s="2" t="n">
        <v>46017</v>
      </c>
      <c r="C1791" s="3" t="s">
        <v>16</v>
      </c>
      <c r="D1791" s="3" t="s">
        <v>13</v>
      </c>
      <c r="E1791" s="3" t="s">
        <v>31</v>
      </c>
      <c r="F1791" s="3" t="s">
        <v>39</v>
      </c>
      <c r="G1791" s="0" t="n">
        <v>35</v>
      </c>
      <c r="H1791" s="4" t="n">
        <v>30.12</v>
      </c>
      <c r="I1791" s="4" t="n">
        <v>17.32</v>
      </c>
      <c r="J1791" s="4" t="n">
        <f aca="false">G1791*H1791</f>
        <v>1054.2</v>
      </c>
      <c r="K1791" s="4" t="n">
        <f aca="false">G1791*I1791</f>
        <v>606.2</v>
      </c>
      <c r="L1791" s="4" t="n">
        <f aca="false">J1791-K1791</f>
        <v>448</v>
      </c>
    </row>
    <row r="1792" customFormat="false" ht="15" hidden="false" customHeight="false" outlineLevel="0" collapsed="false">
      <c r="A1792" s="0" t="n">
        <v>1857</v>
      </c>
      <c r="B1792" s="2" t="n">
        <v>46017</v>
      </c>
      <c r="C1792" s="3" t="s">
        <v>32</v>
      </c>
      <c r="D1792" s="3" t="s">
        <v>17</v>
      </c>
      <c r="E1792" s="3" t="s">
        <v>44</v>
      </c>
      <c r="F1792" s="3" t="s">
        <v>39</v>
      </c>
      <c r="G1792" s="0" t="n">
        <v>3</v>
      </c>
      <c r="H1792" s="4" t="n">
        <v>508.2</v>
      </c>
      <c r="I1792" s="4" t="n">
        <v>289.39</v>
      </c>
      <c r="J1792" s="4" t="n">
        <f aca="false">G1792*H1792</f>
        <v>1524.6</v>
      </c>
      <c r="K1792" s="4" t="n">
        <f aca="false">G1792*I1792</f>
        <v>868.17</v>
      </c>
      <c r="L1792" s="4" t="n">
        <f aca="false">J1792-K1792</f>
        <v>656.43</v>
      </c>
    </row>
    <row r="1793" customFormat="false" ht="15" hidden="false" customHeight="false" outlineLevel="0" collapsed="false">
      <c r="A1793" s="0" t="n">
        <v>2049</v>
      </c>
      <c r="B1793" s="2" t="n">
        <v>46017</v>
      </c>
      <c r="C1793" s="3" t="s">
        <v>23</v>
      </c>
      <c r="D1793" s="3" t="s">
        <v>17</v>
      </c>
      <c r="E1793" s="3" t="s">
        <v>27</v>
      </c>
      <c r="F1793" s="3" t="s">
        <v>36</v>
      </c>
      <c r="G1793" s="0" t="n">
        <v>5</v>
      </c>
      <c r="H1793" s="4" t="n">
        <v>375.58</v>
      </c>
      <c r="I1793" s="4" t="n">
        <v>203.4</v>
      </c>
      <c r="J1793" s="4" t="n">
        <f aca="false">G1793*H1793</f>
        <v>1877.9</v>
      </c>
      <c r="K1793" s="4" t="n">
        <f aca="false">G1793*I1793</f>
        <v>1017</v>
      </c>
      <c r="L1793" s="4" t="n">
        <f aca="false">J1793-K1793</f>
        <v>860.9</v>
      </c>
    </row>
    <row r="1794" customFormat="false" ht="15" hidden="false" customHeight="false" outlineLevel="0" collapsed="false">
      <c r="A1794" s="0" t="n">
        <v>2271</v>
      </c>
      <c r="B1794" s="2" t="n">
        <v>46017</v>
      </c>
      <c r="C1794" s="3" t="s">
        <v>16</v>
      </c>
      <c r="D1794" s="3" t="s">
        <v>13</v>
      </c>
      <c r="E1794" s="3" t="s">
        <v>24</v>
      </c>
      <c r="F1794" s="3" t="s">
        <v>28</v>
      </c>
      <c r="G1794" s="0" t="n">
        <v>37</v>
      </c>
      <c r="H1794" s="4" t="n">
        <v>4.11</v>
      </c>
      <c r="I1794" s="4" t="n">
        <v>2.83</v>
      </c>
      <c r="J1794" s="4" t="n">
        <f aca="false">G1794*H1794</f>
        <v>152.07</v>
      </c>
      <c r="K1794" s="4" t="n">
        <f aca="false">G1794*I1794</f>
        <v>104.71</v>
      </c>
      <c r="L1794" s="4" t="n">
        <f aca="false">J1794-K1794</f>
        <v>47.36</v>
      </c>
    </row>
    <row r="1795" customFormat="false" ht="15" hidden="false" customHeight="false" outlineLevel="0" collapsed="false">
      <c r="A1795" s="0" t="n">
        <v>1363</v>
      </c>
      <c r="B1795" s="2" t="n">
        <v>46018</v>
      </c>
      <c r="C1795" s="3" t="s">
        <v>32</v>
      </c>
      <c r="D1795" s="3" t="s">
        <v>13</v>
      </c>
      <c r="E1795" s="3" t="s">
        <v>24</v>
      </c>
      <c r="F1795" s="3" t="s">
        <v>15</v>
      </c>
      <c r="G1795" s="0" t="n">
        <v>29</v>
      </c>
      <c r="H1795" s="4" t="n">
        <v>41.91</v>
      </c>
      <c r="I1795" s="4" t="n">
        <v>26.34</v>
      </c>
      <c r="J1795" s="4" t="n">
        <f aca="false">G1795*H1795</f>
        <v>1215.39</v>
      </c>
      <c r="K1795" s="4" t="n">
        <f aca="false">G1795*I1795</f>
        <v>763.86</v>
      </c>
      <c r="L1795" s="4" t="n">
        <f aca="false">J1795-K1795</f>
        <v>451.53</v>
      </c>
    </row>
    <row r="1796" customFormat="false" ht="15" hidden="false" customHeight="false" outlineLevel="0" collapsed="false">
      <c r="A1796" s="0" t="n">
        <v>2655</v>
      </c>
      <c r="B1796" s="2" t="n">
        <v>46019</v>
      </c>
      <c r="C1796" s="3" t="s">
        <v>16</v>
      </c>
      <c r="D1796" s="3" t="s">
        <v>17</v>
      </c>
      <c r="E1796" s="3" t="s">
        <v>27</v>
      </c>
      <c r="F1796" s="3" t="s">
        <v>25</v>
      </c>
      <c r="G1796" s="0" t="n">
        <v>26</v>
      </c>
      <c r="H1796" s="4" t="n">
        <v>244.43</v>
      </c>
      <c r="I1796" s="4" t="n">
        <v>125.44</v>
      </c>
      <c r="J1796" s="4" t="n">
        <f aca="false">G1796*H1796</f>
        <v>6355.18</v>
      </c>
      <c r="K1796" s="4" t="n">
        <f aca="false">G1796*I1796</f>
        <v>3261.44</v>
      </c>
      <c r="L1796" s="4" t="n">
        <f aca="false">J1796-K1796</f>
        <v>3093.74</v>
      </c>
    </row>
    <row r="1797" customFormat="false" ht="15" hidden="false" customHeight="false" outlineLevel="0" collapsed="false">
      <c r="A1797" s="0" t="n">
        <v>2775</v>
      </c>
      <c r="B1797" s="2" t="n">
        <v>46019</v>
      </c>
      <c r="C1797" s="3" t="s">
        <v>12</v>
      </c>
      <c r="D1797" s="3" t="s">
        <v>29</v>
      </c>
      <c r="E1797" s="3" t="s">
        <v>41</v>
      </c>
      <c r="F1797" s="3" t="s">
        <v>22</v>
      </c>
      <c r="G1797" s="0" t="n">
        <v>10</v>
      </c>
      <c r="H1797" s="4" t="n">
        <v>351.59</v>
      </c>
      <c r="I1797" s="4" t="n">
        <v>214.31</v>
      </c>
      <c r="J1797" s="4" t="n">
        <f aca="false">G1797*H1797</f>
        <v>3515.9</v>
      </c>
      <c r="K1797" s="4" t="n">
        <f aca="false">G1797*I1797</f>
        <v>2143.1</v>
      </c>
      <c r="L1797" s="4" t="n">
        <f aca="false">J1797-K1797</f>
        <v>1372.8</v>
      </c>
    </row>
    <row r="1798" customFormat="false" ht="15" hidden="false" customHeight="false" outlineLevel="0" collapsed="false">
      <c r="A1798" s="0" t="n">
        <v>1061</v>
      </c>
      <c r="B1798" s="2" t="n">
        <v>46020</v>
      </c>
      <c r="C1798" s="3" t="s">
        <v>23</v>
      </c>
      <c r="D1798" s="3" t="s">
        <v>20</v>
      </c>
      <c r="E1798" s="3" t="s">
        <v>42</v>
      </c>
      <c r="F1798" s="3" t="s">
        <v>25</v>
      </c>
      <c r="G1798" s="0" t="n">
        <v>19</v>
      </c>
      <c r="H1798" s="4" t="n">
        <v>182.84</v>
      </c>
      <c r="I1798" s="4" t="n">
        <v>113.05</v>
      </c>
      <c r="J1798" s="4" t="n">
        <f aca="false">G1798*H1798</f>
        <v>3473.96</v>
      </c>
      <c r="K1798" s="4" t="n">
        <f aca="false">G1798*I1798</f>
        <v>2147.95</v>
      </c>
      <c r="L1798" s="4" t="n">
        <f aca="false">J1798-K1798</f>
        <v>1326.01</v>
      </c>
    </row>
    <row r="1799" customFormat="false" ht="15" hidden="false" customHeight="false" outlineLevel="0" collapsed="false">
      <c r="A1799" s="0" t="n">
        <v>1275</v>
      </c>
      <c r="B1799" s="2" t="n">
        <v>46020</v>
      </c>
      <c r="C1799" s="3" t="s">
        <v>32</v>
      </c>
      <c r="D1799" s="3" t="s">
        <v>17</v>
      </c>
      <c r="E1799" s="3" t="s">
        <v>27</v>
      </c>
      <c r="F1799" s="3" t="s">
        <v>39</v>
      </c>
      <c r="G1799" s="0" t="n">
        <v>34</v>
      </c>
      <c r="H1799" s="4" t="n">
        <v>406.97</v>
      </c>
      <c r="I1799" s="4" t="n">
        <v>262.57</v>
      </c>
      <c r="J1799" s="4" t="n">
        <f aca="false">G1799*H1799</f>
        <v>13836.98</v>
      </c>
      <c r="K1799" s="4" t="n">
        <f aca="false">G1799*I1799</f>
        <v>8927.38</v>
      </c>
      <c r="L1799" s="4" t="n">
        <f aca="false">J1799-K1799</f>
        <v>4909.6</v>
      </c>
    </row>
    <row r="1800" customFormat="false" ht="15" hidden="false" customHeight="false" outlineLevel="0" collapsed="false">
      <c r="A1800" s="0" t="n">
        <v>1737</v>
      </c>
      <c r="B1800" s="2" t="n">
        <v>46020</v>
      </c>
      <c r="C1800" s="3" t="s">
        <v>26</v>
      </c>
      <c r="D1800" s="3" t="s">
        <v>17</v>
      </c>
      <c r="E1800" s="3" t="s">
        <v>44</v>
      </c>
      <c r="F1800" s="3" t="s">
        <v>19</v>
      </c>
      <c r="G1800" s="0" t="n">
        <v>13</v>
      </c>
      <c r="H1800" s="4" t="n">
        <v>221.01</v>
      </c>
      <c r="I1800" s="4" t="n">
        <v>164.49</v>
      </c>
      <c r="J1800" s="4" t="n">
        <f aca="false">G1800*H1800</f>
        <v>2873.13</v>
      </c>
      <c r="K1800" s="4" t="n">
        <f aca="false">G1800*I1800</f>
        <v>2138.37</v>
      </c>
      <c r="L1800" s="4" t="n">
        <f aca="false">J1800-K1800</f>
        <v>734.76</v>
      </c>
    </row>
    <row r="1801" customFormat="false" ht="15" hidden="false" customHeight="false" outlineLevel="0" collapsed="false">
      <c r="A1801" s="0" t="n">
        <v>1890</v>
      </c>
      <c r="B1801" s="2" t="n">
        <v>46021</v>
      </c>
      <c r="C1801" s="3" t="s">
        <v>23</v>
      </c>
      <c r="D1801" s="3" t="s">
        <v>13</v>
      </c>
      <c r="E1801" s="3" t="s">
        <v>24</v>
      </c>
      <c r="F1801" s="3" t="s">
        <v>25</v>
      </c>
      <c r="G1801" s="0" t="n">
        <v>10</v>
      </c>
      <c r="H1801" s="4" t="n">
        <v>59.68</v>
      </c>
      <c r="I1801" s="4" t="n">
        <v>41.27</v>
      </c>
      <c r="J1801" s="4" t="n">
        <f aca="false">G1801*H1801</f>
        <v>596.8</v>
      </c>
      <c r="K1801" s="4" t="n">
        <f aca="false">G1801*I1801</f>
        <v>412.7</v>
      </c>
      <c r="L1801" s="4" t="n">
        <f aca="false">J1801-K1801</f>
        <v>184.1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5" min="4" style="0" width="12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5" t="s">
        <v>47</v>
      </c>
    </row>
    <row r="3" customFormat="false" ht="15" hidden="false" customHeight="false" outlineLevel="0" collapsed="false">
      <c r="A3" s="6" t="s">
        <v>48</v>
      </c>
      <c r="B3" s="7" t="n">
        <f aca="false">SUM(RawData!J2:J1801)</f>
        <v>8750568.09</v>
      </c>
      <c r="D3" s="6" t="s">
        <v>49</v>
      </c>
      <c r="G3" s="6" t="s">
        <v>50</v>
      </c>
    </row>
    <row r="4" customFormat="false" ht="15" hidden="false" customHeight="false" outlineLevel="0" collapsed="false">
      <c r="A4" s="6" t="s">
        <v>51</v>
      </c>
      <c r="B4" s="7" t="n">
        <f aca="false">SUM(RawData!K2:K1801)</f>
        <v>5490849.6</v>
      </c>
      <c r="D4" s="3" t="s">
        <v>2</v>
      </c>
      <c r="E4" s="3" t="s">
        <v>9</v>
      </c>
      <c r="G4" s="3" t="s">
        <v>3</v>
      </c>
      <c r="H4" s="3" t="s">
        <v>9</v>
      </c>
    </row>
    <row r="5" customFormat="false" ht="15" hidden="false" customHeight="false" outlineLevel="0" collapsed="false">
      <c r="A5" s="6" t="s">
        <v>52</v>
      </c>
      <c r="B5" s="7" t="n">
        <f aca="false">SUM(RawData!L2:L1801)</f>
        <v>3259718.49</v>
      </c>
      <c r="D5" s="3" t="s">
        <v>26</v>
      </c>
      <c r="E5" s="7" t="n">
        <f aca="false">SUMIFS(RawData!J2:J1801,RawData!C2:C1801,D5)</f>
        <v>1740461.19</v>
      </c>
      <c r="G5" s="3" t="s">
        <v>17</v>
      </c>
      <c r="H5" s="7" t="n">
        <f aca="false">SUMIFS(RawData!J2:J1801,RawData!D2:D1801,G5)</f>
        <v>4723244.01</v>
      </c>
    </row>
    <row r="6" customFormat="false" ht="15" hidden="false" customHeight="false" outlineLevel="0" collapsed="false">
      <c r="A6" s="6" t="s">
        <v>53</v>
      </c>
      <c r="B6" s="8" t="n">
        <f aca="false">SUM(RawData!G2:G1801)</f>
        <v>36246</v>
      </c>
      <c r="D6" s="3" t="s">
        <v>12</v>
      </c>
      <c r="E6" s="7" t="n">
        <f aca="false">SUMIFS(RawData!J2:J1801,RawData!C2:C1801,D6)</f>
        <v>1643027.16</v>
      </c>
      <c r="G6" s="3" t="s">
        <v>13</v>
      </c>
      <c r="H6" s="7" t="n">
        <f aca="false">SUMIFS(RawData!J2:J1801,RawData!D2:D1801,G6)</f>
        <v>305412.35</v>
      </c>
    </row>
    <row r="7" customFormat="false" ht="15" hidden="false" customHeight="false" outlineLevel="0" collapsed="false">
      <c r="A7" s="6" t="s">
        <v>54</v>
      </c>
      <c r="B7" s="4" t="n">
        <f aca="false">AVERAGE(RawData!J2:J1801)</f>
        <v>4861.42671666667</v>
      </c>
      <c r="D7" s="3" t="s">
        <v>32</v>
      </c>
      <c r="E7" s="7" t="n">
        <f aca="false">SUMIFS(RawData!J2:J1801,RawData!C2:C1801,D7)</f>
        <v>1887620.11</v>
      </c>
      <c r="G7" s="3" t="s">
        <v>29</v>
      </c>
      <c r="H7" s="7" t="n">
        <f aca="false">SUMIFS(RawData!J2:J1801,RawData!D2:D1801,G7)</f>
        <v>2351448.01</v>
      </c>
    </row>
    <row r="8" customFormat="false" ht="15" hidden="false" customHeight="false" outlineLevel="0" collapsed="false">
      <c r="D8" s="0" t="s">
        <v>23</v>
      </c>
      <c r="E8" s="7" t="n">
        <f aca="false">SUMIFS(RawData!J2:J1801,RawData!C2:C1801,D8)</f>
        <v>1684930.47</v>
      </c>
      <c r="G8" s="3" t="s">
        <v>20</v>
      </c>
      <c r="H8" s="7" t="n">
        <f aca="false">SUMIFS(RawData!J2:J1801,RawData!D2:D1801,G8)</f>
        <v>1370463.72</v>
      </c>
    </row>
    <row r="9" customFormat="false" ht="15" hidden="false" customHeight="false" outlineLevel="0" collapsed="false">
      <c r="D9" s="0" t="s">
        <v>16</v>
      </c>
      <c r="E9" s="7" t="n">
        <f aca="false">SUMIFS(RawData!J2:J1801,RawData!C2:C1801,D9)</f>
        <v>1794529.16</v>
      </c>
    </row>
    <row r="10" customFormat="false" ht="15" hidden="false" customHeight="false" outlineLevel="0" collapsed="false">
      <c r="A10" s="6" t="s">
        <v>55</v>
      </c>
    </row>
    <row r="11" customFormat="false" ht="15" hidden="false" customHeight="false" outlineLevel="0" collapsed="false">
      <c r="A11" s="0" t="s">
        <v>56</v>
      </c>
      <c r="B11" s="0" t="s">
        <v>9</v>
      </c>
    </row>
    <row r="12" customFormat="false" ht="15" hidden="false" customHeight="false" outlineLevel="0" collapsed="false">
      <c r="A12" s="9" t="n">
        <v>45292</v>
      </c>
      <c r="B12" s="7" t="n">
        <f aca="false">SUMIFS(RawData!J2:J1801,RawData!B2:B1801,"&gt;="&amp;A12,RawData!B2:B1801,"&lt;"&amp;DATE(2024,2,1))</f>
        <v>306407.09</v>
      </c>
    </row>
    <row r="13" customFormat="false" ht="15" hidden="false" customHeight="false" outlineLevel="0" collapsed="false">
      <c r="A13" s="9" t="n">
        <v>45323</v>
      </c>
      <c r="B13" s="7" t="n">
        <f aca="false">SUMIFS(RawData!J2:J1801,RawData!B2:B1801,"&gt;="&amp;A13,RawData!B2:B1801,"&lt;"&amp;DATE(2024,3,1))</f>
        <v>320074.03</v>
      </c>
    </row>
    <row r="14" customFormat="false" ht="15" hidden="false" customHeight="false" outlineLevel="0" collapsed="false">
      <c r="A14" s="9" t="n">
        <v>45352</v>
      </c>
      <c r="B14" s="7" t="n">
        <f aca="false">SUMIFS(RawData!J2:J1801,RawData!B2:B1801,"&gt;="&amp;A14,RawData!B2:B1801,"&lt;"&amp;DATE(2024,4,1))</f>
        <v>364245</v>
      </c>
    </row>
    <row r="15" customFormat="false" ht="15" hidden="false" customHeight="false" outlineLevel="0" collapsed="false">
      <c r="A15" s="9" t="n">
        <v>45383</v>
      </c>
      <c r="B15" s="7" t="n">
        <f aca="false">SUMIFS(RawData!J2:J1801,RawData!B2:B1801,"&gt;="&amp;A15,RawData!B2:B1801,"&lt;"&amp;DATE(2024,5,1))</f>
        <v>330352.21</v>
      </c>
    </row>
    <row r="16" customFormat="false" ht="15" hidden="false" customHeight="false" outlineLevel="0" collapsed="false">
      <c r="A16" s="9" t="n">
        <v>45413</v>
      </c>
      <c r="B16" s="7" t="n">
        <f aca="false">SUMIFS(RawData!J2:J1801,RawData!B2:B1801,"&gt;="&amp;A16,RawData!B2:B1801,"&lt;"&amp;DATE(2024,6,1))</f>
        <v>426742.24</v>
      </c>
    </row>
    <row r="17" customFormat="false" ht="15" hidden="false" customHeight="false" outlineLevel="0" collapsed="false">
      <c r="A17" s="9" t="n">
        <v>45444</v>
      </c>
      <c r="B17" s="7" t="n">
        <f aca="false">SUMIFS(RawData!J2:J1801,RawData!B2:B1801,"&gt;="&amp;A17,RawData!B2:B1801,"&lt;"&amp;DATE(2024,7,1))</f>
        <v>288886.42</v>
      </c>
    </row>
    <row r="18" customFormat="false" ht="15" hidden="false" customHeight="false" outlineLevel="0" collapsed="false">
      <c r="A18" s="9" t="n">
        <v>45474</v>
      </c>
      <c r="B18" s="7" t="n">
        <f aca="false">SUMIFS(RawData!J2:J1801,RawData!B2:B1801,"&gt;="&amp;A18,RawData!B2:B1801,"&lt;"&amp;DATE(2024,8,1))</f>
        <v>345366.98</v>
      </c>
    </row>
    <row r="19" customFormat="false" ht="15" hidden="false" customHeight="false" outlineLevel="0" collapsed="false">
      <c r="A19" s="9" t="n">
        <v>45505</v>
      </c>
      <c r="B19" s="7" t="n">
        <f aca="false">SUMIFS(RawData!J2:J1801,RawData!B2:B1801,"&gt;="&amp;A19,RawData!B2:B1801,"&lt;"&amp;DATE(2024,9,1))</f>
        <v>351174.53</v>
      </c>
    </row>
    <row r="20" customFormat="false" ht="15" hidden="false" customHeight="false" outlineLevel="0" collapsed="false">
      <c r="A20" s="9" t="n">
        <v>45536</v>
      </c>
      <c r="B20" s="7" t="n">
        <f aca="false">SUMIFS(RawData!J2:J1801,RawData!B2:B1801,"&gt;="&amp;A20,RawData!B2:B1801,"&lt;"&amp;DATE(2024,10,1))</f>
        <v>318550.88</v>
      </c>
    </row>
    <row r="21" customFormat="false" ht="15" hidden="false" customHeight="false" outlineLevel="0" collapsed="false">
      <c r="A21" s="9" t="n">
        <v>45566</v>
      </c>
      <c r="B21" s="7" t="n">
        <f aca="false">SUMIFS(RawData!J2:J1801,RawData!B2:B1801,"&gt;="&amp;A21,RawData!B2:B1801,"&lt;"&amp;DATE(2024,11,1))</f>
        <v>389142.62</v>
      </c>
    </row>
    <row r="22" customFormat="false" ht="15" hidden="false" customHeight="false" outlineLevel="0" collapsed="false">
      <c r="A22" s="9" t="n">
        <v>45597</v>
      </c>
      <c r="B22" s="7" t="n">
        <f aca="false">SUMIFS(RawData!J2:J1801,RawData!B2:B1801,"&gt;="&amp;A22,RawData!B2:B1801,"&lt;"&amp;DATE(2024,12,1))</f>
        <v>301129.51</v>
      </c>
    </row>
    <row r="23" customFormat="false" ht="15" hidden="false" customHeight="false" outlineLevel="0" collapsed="false">
      <c r="A23" s="9" t="n">
        <v>45627</v>
      </c>
      <c r="B23" s="7" t="n">
        <f aca="false">SUMIFS(RawData!J2:J1801,RawData!B2:B1801,"&gt;="&amp;A23,RawData!B2:B1801,"&lt;"&amp;DATE(2025,1,1))</f>
        <v>300540.5</v>
      </c>
    </row>
    <row r="24" customFormat="false" ht="15" hidden="false" customHeight="false" outlineLevel="0" collapsed="false">
      <c r="A24" s="9" t="n">
        <v>45658</v>
      </c>
      <c r="B24" s="7" t="n">
        <f aca="false">SUMIFS(RawData!J2:J1801,RawData!B2:B1801,"&gt;="&amp;A24,RawData!B2:B1801,"&lt;"&amp;DATE(2025,2,1))</f>
        <v>330304.39</v>
      </c>
    </row>
    <row r="25" customFormat="false" ht="15" hidden="false" customHeight="false" outlineLevel="0" collapsed="false">
      <c r="A25" s="9" t="n">
        <v>45689</v>
      </c>
      <c r="B25" s="7" t="n">
        <f aca="false">SUMIFS(RawData!J2:J1801,RawData!B2:B1801,"&gt;="&amp;A25,RawData!B2:B1801,"&lt;"&amp;DATE(2025,3,1))</f>
        <v>388389.91</v>
      </c>
    </row>
    <row r="26" customFormat="false" ht="15" hidden="false" customHeight="false" outlineLevel="0" collapsed="false">
      <c r="A26" s="9" t="n">
        <v>45717</v>
      </c>
      <c r="B26" s="7" t="n">
        <f aca="false">SUMIFS(RawData!J2:J1801,RawData!B2:B1801,"&gt;="&amp;A26,RawData!B2:B1801,"&lt;"&amp;DATE(2025,4,1))</f>
        <v>340423.4</v>
      </c>
    </row>
    <row r="27" customFormat="false" ht="15" hidden="false" customHeight="false" outlineLevel="0" collapsed="false">
      <c r="A27" s="9" t="n">
        <v>45748</v>
      </c>
      <c r="B27" s="7" t="n">
        <f aca="false">SUMIFS(RawData!J2:J1801,RawData!B2:B1801,"&gt;="&amp;A27,RawData!B2:B1801,"&lt;"&amp;DATE(2025,5,1))</f>
        <v>298092.51</v>
      </c>
    </row>
    <row r="28" customFormat="false" ht="15" hidden="false" customHeight="false" outlineLevel="0" collapsed="false">
      <c r="A28" s="9" t="n">
        <v>45778</v>
      </c>
      <c r="B28" s="7" t="n">
        <f aca="false">SUMIFS(RawData!J2:J1801,RawData!B2:B1801,"&gt;="&amp;A28,RawData!B2:B1801,"&lt;"&amp;DATE(2025,6,1))</f>
        <v>305462.26</v>
      </c>
    </row>
    <row r="29" customFormat="false" ht="15" hidden="false" customHeight="false" outlineLevel="0" collapsed="false">
      <c r="A29" s="9" t="n">
        <v>45809</v>
      </c>
      <c r="B29" s="7" t="n">
        <f aca="false">SUMIFS(RawData!J2:J1801,RawData!B2:B1801,"&gt;="&amp;A29,RawData!B2:B1801,"&lt;"&amp;DATE(2025,7,1))</f>
        <v>455287.67</v>
      </c>
    </row>
    <row r="30" customFormat="false" ht="15" hidden="false" customHeight="false" outlineLevel="0" collapsed="false">
      <c r="A30" s="9" t="n">
        <v>45839</v>
      </c>
      <c r="B30" s="7" t="n">
        <f aca="false">SUMIFS(RawData!J2:J1801,RawData!B2:B1801,"&gt;="&amp;A30,RawData!B2:B1801,"&lt;"&amp;DATE(2025,8,1))</f>
        <v>528540.75</v>
      </c>
    </row>
    <row r="31" customFormat="false" ht="15" hidden="false" customHeight="false" outlineLevel="0" collapsed="false">
      <c r="A31" s="9" t="n">
        <v>45870</v>
      </c>
      <c r="B31" s="7" t="n">
        <f aca="false">SUMIFS(RawData!J2:J1801,RawData!B2:B1801,"&gt;="&amp;A31,RawData!B2:B1801,"&lt;"&amp;DATE(2025,9,1))</f>
        <v>441181.81</v>
      </c>
    </row>
    <row r="32" customFormat="false" ht="15" hidden="false" customHeight="false" outlineLevel="0" collapsed="false">
      <c r="A32" s="9" t="n">
        <v>45901</v>
      </c>
      <c r="B32" s="7" t="n">
        <f aca="false">SUMIFS(RawData!J2:J1801,RawData!B2:B1801,"&gt;="&amp;A32,RawData!B2:B1801,"&lt;"&amp;DATE(2025,10,1))</f>
        <v>384406.53</v>
      </c>
    </row>
    <row r="33" customFormat="false" ht="15" hidden="false" customHeight="false" outlineLevel="0" collapsed="false">
      <c r="A33" s="9" t="n">
        <v>45931</v>
      </c>
      <c r="B33" s="7" t="n">
        <f aca="false">SUMIFS(RawData!J2:J1801,RawData!B2:B1801,"&gt;="&amp;A33,RawData!B2:B1801,"&lt;"&amp;DATE(2025,11,1))</f>
        <v>513375.26</v>
      </c>
    </row>
    <row r="34" customFormat="false" ht="15" hidden="false" customHeight="false" outlineLevel="0" collapsed="false">
      <c r="A34" s="9" t="n">
        <v>45962</v>
      </c>
      <c r="B34" s="7" t="n">
        <f aca="false">SUMIFS(RawData!J2:J1801,RawData!B2:B1801,"&gt;="&amp;A34,RawData!B2:B1801,"&lt;"&amp;DATE(2025,12,1))</f>
        <v>357682.19</v>
      </c>
    </row>
    <row r="35" customFormat="false" ht="15" hidden="false" customHeight="false" outlineLevel="0" collapsed="false">
      <c r="A35" s="9" t="n">
        <v>45992</v>
      </c>
      <c r="B35" s="7" t="n">
        <f aca="false">SUMIFS(RawData!J2:J1801,RawData!B2:B1801,"&gt;="&amp;A35,RawData!B2:B1801,"&lt;"&amp;DATE(2026,1,1))</f>
        <v>364809.4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2026-09-15T08:36:38Z</dcterms:created>
  <dc:creator>openpyxl</dc:creator>
  <dc:description/>
  <dc:language>en-US</dc:language>
  <cp:lastModifiedBy/>
  <dcterms:modified xsi:type="dcterms:W3CDTF">2026-09-15T08:36:47Z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