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6922a0383785961/Desktop/excel-sales-dashboard/"/>
    </mc:Choice>
  </mc:AlternateContent>
  <xr:revisionPtr revIDLastSave="0" documentId="8_{9148A9E7-A4D3-431F-A1DF-D9996167BF5C}" xr6:coauthVersionLast="47" xr6:coauthVersionMax="47" xr10:uidLastSave="{00000000-0000-0000-0000-000000000000}"/>
  <bookViews>
    <workbookView xWindow="-108" yWindow="-108" windowWidth="23256" windowHeight="12456" tabRatio="500" xr2:uid="{00000000-000D-0000-FFFF-FFFF00000000}"/>
  </bookViews>
  <sheets>
    <sheet name="PivotTable Dashboard" sheetId="3" r:id="rId1"/>
    <sheet name="RawData" sheetId="1" r:id="rId2"/>
    <sheet name="Summary" sheetId="2" r:id="rId3"/>
  </sheets>
  <definedNames>
    <definedName name="Slicer_Category">#N/A</definedName>
    <definedName name="Slicer_Region">#N/A</definedName>
    <definedName name="Slicer_Salesperson">#N/A</definedName>
  </definedNames>
  <calcPr calcId="191029" iterateDelta="1E-4"/>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B6" i="2" l="1"/>
  <c r="K1801" i="1"/>
  <c r="J1801" i="1"/>
  <c r="L1801" i="1" s="1"/>
  <c r="L1800" i="1"/>
  <c r="K1800" i="1"/>
  <c r="J1800" i="1"/>
  <c r="K1799" i="1"/>
  <c r="J1799" i="1"/>
  <c r="L1799" i="1" s="1"/>
  <c r="K1798" i="1"/>
  <c r="J1798" i="1"/>
  <c r="L1798" i="1" s="1"/>
  <c r="K1797" i="1"/>
  <c r="L1797" i="1" s="1"/>
  <c r="J1797" i="1"/>
  <c r="K1796" i="1"/>
  <c r="J1796" i="1"/>
  <c r="L1796" i="1" s="1"/>
  <c r="K1795" i="1"/>
  <c r="J1795" i="1"/>
  <c r="L1795" i="1" s="1"/>
  <c r="K1794" i="1"/>
  <c r="L1794" i="1" s="1"/>
  <c r="J1794" i="1"/>
  <c r="K1793" i="1"/>
  <c r="J1793" i="1"/>
  <c r="L1793" i="1" s="1"/>
  <c r="K1792" i="1"/>
  <c r="L1792" i="1" s="1"/>
  <c r="J1792" i="1"/>
  <c r="L1791" i="1"/>
  <c r="K1791" i="1"/>
  <c r="J1791" i="1"/>
  <c r="L1790" i="1"/>
  <c r="K1790" i="1"/>
  <c r="J1790" i="1"/>
  <c r="L1789" i="1"/>
  <c r="K1789" i="1"/>
  <c r="J1789" i="1"/>
  <c r="K1788" i="1"/>
  <c r="J1788" i="1"/>
  <c r="L1788" i="1" s="1"/>
  <c r="L1787" i="1"/>
  <c r="K1787" i="1"/>
  <c r="J1787" i="1"/>
  <c r="L1786" i="1"/>
  <c r="K1786" i="1"/>
  <c r="J1786" i="1"/>
  <c r="K1785" i="1"/>
  <c r="J1785" i="1"/>
  <c r="L1785" i="1" s="1"/>
  <c r="K1784" i="1"/>
  <c r="J1784" i="1"/>
  <c r="L1784" i="1" s="1"/>
  <c r="L1783" i="1"/>
  <c r="K1783" i="1"/>
  <c r="J1783" i="1"/>
  <c r="K1782" i="1"/>
  <c r="L1782" i="1" s="1"/>
  <c r="J1782" i="1"/>
  <c r="K1781" i="1"/>
  <c r="L1781" i="1" s="1"/>
  <c r="J1781" i="1"/>
  <c r="K1780" i="1"/>
  <c r="J1780" i="1"/>
  <c r="L1780" i="1" s="1"/>
  <c r="K1779" i="1"/>
  <c r="L1779" i="1" s="1"/>
  <c r="J1779" i="1"/>
  <c r="K1778" i="1"/>
  <c r="L1778" i="1" s="1"/>
  <c r="J1778" i="1"/>
  <c r="K1777" i="1"/>
  <c r="J1777" i="1"/>
  <c r="L1777" i="1" s="1"/>
  <c r="L1776" i="1"/>
  <c r="K1776" i="1"/>
  <c r="J1776" i="1"/>
  <c r="L1775" i="1"/>
  <c r="K1775" i="1"/>
  <c r="J1775" i="1"/>
  <c r="K1774" i="1"/>
  <c r="J1774" i="1"/>
  <c r="L1774" i="1" s="1"/>
  <c r="K1773" i="1"/>
  <c r="J1773" i="1"/>
  <c r="L1773" i="1" s="1"/>
  <c r="K1772" i="1"/>
  <c r="J1772" i="1"/>
  <c r="L1772" i="1" s="1"/>
  <c r="K1771" i="1"/>
  <c r="J1771" i="1"/>
  <c r="L1771" i="1" s="1"/>
  <c r="K1770" i="1"/>
  <c r="L1770" i="1" s="1"/>
  <c r="J1770" i="1"/>
  <c r="K1769" i="1"/>
  <c r="J1769" i="1"/>
  <c r="L1769" i="1" s="1"/>
  <c r="K1768" i="1"/>
  <c r="L1768" i="1" s="1"/>
  <c r="J1768" i="1"/>
  <c r="L1767" i="1"/>
  <c r="K1767" i="1"/>
  <c r="J1767" i="1"/>
  <c r="L1766" i="1"/>
  <c r="K1766" i="1"/>
  <c r="J1766" i="1"/>
  <c r="L1765" i="1"/>
  <c r="K1765" i="1"/>
  <c r="J1765" i="1"/>
  <c r="K1764" i="1"/>
  <c r="J1764" i="1"/>
  <c r="L1764" i="1" s="1"/>
  <c r="L1763" i="1"/>
  <c r="K1763" i="1"/>
  <c r="J1763" i="1"/>
  <c r="L1762" i="1"/>
  <c r="K1762" i="1"/>
  <c r="J1762" i="1"/>
  <c r="K1761" i="1"/>
  <c r="J1761" i="1"/>
  <c r="L1761" i="1" s="1"/>
  <c r="K1760" i="1"/>
  <c r="J1760" i="1"/>
  <c r="L1760" i="1" s="1"/>
  <c r="K1759" i="1"/>
  <c r="J1759" i="1"/>
  <c r="L1759" i="1" s="1"/>
  <c r="K1758" i="1"/>
  <c r="L1758" i="1" s="1"/>
  <c r="J1758" i="1"/>
  <c r="K1757" i="1"/>
  <c r="L1757" i="1" s="1"/>
  <c r="J1757" i="1"/>
  <c r="K1756" i="1"/>
  <c r="J1756" i="1"/>
  <c r="L1756" i="1" s="1"/>
  <c r="K1755" i="1"/>
  <c r="L1755" i="1" s="1"/>
  <c r="J1755" i="1"/>
  <c r="K1754" i="1"/>
  <c r="L1754" i="1" s="1"/>
  <c r="J1754" i="1"/>
  <c r="K1753" i="1"/>
  <c r="J1753" i="1"/>
  <c r="L1753" i="1" s="1"/>
  <c r="L1752" i="1"/>
  <c r="K1752" i="1"/>
  <c r="J1752" i="1"/>
  <c r="L1751" i="1"/>
  <c r="K1751" i="1"/>
  <c r="J1751" i="1"/>
  <c r="K1750" i="1"/>
  <c r="J1750" i="1"/>
  <c r="L1750" i="1" s="1"/>
  <c r="K1749" i="1"/>
  <c r="J1749" i="1"/>
  <c r="L1749" i="1" s="1"/>
  <c r="K1748" i="1"/>
  <c r="J1748" i="1"/>
  <c r="L1748" i="1" s="1"/>
  <c r="K1747" i="1"/>
  <c r="J1747" i="1"/>
  <c r="L1747" i="1" s="1"/>
  <c r="K1746" i="1"/>
  <c r="L1746" i="1" s="1"/>
  <c r="J1746" i="1"/>
  <c r="K1745" i="1"/>
  <c r="J1745" i="1"/>
  <c r="L1745" i="1" s="1"/>
  <c r="K1744" i="1"/>
  <c r="L1744" i="1" s="1"/>
  <c r="J1744" i="1"/>
  <c r="L1743" i="1"/>
  <c r="K1743" i="1"/>
  <c r="J1743" i="1"/>
  <c r="K1742" i="1"/>
  <c r="J1742" i="1"/>
  <c r="L1742" i="1" s="1"/>
  <c r="L1741" i="1"/>
  <c r="K1741" i="1"/>
  <c r="J1741" i="1"/>
  <c r="K1740" i="1"/>
  <c r="J1740" i="1"/>
  <c r="K1739" i="1"/>
  <c r="J1739" i="1"/>
  <c r="L1739" i="1" s="1"/>
  <c r="L1738" i="1"/>
  <c r="K1738" i="1"/>
  <c r="J1738" i="1"/>
  <c r="L1737" i="1"/>
  <c r="K1737" i="1"/>
  <c r="J1737" i="1"/>
  <c r="K1736" i="1"/>
  <c r="J1736" i="1"/>
  <c r="L1736" i="1" s="1"/>
  <c r="K1735" i="1"/>
  <c r="J1735" i="1"/>
  <c r="L1735" i="1" s="1"/>
  <c r="K1734" i="1"/>
  <c r="J1734" i="1"/>
  <c r="L1734" i="1" s="1"/>
  <c r="K1733" i="1"/>
  <c r="L1733" i="1" s="1"/>
  <c r="J1733" i="1"/>
  <c r="K1732" i="1"/>
  <c r="J1732" i="1"/>
  <c r="L1732" i="1" s="1"/>
  <c r="K1731" i="1"/>
  <c r="J1731" i="1"/>
  <c r="L1731" i="1" s="1"/>
  <c r="K1730" i="1"/>
  <c r="L1730" i="1" s="1"/>
  <c r="J1730" i="1"/>
  <c r="K1729" i="1"/>
  <c r="L1729" i="1" s="1"/>
  <c r="J1729" i="1"/>
  <c r="K1728" i="1"/>
  <c r="J1728" i="1"/>
  <c r="L1728" i="1" s="1"/>
  <c r="L1727" i="1"/>
  <c r="K1727" i="1"/>
  <c r="J1727" i="1"/>
  <c r="L1726" i="1"/>
  <c r="K1726" i="1"/>
  <c r="J1726" i="1"/>
  <c r="K1725" i="1"/>
  <c r="J1725" i="1"/>
  <c r="L1725" i="1" s="1"/>
  <c r="K1724" i="1"/>
  <c r="J1724" i="1"/>
  <c r="L1724" i="1" s="1"/>
  <c r="L1723" i="1"/>
  <c r="K1723" i="1"/>
  <c r="J1723" i="1"/>
  <c r="K1722" i="1"/>
  <c r="L1722" i="1" s="1"/>
  <c r="J1722" i="1"/>
  <c r="K1721" i="1"/>
  <c r="J1721" i="1"/>
  <c r="L1721" i="1" s="1"/>
  <c r="K1720" i="1"/>
  <c r="J1720" i="1"/>
  <c r="L1720" i="1" s="1"/>
  <c r="L1719" i="1"/>
  <c r="K1719" i="1"/>
  <c r="J1719" i="1"/>
  <c r="K1718" i="1"/>
  <c r="L1718" i="1" s="1"/>
  <c r="J1718" i="1"/>
  <c r="K1717" i="1"/>
  <c r="J1717" i="1"/>
  <c r="L1717" i="1" s="1"/>
  <c r="K1716" i="1"/>
  <c r="J1716" i="1"/>
  <c r="K1715" i="1"/>
  <c r="L1715" i="1" s="1"/>
  <c r="J1715" i="1"/>
  <c r="L1714" i="1"/>
  <c r="K1714" i="1"/>
  <c r="J1714" i="1"/>
  <c r="L1713" i="1"/>
  <c r="K1713" i="1"/>
  <c r="J1713" i="1"/>
  <c r="L1712" i="1"/>
  <c r="K1712" i="1"/>
  <c r="J1712" i="1"/>
  <c r="K1711" i="1"/>
  <c r="J1711" i="1"/>
  <c r="L1711" i="1" s="1"/>
  <c r="K1710" i="1"/>
  <c r="J1710" i="1"/>
  <c r="L1710" i="1" s="1"/>
  <c r="K1709" i="1"/>
  <c r="J1709" i="1"/>
  <c r="L1709" i="1" s="1"/>
  <c r="K1708" i="1"/>
  <c r="J1708" i="1"/>
  <c r="K1707" i="1"/>
  <c r="J1707" i="1"/>
  <c r="L1707" i="1" s="1"/>
  <c r="K1706" i="1"/>
  <c r="L1706" i="1" s="1"/>
  <c r="J1706" i="1"/>
  <c r="L1705" i="1"/>
  <c r="K1705" i="1"/>
  <c r="J1705" i="1"/>
  <c r="K1704" i="1"/>
  <c r="L1704" i="1" s="1"/>
  <c r="J1704" i="1"/>
  <c r="K1703" i="1"/>
  <c r="J1703" i="1"/>
  <c r="L1703" i="1" s="1"/>
  <c r="L1702" i="1"/>
  <c r="K1702" i="1"/>
  <c r="J1702" i="1"/>
  <c r="L1701" i="1"/>
  <c r="K1701" i="1"/>
  <c r="J1701" i="1"/>
  <c r="K1700" i="1"/>
  <c r="J1700" i="1"/>
  <c r="L1700" i="1" s="1"/>
  <c r="L1699" i="1"/>
  <c r="K1699" i="1"/>
  <c r="J1699" i="1"/>
  <c r="L1698" i="1"/>
  <c r="K1698" i="1"/>
  <c r="J1698" i="1"/>
  <c r="K1697" i="1"/>
  <c r="J1697" i="1"/>
  <c r="L1697" i="1" s="1"/>
  <c r="K1696" i="1"/>
  <c r="J1696" i="1"/>
  <c r="L1696" i="1" s="1"/>
  <c r="K1695" i="1"/>
  <c r="J1695" i="1"/>
  <c r="L1695" i="1" s="1"/>
  <c r="L1694" i="1"/>
  <c r="K1694" i="1"/>
  <c r="J1694" i="1"/>
  <c r="K1693" i="1"/>
  <c r="L1693" i="1" s="1"/>
  <c r="J1693" i="1"/>
  <c r="K1692" i="1"/>
  <c r="J1692" i="1"/>
  <c r="L1691" i="1"/>
  <c r="K1691" i="1"/>
  <c r="J1691" i="1"/>
  <c r="K1690" i="1"/>
  <c r="L1690" i="1" s="1"/>
  <c r="J1690" i="1"/>
  <c r="K1689" i="1"/>
  <c r="J1689" i="1"/>
  <c r="L1689" i="1" s="1"/>
  <c r="L1688" i="1"/>
  <c r="K1688" i="1"/>
  <c r="J1688" i="1"/>
  <c r="L1687" i="1"/>
  <c r="K1687" i="1"/>
  <c r="J1687" i="1"/>
  <c r="K1686" i="1"/>
  <c r="J1686" i="1"/>
  <c r="L1686" i="1" s="1"/>
  <c r="K1685" i="1"/>
  <c r="J1685" i="1"/>
  <c r="L1685" i="1" s="1"/>
  <c r="K1684" i="1"/>
  <c r="J1684" i="1"/>
  <c r="L1684" i="1" s="1"/>
  <c r="K1683" i="1"/>
  <c r="J1683" i="1"/>
  <c r="L1683" i="1" s="1"/>
  <c r="K1682" i="1"/>
  <c r="L1682" i="1" s="1"/>
  <c r="J1682" i="1"/>
  <c r="K1681" i="1"/>
  <c r="J1681" i="1"/>
  <c r="L1681" i="1" s="1"/>
  <c r="L1680" i="1"/>
  <c r="K1680" i="1"/>
  <c r="J1680" i="1"/>
  <c r="L1679" i="1"/>
  <c r="K1679" i="1"/>
  <c r="J1679" i="1"/>
  <c r="K1678" i="1"/>
  <c r="J1678" i="1"/>
  <c r="L1678" i="1" s="1"/>
  <c r="L1677" i="1"/>
  <c r="K1677" i="1"/>
  <c r="J1677" i="1"/>
  <c r="K1676" i="1"/>
  <c r="J1676" i="1"/>
  <c r="K1675" i="1"/>
  <c r="J1675" i="1"/>
  <c r="L1675" i="1" s="1"/>
  <c r="L1674" i="1"/>
  <c r="K1674" i="1"/>
  <c r="J1674" i="1"/>
  <c r="L1673" i="1"/>
  <c r="K1673" i="1"/>
  <c r="J1673" i="1"/>
  <c r="K1672" i="1"/>
  <c r="J1672" i="1"/>
  <c r="K1671" i="1"/>
  <c r="J1671" i="1"/>
  <c r="L1671" i="1" s="1"/>
  <c r="K1670" i="1"/>
  <c r="J1670" i="1"/>
  <c r="L1670" i="1" s="1"/>
  <c r="L1669" i="1"/>
  <c r="K1669" i="1"/>
  <c r="J1669" i="1"/>
  <c r="K1668" i="1"/>
  <c r="J1668" i="1"/>
  <c r="L1668" i="1" s="1"/>
  <c r="K1667" i="1"/>
  <c r="J1667" i="1"/>
  <c r="L1667" i="1" s="1"/>
  <c r="L1666" i="1"/>
  <c r="K1666" i="1"/>
  <c r="J1666" i="1"/>
  <c r="K1665" i="1"/>
  <c r="L1665" i="1" s="1"/>
  <c r="J1665" i="1"/>
  <c r="K1664" i="1"/>
  <c r="J1664" i="1"/>
  <c r="L1664" i="1" s="1"/>
  <c r="L1663" i="1"/>
  <c r="K1663" i="1"/>
  <c r="J1663" i="1"/>
  <c r="L1662" i="1"/>
  <c r="K1662" i="1"/>
  <c r="J1662" i="1"/>
  <c r="K1661" i="1"/>
  <c r="J1661" i="1"/>
  <c r="L1661" i="1" s="1"/>
  <c r="K1660" i="1"/>
  <c r="J1660" i="1"/>
  <c r="L1660" i="1" s="1"/>
  <c r="L1659" i="1"/>
  <c r="K1659" i="1"/>
  <c r="J1659" i="1"/>
  <c r="K1658" i="1"/>
  <c r="L1658" i="1" s="1"/>
  <c r="J1658" i="1"/>
  <c r="K1657" i="1"/>
  <c r="J1657" i="1"/>
  <c r="L1657" i="1" s="1"/>
  <c r="K1656" i="1"/>
  <c r="L1656" i="1" s="1"/>
  <c r="J1656" i="1"/>
  <c r="L1655" i="1"/>
  <c r="K1655" i="1"/>
  <c r="J1655" i="1"/>
  <c r="K1654" i="1"/>
  <c r="L1654" i="1" s="1"/>
  <c r="J1654" i="1"/>
  <c r="K1653" i="1"/>
  <c r="J1653" i="1"/>
  <c r="L1653" i="1" s="1"/>
  <c r="K1652" i="1"/>
  <c r="J1652" i="1"/>
  <c r="K1651" i="1"/>
  <c r="L1651" i="1" s="1"/>
  <c r="J1651" i="1"/>
  <c r="L1650" i="1"/>
  <c r="K1650" i="1"/>
  <c r="J1650" i="1"/>
  <c r="L1649" i="1"/>
  <c r="K1649" i="1"/>
  <c r="J1649" i="1"/>
  <c r="L1648" i="1"/>
  <c r="K1648" i="1"/>
  <c r="J1648" i="1"/>
  <c r="K1647" i="1"/>
  <c r="J1647" i="1"/>
  <c r="L1647" i="1" s="1"/>
  <c r="K1646" i="1"/>
  <c r="J1646" i="1"/>
  <c r="L1646" i="1" s="1"/>
  <c r="K1645" i="1"/>
  <c r="L1645" i="1" s="1"/>
  <c r="J1645" i="1"/>
  <c r="K1644" i="1"/>
  <c r="J1644" i="1"/>
  <c r="K1643" i="1"/>
  <c r="J1643" i="1"/>
  <c r="L1643" i="1" s="1"/>
  <c r="K1642" i="1"/>
  <c r="L1642" i="1" s="1"/>
  <c r="J1642" i="1"/>
  <c r="L1641" i="1"/>
  <c r="K1641" i="1"/>
  <c r="J1641" i="1"/>
  <c r="K1640" i="1"/>
  <c r="L1640" i="1" s="1"/>
  <c r="J1640" i="1"/>
  <c r="K1639" i="1"/>
  <c r="J1639" i="1"/>
  <c r="L1639" i="1" s="1"/>
  <c r="L1638" i="1"/>
  <c r="K1638" i="1"/>
  <c r="J1638" i="1"/>
  <c r="L1637" i="1"/>
  <c r="K1637" i="1"/>
  <c r="J1637" i="1"/>
  <c r="K1636" i="1"/>
  <c r="J1636" i="1"/>
  <c r="L1636" i="1" s="1"/>
  <c r="L1635" i="1"/>
  <c r="K1635" i="1"/>
  <c r="J1635" i="1"/>
  <c r="L1634" i="1"/>
  <c r="K1634" i="1"/>
  <c r="J1634" i="1"/>
  <c r="K1633" i="1"/>
  <c r="J1633" i="1"/>
  <c r="L1633" i="1" s="1"/>
  <c r="K1632" i="1"/>
  <c r="J1632" i="1"/>
  <c r="L1632" i="1" s="1"/>
  <c r="L1631" i="1"/>
  <c r="K1631" i="1"/>
  <c r="J1631" i="1"/>
  <c r="L1630" i="1"/>
  <c r="K1630" i="1"/>
  <c r="J1630" i="1"/>
  <c r="K1629" i="1"/>
  <c r="L1629" i="1" s="1"/>
  <c r="J1629" i="1"/>
  <c r="K1628" i="1"/>
  <c r="J1628" i="1"/>
  <c r="L1627" i="1"/>
  <c r="K1627" i="1"/>
  <c r="J1627" i="1"/>
  <c r="K1626" i="1"/>
  <c r="L1626" i="1" s="1"/>
  <c r="J1626" i="1"/>
  <c r="K1625" i="1"/>
  <c r="J1625" i="1"/>
  <c r="L1625" i="1" s="1"/>
  <c r="L1624" i="1"/>
  <c r="K1624" i="1"/>
  <c r="J1624" i="1"/>
  <c r="K1623" i="1"/>
  <c r="J1623" i="1"/>
  <c r="L1623" i="1" s="1"/>
  <c r="K1622" i="1"/>
  <c r="J1622" i="1"/>
  <c r="K1621" i="1"/>
  <c r="J1621" i="1"/>
  <c r="L1621" i="1" s="1"/>
  <c r="K1620" i="1"/>
  <c r="J1620" i="1"/>
  <c r="L1620" i="1" s="1"/>
  <c r="K1619" i="1"/>
  <c r="J1619" i="1"/>
  <c r="L1619" i="1" s="1"/>
  <c r="K1618" i="1"/>
  <c r="L1618" i="1" s="1"/>
  <c r="J1618" i="1"/>
  <c r="K1617" i="1"/>
  <c r="L1617" i="1" s="1"/>
  <c r="J1617" i="1"/>
  <c r="L1616" i="1"/>
  <c r="K1616" i="1"/>
  <c r="J1616" i="1"/>
  <c r="L1615" i="1"/>
  <c r="K1615" i="1"/>
  <c r="J1615" i="1"/>
  <c r="L1614" i="1"/>
  <c r="K1614" i="1"/>
  <c r="J1614" i="1"/>
  <c r="L1613" i="1"/>
  <c r="K1613" i="1"/>
  <c r="J1613" i="1"/>
  <c r="K1612" i="1"/>
  <c r="J1612" i="1"/>
  <c r="L1611" i="1"/>
  <c r="K1611" i="1"/>
  <c r="J1611" i="1"/>
  <c r="L1610" i="1"/>
  <c r="K1610" i="1"/>
  <c r="J1610" i="1"/>
  <c r="K1609" i="1"/>
  <c r="J1609" i="1"/>
  <c r="L1609" i="1" s="1"/>
  <c r="K1608" i="1"/>
  <c r="J1608" i="1"/>
  <c r="K1607" i="1"/>
  <c r="J1607" i="1"/>
  <c r="L1607" i="1" s="1"/>
  <c r="K1606" i="1"/>
  <c r="L1606" i="1" s="1"/>
  <c r="J1606" i="1"/>
  <c r="L1605" i="1"/>
  <c r="K1605" i="1"/>
  <c r="J1605" i="1"/>
  <c r="K1604" i="1"/>
  <c r="J1604" i="1"/>
  <c r="L1604" i="1" s="1"/>
  <c r="K1603" i="1"/>
  <c r="L1603" i="1" s="1"/>
  <c r="J1603" i="1"/>
  <c r="L1602" i="1"/>
  <c r="K1602" i="1"/>
  <c r="J1602" i="1"/>
  <c r="K1601" i="1"/>
  <c r="L1601" i="1" s="1"/>
  <c r="J1601" i="1"/>
  <c r="K1600" i="1"/>
  <c r="J1600" i="1"/>
  <c r="L1600" i="1" s="1"/>
  <c r="L1599" i="1"/>
  <c r="K1599" i="1"/>
  <c r="J1599" i="1"/>
  <c r="L1598" i="1"/>
  <c r="K1598" i="1"/>
  <c r="J1598" i="1"/>
  <c r="K1597" i="1"/>
  <c r="J1597" i="1"/>
  <c r="L1597" i="1" s="1"/>
  <c r="K1596" i="1"/>
  <c r="J1596" i="1"/>
  <c r="L1596" i="1" s="1"/>
  <c r="L1595" i="1"/>
  <c r="K1595" i="1"/>
  <c r="J1595" i="1"/>
  <c r="K1594" i="1"/>
  <c r="L1594" i="1" s="1"/>
  <c r="J1594" i="1"/>
  <c r="K1593" i="1"/>
  <c r="J1593" i="1"/>
  <c r="L1593" i="1" s="1"/>
  <c r="K1592" i="1"/>
  <c r="L1592" i="1" s="1"/>
  <c r="J1592" i="1"/>
  <c r="L1591" i="1"/>
  <c r="K1591" i="1"/>
  <c r="J1591" i="1"/>
  <c r="K1590" i="1"/>
  <c r="L1590" i="1" s="1"/>
  <c r="J1590" i="1"/>
  <c r="K1589" i="1"/>
  <c r="J1589" i="1"/>
  <c r="L1589" i="1" s="1"/>
  <c r="K1588" i="1"/>
  <c r="J1588" i="1"/>
  <c r="K1587" i="1"/>
  <c r="L1587" i="1" s="1"/>
  <c r="J1587" i="1"/>
  <c r="L1586" i="1"/>
  <c r="K1586" i="1"/>
  <c r="J1586" i="1"/>
  <c r="L1585" i="1"/>
  <c r="K1585" i="1"/>
  <c r="J1585" i="1"/>
  <c r="K1584" i="1"/>
  <c r="J1584" i="1"/>
  <c r="L1584" i="1" s="1"/>
  <c r="K1583" i="1"/>
  <c r="J1583" i="1"/>
  <c r="L1583" i="1" s="1"/>
  <c r="K1582" i="1"/>
  <c r="J1582" i="1"/>
  <c r="L1582" i="1" s="1"/>
  <c r="K1581" i="1"/>
  <c r="L1581" i="1" s="1"/>
  <c r="J1581" i="1"/>
  <c r="K1580" i="1"/>
  <c r="J1580" i="1"/>
  <c r="K1579" i="1"/>
  <c r="J1579" i="1"/>
  <c r="L1579" i="1" s="1"/>
  <c r="K1578" i="1"/>
  <c r="L1578" i="1" s="1"/>
  <c r="J1578" i="1"/>
  <c r="L1577" i="1"/>
  <c r="K1577" i="1"/>
  <c r="J1577" i="1"/>
  <c r="K1576" i="1"/>
  <c r="L1576" i="1" s="1"/>
  <c r="J1576" i="1"/>
  <c r="K1575" i="1"/>
  <c r="J1575" i="1"/>
  <c r="L1575" i="1" s="1"/>
  <c r="L1574" i="1"/>
  <c r="K1574" i="1"/>
  <c r="J1574" i="1"/>
  <c r="K1573" i="1"/>
  <c r="J1573" i="1"/>
  <c r="L1573" i="1" s="1"/>
  <c r="K1572" i="1"/>
  <c r="J1572" i="1"/>
  <c r="L1572" i="1" s="1"/>
  <c r="L1571" i="1"/>
  <c r="K1571" i="1"/>
  <c r="J1571" i="1"/>
  <c r="L1570" i="1"/>
  <c r="K1570" i="1"/>
  <c r="J1570" i="1"/>
  <c r="K1569" i="1"/>
  <c r="J1569" i="1"/>
  <c r="L1569" i="1" s="1"/>
  <c r="K1568" i="1"/>
  <c r="J1568" i="1"/>
  <c r="L1568" i="1" s="1"/>
  <c r="L1567" i="1"/>
  <c r="K1567" i="1"/>
  <c r="J1567" i="1"/>
  <c r="L1566" i="1"/>
  <c r="K1566" i="1"/>
  <c r="J1566" i="1"/>
  <c r="K1565" i="1"/>
  <c r="L1565" i="1" s="1"/>
  <c r="J1565" i="1"/>
  <c r="K1564" i="1"/>
  <c r="J1564" i="1"/>
  <c r="L1563" i="1"/>
  <c r="K1563" i="1"/>
  <c r="J1563" i="1"/>
  <c r="K1562" i="1"/>
  <c r="L1562" i="1" s="1"/>
  <c r="J1562" i="1"/>
  <c r="K1561" i="1"/>
  <c r="J1561" i="1"/>
  <c r="L1561" i="1" s="1"/>
  <c r="L1560" i="1"/>
  <c r="K1560" i="1"/>
  <c r="J1560" i="1"/>
  <c r="L1559" i="1"/>
  <c r="K1559" i="1"/>
  <c r="J1559" i="1"/>
  <c r="K1558" i="1"/>
  <c r="J1558" i="1"/>
  <c r="L1558" i="1" s="1"/>
  <c r="K1557" i="1"/>
  <c r="J1557" i="1"/>
  <c r="L1557" i="1" s="1"/>
  <c r="K1556" i="1"/>
  <c r="J1556" i="1"/>
  <c r="L1556" i="1" s="1"/>
  <c r="K1555" i="1"/>
  <c r="J1555" i="1"/>
  <c r="L1555" i="1" s="1"/>
  <c r="K1554" i="1"/>
  <c r="L1554" i="1" s="1"/>
  <c r="J1554" i="1"/>
  <c r="K1553" i="1"/>
  <c r="L1553" i="1" s="1"/>
  <c r="J1553" i="1"/>
  <c r="L1552" i="1"/>
  <c r="K1552" i="1"/>
  <c r="J1552" i="1"/>
  <c r="L1551" i="1"/>
  <c r="K1551" i="1"/>
  <c r="J1551" i="1"/>
  <c r="K1550" i="1"/>
  <c r="J1550" i="1"/>
  <c r="L1550" i="1" s="1"/>
  <c r="L1549" i="1"/>
  <c r="K1549" i="1"/>
  <c r="J1549" i="1"/>
  <c r="K1548" i="1"/>
  <c r="J1548" i="1"/>
  <c r="K1547" i="1"/>
  <c r="J1547" i="1"/>
  <c r="B33" i="2" s="1"/>
  <c r="L1546" i="1"/>
  <c r="K1546" i="1"/>
  <c r="J1546" i="1"/>
  <c r="K1545" i="1"/>
  <c r="J1545" i="1"/>
  <c r="L1545" i="1" s="1"/>
  <c r="K1544" i="1"/>
  <c r="J1544" i="1"/>
  <c r="L1544" i="1" s="1"/>
  <c r="K1543" i="1"/>
  <c r="J1543" i="1"/>
  <c r="L1543" i="1" s="1"/>
  <c r="K1542" i="1"/>
  <c r="L1542" i="1" s="1"/>
  <c r="J1542" i="1"/>
  <c r="L1541" i="1"/>
  <c r="K1541" i="1"/>
  <c r="J1541" i="1"/>
  <c r="K1540" i="1"/>
  <c r="J1540" i="1"/>
  <c r="L1540" i="1" s="1"/>
  <c r="K1539" i="1"/>
  <c r="L1539" i="1" s="1"/>
  <c r="J1539" i="1"/>
  <c r="L1538" i="1"/>
  <c r="K1538" i="1"/>
  <c r="J1538" i="1"/>
  <c r="K1537" i="1"/>
  <c r="L1537" i="1" s="1"/>
  <c r="J1537" i="1"/>
  <c r="L1536" i="1"/>
  <c r="K1536" i="1"/>
  <c r="J1536" i="1"/>
  <c r="L1535" i="1"/>
  <c r="K1535" i="1"/>
  <c r="J1535" i="1"/>
  <c r="K1534" i="1"/>
  <c r="J1534" i="1"/>
  <c r="L1534" i="1" s="1"/>
  <c r="K1533" i="1"/>
  <c r="J1533" i="1"/>
  <c r="L1533" i="1" s="1"/>
  <c r="K1532" i="1"/>
  <c r="J1532" i="1"/>
  <c r="L1532" i="1" s="1"/>
  <c r="K1531" i="1"/>
  <c r="J1531" i="1"/>
  <c r="L1531" i="1" s="1"/>
  <c r="K1530" i="1"/>
  <c r="L1530" i="1" s="1"/>
  <c r="J1530" i="1"/>
  <c r="K1529" i="1"/>
  <c r="J1529" i="1"/>
  <c r="L1529" i="1" s="1"/>
  <c r="K1528" i="1"/>
  <c r="L1528" i="1" s="1"/>
  <c r="J1528" i="1"/>
  <c r="L1527" i="1"/>
  <c r="K1527" i="1"/>
  <c r="J1527" i="1"/>
  <c r="K1526" i="1"/>
  <c r="L1526" i="1" s="1"/>
  <c r="J1526" i="1"/>
  <c r="K1525" i="1"/>
  <c r="J1525" i="1"/>
  <c r="L1525" i="1" s="1"/>
  <c r="K1524" i="1"/>
  <c r="J1524" i="1"/>
  <c r="K1523" i="1"/>
  <c r="L1523" i="1" s="1"/>
  <c r="J1523" i="1"/>
  <c r="L1522" i="1"/>
  <c r="K1522" i="1"/>
  <c r="J1522" i="1"/>
  <c r="L1521" i="1"/>
  <c r="K1521" i="1"/>
  <c r="J1521" i="1"/>
  <c r="L1520" i="1"/>
  <c r="K1520" i="1"/>
  <c r="J1520" i="1"/>
  <c r="K1519" i="1"/>
  <c r="J1519" i="1"/>
  <c r="L1519" i="1" s="1"/>
  <c r="K1518" i="1"/>
  <c r="J1518" i="1"/>
  <c r="L1518" i="1" s="1"/>
  <c r="K1517" i="1"/>
  <c r="L1517" i="1" s="1"/>
  <c r="J1517" i="1"/>
  <c r="K1516" i="1"/>
  <c r="J1516" i="1"/>
  <c r="K1515" i="1"/>
  <c r="J1515" i="1"/>
  <c r="L1515" i="1" s="1"/>
  <c r="K1514" i="1"/>
  <c r="L1514" i="1" s="1"/>
  <c r="J1514" i="1"/>
  <c r="L1513" i="1"/>
  <c r="K1513" i="1"/>
  <c r="J1513" i="1"/>
  <c r="K1512" i="1"/>
  <c r="L1512" i="1" s="1"/>
  <c r="J1512" i="1"/>
  <c r="K1511" i="1"/>
  <c r="J1511" i="1"/>
  <c r="L1511" i="1" s="1"/>
  <c r="L1510" i="1"/>
  <c r="K1510" i="1"/>
  <c r="J1510" i="1"/>
  <c r="K1509" i="1"/>
  <c r="J1509" i="1"/>
  <c r="L1509" i="1" s="1"/>
  <c r="K1508" i="1"/>
  <c r="J1508" i="1"/>
  <c r="L1508" i="1" s="1"/>
  <c r="L1507" i="1"/>
  <c r="K1507" i="1"/>
  <c r="J1507" i="1"/>
  <c r="L1506" i="1"/>
  <c r="K1506" i="1"/>
  <c r="J1506" i="1"/>
  <c r="K1505" i="1"/>
  <c r="J1505" i="1"/>
  <c r="K1504" i="1"/>
  <c r="J1504" i="1"/>
  <c r="L1504" i="1" s="1"/>
  <c r="L1503" i="1"/>
  <c r="K1503" i="1"/>
  <c r="J1503" i="1"/>
  <c r="L1502" i="1"/>
  <c r="K1502" i="1"/>
  <c r="J1502" i="1"/>
  <c r="K1501" i="1"/>
  <c r="L1501" i="1" s="1"/>
  <c r="J1501" i="1"/>
  <c r="K1500" i="1"/>
  <c r="J1500" i="1"/>
  <c r="L1499" i="1"/>
  <c r="K1499" i="1"/>
  <c r="J1499" i="1"/>
  <c r="K1498" i="1"/>
  <c r="L1498" i="1" s="1"/>
  <c r="J1498" i="1"/>
  <c r="L1497" i="1"/>
  <c r="K1497" i="1"/>
  <c r="J1497" i="1"/>
  <c r="L1496" i="1"/>
  <c r="K1496" i="1"/>
  <c r="J1496" i="1"/>
  <c r="K1495" i="1"/>
  <c r="J1495" i="1"/>
  <c r="L1495" i="1" s="1"/>
  <c r="K1494" i="1"/>
  <c r="J1494" i="1"/>
  <c r="L1494" i="1" s="1"/>
  <c r="K1493" i="1"/>
  <c r="J1493" i="1"/>
  <c r="L1493" i="1" s="1"/>
  <c r="K1492" i="1"/>
  <c r="J1492" i="1"/>
  <c r="L1492" i="1" s="1"/>
  <c r="K1491" i="1"/>
  <c r="J1491" i="1"/>
  <c r="K1490" i="1"/>
  <c r="L1490" i="1" s="1"/>
  <c r="J1490" i="1"/>
  <c r="K1489" i="1"/>
  <c r="L1489" i="1" s="1"/>
  <c r="J1489" i="1"/>
  <c r="L1488" i="1"/>
  <c r="K1488" i="1"/>
  <c r="J1488" i="1"/>
  <c r="L1487" i="1"/>
  <c r="K1487" i="1"/>
  <c r="J1487" i="1"/>
  <c r="K1486" i="1"/>
  <c r="J1486" i="1"/>
  <c r="L1486" i="1" s="1"/>
  <c r="L1485" i="1"/>
  <c r="K1485" i="1"/>
  <c r="J1485" i="1"/>
  <c r="K1484" i="1"/>
  <c r="J1484" i="1"/>
  <c r="K1483" i="1"/>
  <c r="J1483" i="1"/>
  <c r="L1483" i="1" s="1"/>
  <c r="L1482" i="1"/>
  <c r="K1482" i="1"/>
  <c r="J1482" i="1"/>
  <c r="K1481" i="1"/>
  <c r="J1481" i="1"/>
  <c r="L1481" i="1" s="1"/>
  <c r="K1480" i="1"/>
  <c r="J1480" i="1"/>
  <c r="L1480" i="1" s="1"/>
  <c r="K1479" i="1"/>
  <c r="J1479" i="1"/>
  <c r="L1479" i="1" s="1"/>
  <c r="K1478" i="1"/>
  <c r="L1478" i="1" s="1"/>
  <c r="J1478" i="1"/>
  <c r="L1477" i="1"/>
  <c r="K1477" i="1"/>
  <c r="J1477" i="1"/>
  <c r="K1476" i="1"/>
  <c r="J1476" i="1"/>
  <c r="L1476" i="1" s="1"/>
  <c r="K1475" i="1"/>
  <c r="L1475" i="1" s="1"/>
  <c r="J1475" i="1"/>
  <c r="L1474" i="1"/>
  <c r="K1474" i="1"/>
  <c r="J1474" i="1"/>
  <c r="K1473" i="1"/>
  <c r="J1473" i="1"/>
  <c r="L1473" i="1" s="1"/>
  <c r="K1472" i="1"/>
  <c r="J1472" i="1"/>
  <c r="L1472" i="1" s="1"/>
  <c r="L1471" i="1"/>
  <c r="K1471" i="1"/>
  <c r="J1471" i="1"/>
  <c r="K1470" i="1"/>
  <c r="J1470" i="1"/>
  <c r="L1470" i="1" s="1"/>
  <c r="K1469" i="1"/>
  <c r="J1469" i="1"/>
  <c r="K1468" i="1"/>
  <c r="J1468" i="1"/>
  <c r="L1468" i="1" s="1"/>
  <c r="K1467" i="1"/>
  <c r="J1467" i="1"/>
  <c r="L1467" i="1" s="1"/>
  <c r="K1466" i="1"/>
  <c r="L1466" i="1" s="1"/>
  <c r="J1466" i="1"/>
  <c r="K1465" i="1"/>
  <c r="J1465" i="1"/>
  <c r="L1465" i="1" s="1"/>
  <c r="K1464" i="1"/>
  <c r="L1464" i="1" s="1"/>
  <c r="J1464" i="1"/>
  <c r="L1463" i="1"/>
  <c r="K1463" i="1"/>
  <c r="J1463" i="1"/>
  <c r="K1462" i="1"/>
  <c r="L1462" i="1" s="1"/>
  <c r="J1462" i="1"/>
  <c r="K1461" i="1"/>
  <c r="J1461" i="1"/>
  <c r="L1461" i="1" s="1"/>
  <c r="K1460" i="1"/>
  <c r="J1460" i="1"/>
  <c r="K1459" i="1"/>
  <c r="L1459" i="1" s="1"/>
  <c r="J1459" i="1"/>
  <c r="L1458" i="1"/>
  <c r="K1458" i="1"/>
  <c r="J1458" i="1"/>
  <c r="L1457" i="1"/>
  <c r="K1457" i="1"/>
  <c r="J1457" i="1"/>
  <c r="K1456" i="1"/>
  <c r="J1456" i="1"/>
  <c r="L1456" i="1" s="1"/>
  <c r="K1455" i="1"/>
  <c r="J1455" i="1"/>
  <c r="L1455" i="1" s="1"/>
  <c r="K1454" i="1"/>
  <c r="J1454" i="1"/>
  <c r="L1454" i="1" s="1"/>
  <c r="K1453" i="1"/>
  <c r="L1453" i="1" s="1"/>
  <c r="J1453" i="1"/>
  <c r="K1452" i="1"/>
  <c r="J1452" i="1"/>
  <c r="K1451" i="1"/>
  <c r="J1451" i="1"/>
  <c r="L1451" i="1" s="1"/>
  <c r="K1450" i="1"/>
  <c r="L1450" i="1" s="1"/>
  <c r="J1450" i="1"/>
  <c r="L1449" i="1"/>
  <c r="K1449" i="1"/>
  <c r="J1449" i="1"/>
  <c r="K1448" i="1"/>
  <c r="L1448" i="1" s="1"/>
  <c r="J1448" i="1"/>
  <c r="K1447" i="1"/>
  <c r="J1447" i="1"/>
  <c r="L1447" i="1" s="1"/>
  <c r="L1446" i="1"/>
  <c r="K1446" i="1"/>
  <c r="J1446" i="1"/>
  <c r="L1445" i="1"/>
  <c r="K1445" i="1"/>
  <c r="J1445" i="1"/>
  <c r="K1444" i="1"/>
  <c r="J1444" i="1"/>
  <c r="L1444" i="1" s="1"/>
  <c r="L1443" i="1"/>
  <c r="K1443" i="1"/>
  <c r="J1443" i="1"/>
  <c r="L1442" i="1"/>
  <c r="K1442" i="1"/>
  <c r="J1442" i="1"/>
  <c r="K1441" i="1"/>
  <c r="J1441" i="1"/>
  <c r="L1441" i="1" s="1"/>
  <c r="K1440" i="1"/>
  <c r="J1440" i="1"/>
  <c r="L1440" i="1" s="1"/>
  <c r="L1439" i="1"/>
  <c r="K1439" i="1"/>
  <c r="J1439" i="1"/>
  <c r="L1438" i="1"/>
  <c r="K1438" i="1"/>
  <c r="J1438" i="1"/>
  <c r="K1437" i="1"/>
  <c r="L1437" i="1" s="1"/>
  <c r="J1437" i="1"/>
  <c r="K1436" i="1"/>
  <c r="J1436" i="1"/>
  <c r="K1435" i="1"/>
  <c r="L1435" i="1" s="1"/>
  <c r="J1435" i="1"/>
  <c r="K1434" i="1"/>
  <c r="L1434" i="1" s="1"/>
  <c r="J1434" i="1"/>
  <c r="K1433" i="1"/>
  <c r="J1433" i="1"/>
  <c r="L1433" i="1" s="1"/>
  <c r="L1432" i="1"/>
  <c r="K1432" i="1"/>
  <c r="J1432" i="1"/>
  <c r="K1431" i="1"/>
  <c r="J1431" i="1"/>
  <c r="L1431" i="1" s="1"/>
  <c r="K1430" i="1"/>
  <c r="J1430" i="1"/>
  <c r="K1429" i="1"/>
  <c r="J1429" i="1"/>
  <c r="L1429" i="1" s="1"/>
  <c r="K1428" i="1"/>
  <c r="J1428" i="1"/>
  <c r="L1428" i="1" s="1"/>
  <c r="K1427" i="1"/>
  <c r="J1427" i="1"/>
  <c r="K1426" i="1"/>
  <c r="L1426" i="1" s="1"/>
  <c r="J1426" i="1"/>
  <c r="K1425" i="1"/>
  <c r="L1425" i="1" s="1"/>
  <c r="J1425" i="1"/>
  <c r="K1424" i="1"/>
  <c r="L1424" i="1" s="1"/>
  <c r="J1424" i="1"/>
  <c r="L1423" i="1"/>
  <c r="K1423" i="1"/>
  <c r="J1423" i="1"/>
  <c r="K1422" i="1"/>
  <c r="J1422" i="1"/>
  <c r="L1422" i="1" s="1"/>
  <c r="L1421" i="1"/>
  <c r="K1421" i="1"/>
  <c r="J1421" i="1"/>
  <c r="K1420" i="1"/>
  <c r="J1420" i="1"/>
  <c r="K1419" i="1"/>
  <c r="J1419" i="1"/>
  <c r="L1419" i="1" s="1"/>
  <c r="L1418" i="1"/>
  <c r="K1418" i="1"/>
  <c r="J1418" i="1"/>
  <c r="L1417" i="1"/>
  <c r="K1417" i="1"/>
  <c r="J1417" i="1"/>
  <c r="K1416" i="1"/>
  <c r="J1416" i="1"/>
  <c r="K1415" i="1"/>
  <c r="J1415" i="1"/>
  <c r="L1415" i="1" s="1"/>
  <c r="K1414" i="1"/>
  <c r="L1414" i="1" s="1"/>
  <c r="J1414" i="1"/>
  <c r="L1413" i="1"/>
  <c r="K1413" i="1"/>
  <c r="J1413" i="1"/>
  <c r="K1412" i="1"/>
  <c r="J1412" i="1"/>
  <c r="L1412" i="1" s="1"/>
  <c r="K1411" i="1"/>
  <c r="L1411" i="1" s="1"/>
  <c r="J1411" i="1"/>
  <c r="L1410" i="1"/>
  <c r="K1410" i="1"/>
  <c r="J1410" i="1"/>
  <c r="K1409" i="1"/>
  <c r="J1409" i="1"/>
  <c r="K1408" i="1"/>
  <c r="J1408" i="1"/>
  <c r="L1408" i="1" s="1"/>
  <c r="L1407" i="1"/>
  <c r="K1407" i="1"/>
  <c r="J1407" i="1"/>
  <c r="K1406" i="1"/>
  <c r="J1406" i="1"/>
  <c r="L1406" i="1" s="1"/>
  <c r="K1405" i="1"/>
  <c r="J1405" i="1"/>
  <c r="K1404" i="1"/>
  <c r="J1404" i="1"/>
  <c r="L1404" i="1" s="1"/>
  <c r="K1403" i="1"/>
  <c r="J1403" i="1"/>
  <c r="L1403" i="1" s="1"/>
  <c r="K1402" i="1"/>
  <c r="L1402" i="1" s="1"/>
  <c r="J1402" i="1"/>
  <c r="K1401" i="1"/>
  <c r="J1401" i="1"/>
  <c r="L1401" i="1" s="1"/>
  <c r="K1400" i="1"/>
  <c r="L1400" i="1" s="1"/>
  <c r="J1400" i="1"/>
  <c r="L1399" i="1"/>
  <c r="K1399" i="1"/>
  <c r="J1399" i="1"/>
  <c r="K1398" i="1"/>
  <c r="J1398" i="1"/>
  <c r="L1397" i="1"/>
  <c r="K1397" i="1"/>
  <c r="J1397" i="1"/>
  <c r="K1396" i="1"/>
  <c r="J1396" i="1"/>
  <c r="K1395" i="1"/>
  <c r="J1395" i="1"/>
  <c r="L1395" i="1" s="1"/>
  <c r="L1394" i="1"/>
  <c r="K1394" i="1"/>
  <c r="J1394" i="1"/>
  <c r="L1393" i="1"/>
  <c r="K1393" i="1"/>
  <c r="J1393" i="1"/>
  <c r="K1392" i="1"/>
  <c r="J1392" i="1"/>
  <c r="L1392" i="1" s="1"/>
  <c r="K1391" i="1"/>
  <c r="J1391" i="1"/>
  <c r="L1391" i="1" s="1"/>
  <c r="K1390" i="1"/>
  <c r="J1390" i="1"/>
  <c r="L1390" i="1" s="1"/>
  <c r="K1389" i="1"/>
  <c r="L1389" i="1" s="1"/>
  <c r="J1389" i="1"/>
  <c r="K1388" i="1"/>
  <c r="J1388" i="1"/>
  <c r="K1387" i="1"/>
  <c r="J1387" i="1"/>
  <c r="L1387" i="1" s="1"/>
  <c r="K1386" i="1"/>
  <c r="L1386" i="1" s="1"/>
  <c r="J1386" i="1"/>
  <c r="K1385" i="1"/>
  <c r="L1385" i="1" s="1"/>
  <c r="J1385" i="1"/>
  <c r="K1384" i="1"/>
  <c r="J1384" i="1"/>
  <c r="L1384" i="1" s="1"/>
  <c r="L1383" i="1"/>
  <c r="K1383" i="1"/>
  <c r="J1383" i="1"/>
  <c r="L1382" i="1"/>
  <c r="K1382" i="1"/>
  <c r="J1382" i="1"/>
  <c r="K1381" i="1"/>
  <c r="J1381" i="1"/>
  <c r="L1381" i="1" s="1"/>
  <c r="K1380" i="1"/>
  <c r="J1380" i="1"/>
  <c r="L1380" i="1" s="1"/>
  <c r="L1379" i="1"/>
  <c r="K1379" i="1"/>
  <c r="J1379" i="1"/>
  <c r="L1378" i="1"/>
  <c r="K1378" i="1"/>
  <c r="J1378" i="1"/>
  <c r="K1377" i="1"/>
  <c r="J1377" i="1"/>
  <c r="L1377" i="1" s="1"/>
  <c r="K1376" i="1"/>
  <c r="J1376" i="1"/>
  <c r="L1376" i="1" s="1"/>
  <c r="L1375" i="1"/>
  <c r="K1375" i="1"/>
  <c r="J1375" i="1"/>
  <c r="L1374" i="1"/>
  <c r="K1374" i="1"/>
  <c r="J1374" i="1"/>
  <c r="K1373" i="1"/>
  <c r="J1373" i="1"/>
  <c r="L1373" i="1" s="1"/>
  <c r="K1372" i="1"/>
  <c r="J1372" i="1"/>
  <c r="L1371" i="1"/>
  <c r="K1371" i="1"/>
  <c r="J1371" i="1"/>
  <c r="K1370" i="1"/>
  <c r="L1370" i="1" s="1"/>
  <c r="J1370" i="1"/>
  <c r="K1369" i="1"/>
  <c r="J1369" i="1"/>
  <c r="L1369" i="1" s="1"/>
  <c r="L1368" i="1"/>
  <c r="K1368" i="1"/>
  <c r="J1368" i="1"/>
  <c r="K1367" i="1"/>
  <c r="J1367" i="1"/>
  <c r="L1367" i="1" s="1"/>
  <c r="K1366" i="1"/>
  <c r="J1366" i="1"/>
  <c r="K1365" i="1"/>
  <c r="J1365" i="1"/>
  <c r="L1365" i="1" s="1"/>
  <c r="K1364" i="1"/>
  <c r="J1364" i="1"/>
  <c r="L1364" i="1" s="1"/>
  <c r="K1363" i="1"/>
  <c r="J1363" i="1"/>
  <c r="L1363" i="1" s="1"/>
  <c r="K1362" i="1"/>
  <c r="L1362" i="1" s="1"/>
  <c r="J1362" i="1"/>
  <c r="K1361" i="1"/>
  <c r="L1361" i="1" s="1"/>
  <c r="J1361" i="1"/>
  <c r="K1360" i="1"/>
  <c r="L1360" i="1" s="1"/>
  <c r="J1360" i="1"/>
  <c r="K1359" i="1"/>
  <c r="J1359" i="1"/>
  <c r="L1359" i="1" s="1"/>
  <c r="K1358" i="1"/>
  <c r="J1358" i="1"/>
  <c r="L1358" i="1" s="1"/>
  <c r="L1357" i="1"/>
  <c r="K1357" i="1"/>
  <c r="J1357" i="1"/>
  <c r="K1356" i="1"/>
  <c r="J1356" i="1"/>
  <c r="K1355" i="1"/>
  <c r="J1355" i="1"/>
  <c r="L1355" i="1" s="1"/>
  <c r="L1354" i="1"/>
  <c r="K1354" i="1"/>
  <c r="J1354" i="1"/>
  <c r="K1353" i="1"/>
  <c r="J1353" i="1"/>
  <c r="L1353" i="1" s="1"/>
  <c r="K1352" i="1"/>
  <c r="J1352" i="1"/>
  <c r="K1351" i="1"/>
  <c r="J1351" i="1"/>
  <c r="L1351" i="1" s="1"/>
  <c r="K1350" i="1"/>
  <c r="L1350" i="1" s="1"/>
  <c r="J1350" i="1"/>
  <c r="L1349" i="1"/>
  <c r="K1349" i="1"/>
  <c r="J1349" i="1"/>
  <c r="K1348" i="1"/>
  <c r="J1348" i="1"/>
  <c r="L1348" i="1" s="1"/>
  <c r="K1347" i="1"/>
  <c r="L1347" i="1" s="1"/>
  <c r="J1347" i="1"/>
  <c r="K1346" i="1"/>
  <c r="L1346" i="1" s="1"/>
  <c r="J1346" i="1"/>
  <c r="K1345" i="1"/>
  <c r="J1345" i="1"/>
  <c r="K1344" i="1"/>
  <c r="J1344" i="1"/>
  <c r="L1344" i="1" s="1"/>
  <c r="L1343" i="1"/>
  <c r="K1343" i="1"/>
  <c r="J1343" i="1"/>
  <c r="L1342" i="1"/>
  <c r="K1342" i="1"/>
  <c r="J1342" i="1"/>
  <c r="K1341" i="1"/>
  <c r="J1341" i="1"/>
  <c r="K1340" i="1"/>
  <c r="J1340" i="1"/>
  <c r="L1340" i="1" s="1"/>
  <c r="K1339" i="1"/>
  <c r="J1339" i="1"/>
  <c r="L1339" i="1" s="1"/>
  <c r="K1338" i="1"/>
  <c r="L1338" i="1" s="1"/>
  <c r="J1338" i="1"/>
  <c r="K1337" i="1"/>
  <c r="J1337" i="1"/>
  <c r="L1337" i="1" s="1"/>
  <c r="K1336" i="1"/>
  <c r="L1336" i="1" s="1"/>
  <c r="J1336" i="1"/>
  <c r="L1335" i="1"/>
  <c r="K1335" i="1"/>
  <c r="J1335" i="1"/>
  <c r="K1334" i="1"/>
  <c r="J1334" i="1"/>
  <c r="K1333" i="1"/>
  <c r="J1333" i="1"/>
  <c r="L1333" i="1" s="1"/>
  <c r="K1332" i="1"/>
  <c r="J1332" i="1"/>
  <c r="K1331" i="1"/>
  <c r="J1331" i="1"/>
  <c r="L1331" i="1" s="1"/>
  <c r="L1330" i="1"/>
  <c r="K1330" i="1"/>
  <c r="J1330" i="1"/>
  <c r="L1329" i="1"/>
  <c r="K1329" i="1"/>
  <c r="J1329" i="1"/>
  <c r="K1328" i="1"/>
  <c r="J1328" i="1"/>
  <c r="L1328" i="1" s="1"/>
  <c r="K1327" i="1"/>
  <c r="J1327" i="1"/>
  <c r="L1327" i="1" s="1"/>
  <c r="K1326" i="1"/>
  <c r="J1326" i="1"/>
  <c r="L1326" i="1" s="1"/>
  <c r="K1325" i="1"/>
  <c r="L1325" i="1" s="1"/>
  <c r="J1325" i="1"/>
  <c r="K1324" i="1"/>
  <c r="J1324" i="1"/>
  <c r="K1323" i="1"/>
  <c r="J1323" i="1"/>
  <c r="L1323" i="1" s="1"/>
  <c r="K1322" i="1"/>
  <c r="L1322" i="1" s="1"/>
  <c r="J1322" i="1"/>
  <c r="L1321" i="1"/>
  <c r="K1321" i="1"/>
  <c r="J1321" i="1"/>
  <c r="K1320" i="1"/>
  <c r="J1320" i="1"/>
  <c r="L1320" i="1" s="1"/>
  <c r="K1319" i="1"/>
  <c r="J1319" i="1"/>
  <c r="L1319" i="1" s="1"/>
  <c r="L1318" i="1"/>
  <c r="K1318" i="1"/>
  <c r="J1318" i="1"/>
  <c r="K1317" i="1"/>
  <c r="J1317" i="1"/>
  <c r="L1317" i="1" s="1"/>
  <c r="K1316" i="1"/>
  <c r="J1316" i="1"/>
  <c r="L1316" i="1" s="1"/>
  <c r="L1315" i="1"/>
  <c r="K1315" i="1"/>
  <c r="J1315" i="1"/>
  <c r="L1314" i="1"/>
  <c r="K1314" i="1"/>
  <c r="J1314" i="1"/>
  <c r="K1313" i="1"/>
  <c r="J1313" i="1"/>
  <c r="L1313" i="1" s="1"/>
  <c r="K1312" i="1"/>
  <c r="J1312" i="1"/>
  <c r="L1312" i="1" s="1"/>
  <c r="L1311" i="1"/>
  <c r="K1311" i="1"/>
  <c r="J1311" i="1"/>
  <c r="L1310" i="1"/>
  <c r="K1310" i="1"/>
  <c r="J1310" i="1"/>
  <c r="K1309" i="1"/>
  <c r="J1309" i="1"/>
  <c r="K1308" i="1"/>
  <c r="J1308" i="1"/>
  <c r="K1307" i="1"/>
  <c r="L1307" i="1" s="1"/>
  <c r="J1307" i="1"/>
  <c r="K1306" i="1"/>
  <c r="L1306" i="1" s="1"/>
  <c r="J1306" i="1"/>
  <c r="K1305" i="1"/>
  <c r="J1305" i="1"/>
  <c r="L1305" i="1" s="1"/>
  <c r="L1304" i="1"/>
  <c r="K1304" i="1"/>
  <c r="J1304" i="1"/>
  <c r="L1303" i="1"/>
  <c r="K1303" i="1"/>
  <c r="J1303" i="1"/>
  <c r="K1302" i="1"/>
  <c r="J1302" i="1"/>
  <c r="K1301" i="1"/>
  <c r="J1301" i="1"/>
  <c r="L1301" i="1" s="1"/>
  <c r="K1300" i="1"/>
  <c r="J1300" i="1"/>
  <c r="L1300" i="1" s="1"/>
  <c r="K1299" i="1"/>
  <c r="J1299" i="1"/>
  <c r="K1298" i="1"/>
  <c r="L1298" i="1" s="1"/>
  <c r="J1298" i="1"/>
  <c r="K1297" i="1"/>
  <c r="L1297" i="1" s="1"/>
  <c r="J1297" i="1"/>
  <c r="K1296" i="1"/>
  <c r="L1296" i="1" s="1"/>
  <c r="J1296" i="1"/>
  <c r="K1295" i="1"/>
  <c r="J1295" i="1"/>
  <c r="L1295" i="1" s="1"/>
  <c r="K1294" i="1"/>
  <c r="J1294" i="1"/>
  <c r="L1294" i="1" s="1"/>
  <c r="L1293" i="1"/>
  <c r="K1293" i="1"/>
  <c r="J1293" i="1"/>
  <c r="K1292" i="1"/>
  <c r="J1292" i="1"/>
  <c r="K1291" i="1"/>
  <c r="J1291" i="1"/>
  <c r="L1291" i="1" s="1"/>
  <c r="L1290" i="1"/>
  <c r="K1290" i="1"/>
  <c r="J1290" i="1"/>
  <c r="K1289" i="1"/>
  <c r="J1289" i="1"/>
  <c r="L1289" i="1" s="1"/>
  <c r="K1288" i="1"/>
  <c r="J1288" i="1"/>
  <c r="L1288" i="1" s="1"/>
  <c r="K1287" i="1"/>
  <c r="J1287" i="1"/>
  <c r="L1287" i="1" s="1"/>
  <c r="K1286" i="1"/>
  <c r="L1286" i="1" s="1"/>
  <c r="J1286" i="1"/>
  <c r="L1285" i="1"/>
  <c r="K1285" i="1"/>
  <c r="J1285" i="1"/>
  <c r="K1284" i="1"/>
  <c r="J1284" i="1"/>
  <c r="L1284" i="1" s="1"/>
  <c r="K1283" i="1"/>
  <c r="L1283" i="1" s="1"/>
  <c r="J1283" i="1"/>
  <c r="K1282" i="1"/>
  <c r="L1282" i="1" s="1"/>
  <c r="J1282" i="1"/>
  <c r="K1281" i="1"/>
  <c r="J1281" i="1"/>
  <c r="L1281" i="1" s="1"/>
  <c r="K1280" i="1"/>
  <c r="J1280" i="1"/>
  <c r="L1280" i="1" s="1"/>
  <c r="L1279" i="1"/>
  <c r="K1279" i="1"/>
  <c r="J1279" i="1"/>
  <c r="K1278" i="1"/>
  <c r="J1278" i="1"/>
  <c r="L1278" i="1" s="1"/>
  <c r="K1277" i="1"/>
  <c r="J1277" i="1"/>
  <c r="K1276" i="1"/>
  <c r="J1276" i="1"/>
  <c r="K1275" i="1"/>
  <c r="J1275" i="1"/>
  <c r="L1275" i="1" s="1"/>
  <c r="K1274" i="1"/>
  <c r="L1274" i="1" s="1"/>
  <c r="J1274" i="1"/>
  <c r="K1273" i="1"/>
  <c r="J1273" i="1"/>
  <c r="L1273" i="1" s="1"/>
  <c r="K1272" i="1"/>
  <c r="L1272" i="1" s="1"/>
  <c r="J1272" i="1"/>
  <c r="L1271" i="1"/>
  <c r="K1271" i="1"/>
  <c r="J1271" i="1"/>
  <c r="K1270" i="1"/>
  <c r="J1270" i="1"/>
  <c r="K1269" i="1"/>
  <c r="J1269" i="1"/>
  <c r="L1269" i="1" s="1"/>
  <c r="K1268" i="1"/>
  <c r="J1268" i="1"/>
  <c r="K1267" i="1"/>
  <c r="J1267" i="1"/>
  <c r="L1267" i="1" s="1"/>
  <c r="L1266" i="1"/>
  <c r="K1266" i="1"/>
  <c r="J1266" i="1"/>
  <c r="L1265" i="1"/>
  <c r="K1265" i="1"/>
  <c r="J1265" i="1"/>
  <c r="K1264" i="1"/>
  <c r="J1264" i="1"/>
  <c r="L1264" i="1" s="1"/>
  <c r="K1263" i="1"/>
  <c r="J1263" i="1"/>
  <c r="L1263" i="1" s="1"/>
  <c r="K1262" i="1"/>
  <c r="J1262" i="1"/>
  <c r="L1262" i="1" s="1"/>
  <c r="K1261" i="1"/>
  <c r="L1261" i="1" s="1"/>
  <c r="J1261" i="1"/>
  <c r="K1260" i="1"/>
  <c r="J1260" i="1"/>
  <c r="K1259" i="1"/>
  <c r="J1259" i="1"/>
  <c r="L1259" i="1" s="1"/>
  <c r="K1258" i="1"/>
  <c r="L1258" i="1" s="1"/>
  <c r="J1258" i="1"/>
  <c r="L1257" i="1"/>
  <c r="K1257" i="1"/>
  <c r="J1257" i="1"/>
  <c r="K1256" i="1"/>
  <c r="J1256" i="1"/>
  <c r="K1255" i="1"/>
  <c r="J1255" i="1"/>
  <c r="L1255" i="1" s="1"/>
  <c r="L1254" i="1"/>
  <c r="K1254" i="1"/>
  <c r="J1254" i="1"/>
  <c r="L1253" i="1"/>
  <c r="K1253" i="1"/>
  <c r="J1253" i="1"/>
  <c r="K1252" i="1"/>
  <c r="J1252" i="1"/>
  <c r="L1252" i="1" s="1"/>
  <c r="L1251" i="1"/>
  <c r="K1251" i="1"/>
  <c r="J1251" i="1"/>
  <c r="L1250" i="1"/>
  <c r="K1250" i="1"/>
  <c r="J1250" i="1"/>
  <c r="K1249" i="1"/>
  <c r="J1249" i="1"/>
  <c r="L1249" i="1" s="1"/>
  <c r="K1248" i="1"/>
  <c r="J1248" i="1"/>
  <c r="L1248" i="1" s="1"/>
  <c r="L1247" i="1"/>
  <c r="K1247" i="1"/>
  <c r="J1247" i="1"/>
  <c r="L1246" i="1"/>
  <c r="K1246" i="1"/>
  <c r="J1246" i="1"/>
  <c r="K1245" i="1"/>
  <c r="J1245" i="1"/>
  <c r="K1244" i="1"/>
  <c r="J1244" i="1"/>
  <c r="K1243" i="1"/>
  <c r="L1243" i="1" s="1"/>
  <c r="J1243" i="1"/>
  <c r="K1242" i="1"/>
  <c r="L1242" i="1" s="1"/>
  <c r="J1242" i="1"/>
  <c r="K1241" i="1"/>
  <c r="J1241" i="1"/>
  <c r="L1241" i="1" s="1"/>
  <c r="L1240" i="1"/>
  <c r="K1240" i="1"/>
  <c r="J1240" i="1"/>
  <c r="K1239" i="1"/>
  <c r="J1239" i="1"/>
  <c r="L1239" i="1" s="1"/>
  <c r="K1238" i="1"/>
  <c r="J1238" i="1"/>
  <c r="K1237" i="1"/>
  <c r="J1237" i="1"/>
  <c r="L1237" i="1" s="1"/>
  <c r="K1236" i="1"/>
  <c r="J1236" i="1"/>
  <c r="L1236" i="1" s="1"/>
  <c r="K1235" i="1"/>
  <c r="J1235" i="1"/>
  <c r="L1235" i="1" s="1"/>
  <c r="L1234" i="1"/>
  <c r="K1234" i="1"/>
  <c r="J1234" i="1"/>
  <c r="K1233" i="1"/>
  <c r="L1233" i="1" s="1"/>
  <c r="J1233" i="1"/>
  <c r="K1232" i="1"/>
  <c r="L1232" i="1" s="1"/>
  <c r="J1232" i="1"/>
  <c r="K1231" i="1"/>
  <c r="J1231" i="1"/>
  <c r="L1231" i="1" s="1"/>
  <c r="K1230" i="1"/>
  <c r="J1230" i="1"/>
  <c r="L1230" i="1" s="1"/>
  <c r="L1229" i="1"/>
  <c r="K1229" i="1"/>
  <c r="J1229" i="1"/>
  <c r="K1228" i="1"/>
  <c r="J1228" i="1"/>
  <c r="K1227" i="1"/>
  <c r="J1227" i="1"/>
  <c r="L1227" i="1" s="1"/>
  <c r="L1226" i="1"/>
  <c r="K1226" i="1"/>
  <c r="J1226" i="1"/>
  <c r="L1225" i="1"/>
  <c r="K1225" i="1"/>
  <c r="J1225" i="1"/>
  <c r="K1224" i="1"/>
  <c r="J1224" i="1"/>
  <c r="K1223" i="1"/>
  <c r="J1223" i="1"/>
  <c r="L1223" i="1" s="1"/>
  <c r="K1222" i="1"/>
  <c r="L1222" i="1" s="1"/>
  <c r="J1222" i="1"/>
  <c r="L1221" i="1"/>
  <c r="K1221" i="1"/>
  <c r="J1221" i="1"/>
  <c r="K1220" i="1"/>
  <c r="J1220" i="1"/>
  <c r="L1220" i="1" s="1"/>
  <c r="K1219" i="1"/>
  <c r="L1219" i="1" s="1"/>
  <c r="J1219" i="1"/>
  <c r="L1218" i="1"/>
  <c r="K1218" i="1"/>
  <c r="J1218" i="1"/>
  <c r="K1217" i="1"/>
  <c r="J1217" i="1"/>
  <c r="K1216" i="1"/>
  <c r="J1216" i="1"/>
  <c r="L1216" i="1" s="1"/>
  <c r="L1215" i="1"/>
  <c r="K1215" i="1"/>
  <c r="J1215" i="1"/>
  <c r="K1214" i="1"/>
  <c r="J1214" i="1"/>
  <c r="L1214" i="1" s="1"/>
  <c r="K1213" i="1"/>
  <c r="J1213" i="1"/>
  <c r="L1213" i="1" s="1"/>
  <c r="K1212" i="1"/>
  <c r="J1212" i="1"/>
  <c r="L1212" i="1" s="1"/>
  <c r="K1211" i="1"/>
  <c r="J1211" i="1"/>
  <c r="L1211" i="1" s="1"/>
  <c r="K1210" i="1"/>
  <c r="L1210" i="1" s="1"/>
  <c r="J1210" i="1"/>
  <c r="K1209" i="1"/>
  <c r="J1209" i="1"/>
  <c r="L1209" i="1" s="1"/>
  <c r="K1208" i="1"/>
  <c r="L1208" i="1" s="1"/>
  <c r="J1208" i="1"/>
  <c r="L1207" i="1"/>
  <c r="K1207" i="1"/>
  <c r="J1207" i="1"/>
  <c r="K1206" i="1"/>
  <c r="L1206" i="1" s="1"/>
  <c r="J1206" i="1"/>
  <c r="L1205" i="1"/>
  <c r="K1205" i="1"/>
  <c r="J1205" i="1"/>
  <c r="K1204" i="1"/>
  <c r="J1204" i="1"/>
  <c r="K1203" i="1"/>
  <c r="L1203" i="1" s="1"/>
  <c r="J1203" i="1"/>
  <c r="L1202" i="1"/>
  <c r="K1202" i="1"/>
  <c r="J1202" i="1"/>
  <c r="K1201" i="1"/>
  <c r="J1201" i="1"/>
  <c r="L1201" i="1" s="1"/>
  <c r="K1200" i="1"/>
  <c r="J1200" i="1"/>
  <c r="L1200" i="1" s="1"/>
  <c r="K1199" i="1"/>
  <c r="J1199" i="1"/>
  <c r="L1199" i="1" s="1"/>
  <c r="K1198" i="1"/>
  <c r="J1198" i="1"/>
  <c r="L1198" i="1" s="1"/>
  <c r="K1197" i="1"/>
  <c r="L1197" i="1" s="1"/>
  <c r="J1197" i="1"/>
  <c r="K1196" i="1"/>
  <c r="J1196" i="1"/>
  <c r="K1195" i="1"/>
  <c r="J1195" i="1"/>
  <c r="L1195" i="1" s="1"/>
  <c r="K1194" i="1"/>
  <c r="L1194" i="1" s="1"/>
  <c r="J1194" i="1"/>
  <c r="K1193" i="1"/>
  <c r="L1193" i="1" s="1"/>
  <c r="J1193" i="1"/>
  <c r="L1192" i="1"/>
  <c r="K1192" i="1"/>
  <c r="J1192" i="1"/>
  <c r="K1191" i="1"/>
  <c r="J1191" i="1"/>
  <c r="L1191" i="1" s="1"/>
  <c r="K1190" i="1"/>
  <c r="J1190" i="1"/>
  <c r="L1190" i="1" s="1"/>
  <c r="K1189" i="1"/>
  <c r="J1189" i="1"/>
  <c r="L1189" i="1" s="1"/>
  <c r="K1188" i="1"/>
  <c r="J1188" i="1"/>
  <c r="L1188" i="1" s="1"/>
  <c r="K1187" i="1"/>
  <c r="J1187" i="1"/>
  <c r="L1187" i="1" s="1"/>
  <c r="L1186" i="1"/>
  <c r="K1186" i="1"/>
  <c r="J1186" i="1"/>
  <c r="K1185" i="1"/>
  <c r="J1185" i="1"/>
  <c r="L1185" i="1" s="1"/>
  <c r="K1184" i="1"/>
  <c r="J1184" i="1"/>
  <c r="L1184" i="1" s="1"/>
  <c r="L1183" i="1"/>
  <c r="K1183" i="1"/>
  <c r="J1183" i="1"/>
  <c r="K1182" i="1"/>
  <c r="L1182" i="1" s="1"/>
  <c r="J1182" i="1"/>
  <c r="K1181" i="1"/>
  <c r="L1181" i="1" s="1"/>
  <c r="J1181" i="1"/>
  <c r="K1180" i="1"/>
  <c r="J1180" i="1"/>
  <c r="K1179" i="1"/>
  <c r="L1179" i="1" s="1"/>
  <c r="J1179" i="1"/>
  <c r="K1178" i="1"/>
  <c r="L1178" i="1" s="1"/>
  <c r="J1178" i="1"/>
  <c r="K1177" i="1"/>
  <c r="J1177" i="1"/>
  <c r="L1177" i="1" s="1"/>
  <c r="K1176" i="1"/>
  <c r="J1176" i="1"/>
  <c r="L1176" i="1" s="1"/>
  <c r="L1175" i="1"/>
  <c r="K1175" i="1"/>
  <c r="J1175" i="1"/>
  <c r="K1174" i="1"/>
  <c r="J1174" i="1"/>
  <c r="K1173" i="1"/>
  <c r="J1173" i="1"/>
  <c r="L1173" i="1" s="1"/>
  <c r="K1172" i="1"/>
  <c r="J1172" i="1"/>
  <c r="L1172" i="1" s="1"/>
  <c r="K1171" i="1"/>
  <c r="J1171" i="1"/>
  <c r="K1170" i="1"/>
  <c r="L1170" i="1" s="1"/>
  <c r="J1170" i="1"/>
  <c r="K1169" i="1"/>
  <c r="L1169" i="1" s="1"/>
  <c r="J1169" i="1"/>
  <c r="K1168" i="1"/>
  <c r="L1168" i="1" s="1"/>
  <c r="J1168" i="1"/>
  <c r="L1167" i="1"/>
  <c r="K1167" i="1"/>
  <c r="J1167" i="1"/>
  <c r="K1166" i="1"/>
  <c r="J1166" i="1"/>
  <c r="L1166" i="1" s="1"/>
  <c r="L1165" i="1"/>
  <c r="K1165" i="1"/>
  <c r="J1165" i="1"/>
  <c r="K1164" i="1"/>
  <c r="J1164" i="1"/>
  <c r="K1163" i="1"/>
  <c r="J1163" i="1"/>
  <c r="L1163" i="1" s="1"/>
  <c r="L1162" i="1"/>
  <c r="K1162" i="1"/>
  <c r="J1162" i="1"/>
  <c r="K1161" i="1"/>
  <c r="J1161" i="1"/>
  <c r="L1161" i="1" s="1"/>
  <c r="K1160" i="1"/>
  <c r="J1160" i="1"/>
  <c r="L1160" i="1" s="1"/>
  <c r="K1159" i="1"/>
  <c r="J1159" i="1"/>
  <c r="K1158" i="1"/>
  <c r="L1158" i="1" s="1"/>
  <c r="J1158" i="1"/>
  <c r="K1157" i="1"/>
  <c r="L1157" i="1" s="1"/>
  <c r="J1157" i="1"/>
  <c r="K1156" i="1"/>
  <c r="L1156" i="1" s="1"/>
  <c r="J1156" i="1"/>
  <c r="K1155" i="1"/>
  <c r="J1155" i="1"/>
  <c r="L1155" i="1" s="1"/>
  <c r="K1154" i="1"/>
  <c r="J1154" i="1"/>
  <c r="L1154" i="1" s="1"/>
  <c r="L1153" i="1"/>
  <c r="K1153" i="1"/>
  <c r="J1153" i="1"/>
  <c r="K1152" i="1"/>
  <c r="J1152" i="1"/>
  <c r="K1151" i="1"/>
  <c r="J1151" i="1"/>
  <c r="L1151" i="1" s="1"/>
  <c r="K1150" i="1"/>
  <c r="L1150" i="1" s="1"/>
  <c r="J1150" i="1"/>
  <c r="L1149" i="1"/>
  <c r="K1149" i="1"/>
  <c r="J1149" i="1"/>
  <c r="K1148" i="1"/>
  <c r="L1148" i="1" s="1"/>
  <c r="J1148" i="1"/>
  <c r="K1147" i="1"/>
  <c r="J1147" i="1"/>
  <c r="L1147" i="1" s="1"/>
  <c r="K1146" i="1"/>
  <c r="J1146" i="1"/>
  <c r="L1146" i="1" s="1"/>
  <c r="K1145" i="1"/>
  <c r="J1145" i="1"/>
  <c r="L1145" i="1" s="1"/>
  <c r="K1144" i="1"/>
  <c r="J1144" i="1"/>
  <c r="K1143" i="1"/>
  <c r="J1143" i="1"/>
  <c r="L1143" i="1" s="1"/>
  <c r="K1142" i="1"/>
  <c r="L1142" i="1" s="1"/>
  <c r="J1142" i="1"/>
  <c r="K1141" i="1"/>
  <c r="L1141" i="1" s="1"/>
  <c r="J1141" i="1"/>
  <c r="L1140" i="1"/>
  <c r="K1140" i="1"/>
  <c r="J1140" i="1"/>
  <c r="K1139" i="1"/>
  <c r="J1139" i="1"/>
  <c r="L1139" i="1" s="1"/>
  <c r="K1138" i="1"/>
  <c r="J1138" i="1"/>
  <c r="L1138" i="1" s="1"/>
  <c r="K1137" i="1"/>
  <c r="J1137" i="1"/>
  <c r="L1137" i="1" s="1"/>
  <c r="K1136" i="1"/>
  <c r="J1136" i="1"/>
  <c r="L1136" i="1" s="1"/>
  <c r="K1135" i="1"/>
  <c r="J1135" i="1"/>
  <c r="L1135" i="1" s="1"/>
  <c r="L1134" i="1"/>
  <c r="K1134" i="1"/>
  <c r="J1134" i="1"/>
  <c r="K1133" i="1"/>
  <c r="L1133" i="1" s="1"/>
  <c r="J1133" i="1"/>
  <c r="K1132" i="1"/>
  <c r="J1132" i="1"/>
  <c r="L1132" i="1" s="1"/>
  <c r="K1131" i="1"/>
  <c r="J1131" i="1"/>
  <c r="L1131" i="1" s="1"/>
  <c r="K1130" i="1"/>
  <c r="J1130" i="1"/>
  <c r="L1130" i="1" s="1"/>
  <c r="L1129" i="1"/>
  <c r="K1129" i="1"/>
  <c r="J1129" i="1"/>
  <c r="K1128" i="1"/>
  <c r="J1128" i="1"/>
  <c r="K1127" i="1"/>
  <c r="J1127" i="1"/>
  <c r="L1127" i="1" s="1"/>
  <c r="L1126" i="1"/>
  <c r="K1126" i="1"/>
  <c r="J1126" i="1"/>
  <c r="K1125" i="1"/>
  <c r="J1125" i="1"/>
  <c r="L1125" i="1" s="1"/>
  <c r="K1124" i="1"/>
  <c r="J1124" i="1"/>
  <c r="L1124" i="1" s="1"/>
  <c r="L1123" i="1"/>
  <c r="K1123" i="1"/>
  <c r="J1123" i="1"/>
  <c r="K1122" i="1"/>
  <c r="J1122" i="1"/>
  <c r="L1122" i="1" s="1"/>
  <c r="K1121" i="1"/>
  <c r="J1121" i="1"/>
  <c r="K1120" i="1"/>
  <c r="J1120" i="1"/>
  <c r="L1120" i="1" s="1"/>
  <c r="K1119" i="1"/>
  <c r="J1119" i="1"/>
  <c r="L1119" i="1" s="1"/>
  <c r="K1118" i="1"/>
  <c r="L1118" i="1" s="1"/>
  <c r="J1118" i="1"/>
  <c r="K1117" i="1"/>
  <c r="J1117" i="1"/>
  <c r="L1117" i="1" s="1"/>
  <c r="K1116" i="1"/>
  <c r="J1116" i="1"/>
  <c r="L1116" i="1" s="1"/>
  <c r="L1115" i="1"/>
  <c r="K1115" i="1"/>
  <c r="J1115" i="1"/>
  <c r="K1114" i="1"/>
  <c r="J1114" i="1"/>
  <c r="L1114" i="1" s="1"/>
  <c r="K1113" i="1"/>
  <c r="J1113" i="1"/>
  <c r="L1113" i="1" s="1"/>
  <c r="K1112" i="1"/>
  <c r="J1112" i="1"/>
  <c r="K1111" i="1"/>
  <c r="J1111" i="1"/>
  <c r="L1111" i="1" s="1"/>
  <c r="K1110" i="1"/>
  <c r="L1110" i="1" s="1"/>
  <c r="J1110" i="1"/>
  <c r="L1109" i="1"/>
  <c r="K1109" i="1"/>
  <c r="J1109" i="1"/>
  <c r="K1108" i="1"/>
  <c r="J1108" i="1"/>
  <c r="L1108" i="1" s="1"/>
  <c r="K1107" i="1"/>
  <c r="J1107" i="1"/>
  <c r="L1107" i="1" s="1"/>
  <c r="K1106" i="1"/>
  <c r="J1106" i="1"/>
  <c r="L1106" i="1" s="1"/>
  <c r="K1105" i="1"/>
  <c r="J1105" i="1"/>
  <c r="L1105" i="1" s="1"/>
  <c r="K1104" i="1"/>
  <c r="J1104" i="1"/>
  <c r="K1103" i="1"/>
  <c r="J1103" i="1"/>
  <c r="L1103" i="1" s="1"/>
  <c r="K1102" i="1"/>
  <c r="L1102" i="1" s="1"/>
  <c r="J1102" i="1"/>
  <c r="L1101" i="1"/>
  <c r="K1101" i="1"/>
  <c r="J1101" i="1"/>
  <c r="K1100" i="1"/>
  <c r="J1100" i="1"/>
  <c r="L1100" i="1" s="1"/>
  <c r="K1099" i="1"/>
  <c r="J1099" i="1"/>
  <c r="L1099" i="1" s="1"/>
  <c r="L1098" i="1"/>
  <c r="K1098" i="1"/>
  <c r="J1098" i="1"/>
  <c r="K1097" i="1"/>
  <c r="J1097" i="1"/>
  <c r="L1097" i="1" s="1"/>
  <c r="K1096" i="1"/>
  <c r="J1096" i="1"/>
  <c r="L1096" i="1" s="1"/>
  <c r="L1095" i="1"/>
  <c r="K1095" i="1"/>
  <c r="J1095" i="1"/>
  <c r="K1094" i="1"/>
  <c r="L1094" i="1" s="1"/>
  <c r="J1094" i="1"/>
  <c r="K1093" i="1"/>
  <c r="J1093" i="1"/>
  <c r="L1093" i="1" s="1"/>
  <c r="K1092" i="1"/>
  <c r="J1092" i="1"/>
  <c r="L1092" i="1" s="1"/>
  <c r="K1091" i="1"/>
  <c r="J1091" i="1"/>
  <c r="L1091" i="1" s="1"/>
  <c r="L1090" i="1"/>
  <c r="K1090" i="1"/>
  <c r="J1090" i="1"/>
  <c r="K1089" i="1"/>
  <c r="J1089" i="1"/>
  <c r="L1089" i="1" s="1"/>
  <c r="K1088" i="1"/>
  <c r="J1088" i="1"/>
  <c r="L1088" i="1" s="1"/>
  <c r="L1087" i="1"/>
  <c r="K1087" i="1"/>
  <c r="J1087" i="1"/>
  <c r="K1086" i="1"/>
  <c r="J1086" i="1"/>
  <c r="L1086" i="1" s="1"/>
  <c r="K1085" i="1"/>
  <c r="J1085" i="1"/>
  <c r="L1085" i="1" s="1"/>
  <c r="L1084" i="1"/>
  <c r="K1084" i="1"/>
  <c r="J1084" i="1"/>
  <c r="K1083" i="1"/>
  <c r="J1083" i="1"/>
  <c r="L1083" i="1" s="1"/>
  <c r="K1082" i="1"/>
  <c r="J1082" i="1"/>
  <c r="L1082" i="1" s="1"/>
  <c r="K1081" i="1"/>
  <c r="J1081" i="1"/>
  <c r="L1081" i="1" s="1"/>
  <c r="K1080" i="1"/>
  <c r="J1080" i="1"/>
  <c r="L1080" i="1" s="1"/>
  <c r="L1079" i="1"/>
  <c r="K1079" i="1"/>
  <c r="J1079" i="1"/>
  <c r="K1078" i="1"/>
  <c r="J1078" i="1"/>
  <c r="L1078" i="1" s="1"/>
  <c r="K1077" i="1"/>
  <c r="J1077" i="1"/>
  <c r="L1077" i="1" s="1"/>
  <c r="L1076" i="1"/>
  <c r="K1076" i="1"/>
  <c r="J1076" i="1"/>
  <c r="K1075" i="1"/>
  <c r="J1075" i="1"/>
  <c r="L1075" i="1" s="1"/>
  <c r="K1074" i="1"/>
  <c r="J1074" i="1"/>
  <c r="K1073" i="1"/>
  <c r="J1073" i="1"/>
  <c r="L1073" i="1" s="1"/>
  <c r="K1072" i="1"/>
  <c r="J1072" i="1"/>
  <c r="L1072" i="1" s="1"/>
  <c r="K1071" i="1"/>
  <c r="L1071" i="1" s="1"/>
  <c r="J1071" i="1"/>
  <c r="K1070" i="1"/>
  <c r="J1070" i="1"/>
  <c r="L1070" i="1" s="1"/>
  <c r="K1069" i="1"/>
  <c r="J1069" i="1"/>
  <c r="L1069" i="1" s="1"/>
  <c r="L1068" i="1"/>
  <c r="K1068" i="1"/>
  <c r="J1068" i="1"/>
  <c r="K1067" i="1"/>
  <c r="J1067" i="1"/>
  <c r="L1067" i="1" s="1"/>
  <c r="K1066" i="1"/>
  <c r="J1066" i="1"/>
  <c r="K1065" i="1"/>
  <c r="J1065" i="1"/>
  <c r="L1065" i="1" s="1"/>
  <c r="K1064" i="1"/>
  <c r="J1064" i="1"/>
  <c r="L1064" i="1" s="1"/>
  <c r="L1063" i="1"/>
  <c r="K1063" i="1"/>
  <c r="J1063" i="1"/>
  <c r="K1062" i="1"/>
  <c r="J1062" i="1"/>
  <c r="L1062" i="1" s="1"/>
  <c r="K1061" i="1"/>
  <c r="J1061" i="1"/>
  <c r="L1061" i="1" s="1"/>
  <c r="L1060" i="1"/>
  <c r="K1060" i="1"/>
  <c r="J1060" i="1"/>
  <c r="K1059" i="1"/>
  <c r="J1059" i="1"/>
  <c r="L1059" i="1" s="1"/>
  <c r="K1058" i="1"/>
  <c r="J1058" i="1"/>
  <c r="K1057" i="1"/>
  <c r="J1057" i="1"/>
  <c r="L1057" i="1" s="1"/>
  <c r="K1056" i="1"/>
  <c r="J1056" i="1"/>
  <c r="L1056" i="1" s="1"/>
  <c r="L1055" i="1"/>
  <c r="K1055" i="1"/>
  <c r="J1055" i="1"/>
  <c r="K1054" i="1"/>
  <c r="J1054" i="1"/>
  <c r="L1054" i="1" s="1"/>
  <c r="K1053" i="1"/>
  <c r="J1053" i="1"/>
  <c r="L1053" i="1" s="1"/>
  <c r="L1052" i="1"/>
  <c r="K1052" i="1"/>
  <c r="J1052" i="1"/>
  <c r="K1051" i="1"/>
  <c r="J1051" i="1"/>
  <c r="L1051" i="1" s="1"/>
  <c r="K1050" i="1"/>
  <c r="J1050" i="1"/>
  <c r="L1050" i="1" s="1"/>
  <c r="K1049" i="1"/>
  <c r="J1049" i="1"/>
  <c r="L1049" i="1" s="1"/>
  <c r="K1048" i="1"/>
  <c r="J1048" i="1"/>
  <c r="L1048" i="1" s="1"/>
  <c r="L1047" i="1"/>
  <c r="K1047" i="1"/>
  <c r="J1047" i="1"/>
  <c r="K1046" i="1"/>
  <c r="J1046" i="1"/>
  <c r="L1046" i="1" s="1"/>
  <c r="K1045" i="1"/>
  <c r="J1045" i="1"/>
  <c r="L1045" i="1" s="1"/>
  <c r="L1044" i="1"/>
  <c r="K1044" i="1"/>
  <c r="J1044" i="1"/>
  <c r="K1043" i="1"/>
  <c r="J1043" i="1"/>
  <c r="L1043" i="1" s="1"/>
  <c r="K1042" i="1"/>
  <c r="J1042" i="1"/>
  <c r="K1041" i="1"/>
  <c r="J1041" i="1"/>
  <c r="L1041" i="1" s="1"/>
  <c r="K1040" i="1"/>
  <c r="J1040" i="1"/>
  <c r="L1040" i="1" s="1"/>
  <c r="K1039" i="1"/>
  <c r="L1039" i="1" s="1"/>
  <c r="J1039" i="1"/>
  <c r="K1038" i="1"/>
  <c r="J1038" i="1"/>
  <c r="L1038" i="1" s="1"/>
  <c r="K1037" i="1"/>
  <c r="J1037" i="1"/>
  <c r="L1037" i="1" s="1"/>
  <c r="L1036" i="1"/>
  <c r="K1036" i="1"/>
  <c r="J1036" i="1"/>
  <c r="K1035" i="1"/>
  <c r="J1035" i="1"/>
  <c r="L1035" i="1" s="1"/>
  <c r="K1034" i="1"/>
  <c r="J1034" i="1"/>
  <c r="K1033" i="1"/>
  <c r="J1033" i="1"/>
  <c r="L1033" i="1" s="1"/>
  <c r="K1032" i="1"/>
  <c r="J1032" i="1"/>
  <c r="L1032" i="1" s="1"/>
  <c r="K1031" i="1"/>
  <c r="L1031" i="1" s="1"/>
  <c r="J1031" i="1"/>
  <c r="K1030" i="1"/>
  <c r="J1030" i="1"/>
  <c r="L1030" i="1" s="1"/>
  <c r="K1029" i="1"/>
  <c r="J1029" i="1"/>
  <c r="L1029" i="1" s="1"/>
  <c r="L1028" i="1"/>
  <c r="K1028" i="1"/>
  <c r="J1028" i="1"/>
  <c r="K1027" i="1"/>
  <c r="J1027" i="1"/>
  <c r="L1027" i="1" s="1"/>
  <c r="K1026" i="1"/>
  <c r="J1026" i="1"/>
  <c r="K1025" i="1"/>
  <c r="J1025" i="1"/>
  <c r="L1025" i="1" s="1"/>
  <c r="K1024" i="1"/>
  <c r="J1024" i="1"/>
  <c r="L1024" i="1" s="1"/>
  <c r="L1023" i="1"/>
  <c r="K1023" i="1"/>
  <c r="J1023" i="1"/>
  <c r="K1022" i="1"/>
  <c r="J1022" i="1"/>
  <c r="L1022" i="1" s="1"/>
  <c r="K1021" i="1"/>
  <c r="J1021" i="1"/>
  <c r="L1021" i="1" s="1"/>
  <c r="L1020" i="1"/>
  <c r="K1020" i="1"/>
  <c r="J1020" i="1"/>
  <c r="K1019" i="1"/>
  <c r="J1019" i="1"/>
  <c r="L1019" i="1" s="1"/>
  <c r="K1018" i="1"/>
  <c r="J1018" i="1"/>
  <c r="L1018" i="1" s="1"/>
  <c r="K1017" i="1"/>
  <c r="J1017" i="1"/>
  <c r="L1017" i="1" s="1"/>
  <c r="K1016" i="1"/>
  <c r="J1016" i="1"/>
  <c r="L1016" i="1" s="1"/>
  <c r="L1015" i="1"/>
  <c r="K1015" i="1"/>
  <c r="J1015" i="1"/>
  <c r="K1014" i="1"/>
  <c r="J1014" i="1"/>
  <c r="L1014" i="1" s="1"/>
  <c r="K1013" i="1"/>
  <c r="J1013" i="1"/>
  <c r="L1013" i="1" s="1"/>
  <c r="L1012" i="1"/>
  <c r="K1012" i="1"/>
  <c r="J1012" i="1"/>
  <c r="K1011" i="1"/>
  <c r="J1011" i="1"/>
  <c r="L1011" i="1" s="1"/>
  <c r="K1010" i="1"/>
  <c r="J1010" i="1"/>
  <c r="L1010" i="1" s="1"/>
  <c r="K1009" i="1"/>
  <c r="J1009" i="1"/>
  <c r="L1009" i="1" s="1"/>
  <c r="K1008" i="1"/>
  <c r="J1008" i="1"/>
  <c r="L1008" i="1" s="1"/>
  <c r="K1007" i="1"/>
  <c r="L1007" i="1" s="1"/>
  <c r="J1007" i="1"/>
  <c r="K1006" i="1"/>
  <c r="J1006" i="1"/>
  <c r="L1006" i="1" s="1"/>
  <c r="K1005" i="1"/>
  <c r="J1005" i="1"/>
  <c r="L1005" i="1" s="1"/>
  <c r="L1004" i="1"/>
  <c r="K1004" i="1"/>
  <c r="J1004" i="1"/>
  <c r="K1003" i="1"/>
  <c r="J1003" i="1"/>
  <c r="L1003" i="1" s="1"/>
  <c r="K1002" i="1"/>
  <c r="J1002" i="1"/>
  <c r="K1001" i="1"/>
  <c r="J1001" i="1"/>
  <c r="L1001" i="1" s="1"/>
  <c r="K1000" i="1"/>
  <c r="J1000" i="1"/>
  <c r="L1000" i="1" s="1"/>
  <c r="K999" i="1"/>
  <c r="L999" i="1" s="1"/>
  <c r="J999" i="1"/>
  <c r="K998" i="1"/>
  <c r="J998" i="1"/>
  <c r="L998" i="1" s="1"/>
  <c r="K997" i="1"/>
  <c r="J997" i="1"/>
  <c r="L997" i="1" s="1"/>
  <c r="L996" i="1"/>
  <c r="K996" i="1"/>
  <c r="J996" i="1"/>
  <c r="K995" i="1"/>
  <c r="J995" i="1"/>
  <c r="L995" i="1" s="1"/>
  <c r="K994" i="1"/>
  <c r="J994" i="1"/>
  <c r="K993" i="1"/>
  <c r="J993" i="1"/>
  <c r="L993" i="1" s="1"/>
  <c r="K992" i="1"/>
  <c r="J992" i="1"/>
  <c r="L992" i="1" s="1"/>
  <c r="L991" i="1"/>
  <c r="K991" i="1"/>
  <c r="J991" i="1"/>
  <c r="L990" i="1"/>
  <c r="K990" i="1"/>
  <c r="J990" i="1"/>
  <c r="K989" i="1"/>
  <c r="J989" i="1"/>
  <c r="L989" i="1" s="1"/>
  <c r="K988" i="1"/>
  <c r="J988" i="1"/>
  <c r="L988" i="1" s="1"/>
  <c r="K987" i="1"/>
  <c r="J987" i="1"/>
  <c r="L987" i="1" s="1"/>
  <c r="K986" i="1"/>
  <c r="J986" i="1"/>
  <c r="L986" i="1" s="1"/>
  <c r="K985" i="1"/>
  <c r="J985" i="1"/>
  <c r="L985" i="1" s="1"/>
  <c r="K984" i="1"/>
  <c r="J984" i="1"/>
  <c r="L984" i="1" s="1"/>
  <c r="L983" i="1"/>
  <c r="K983" i="1"/>
  <c r="J983" i="1"/>
  <c r="L982" i="1"/>
  <c r="K982" i="1"/>
  <c r="J982" i="1"/>
  <c r="K981" i="1"/>
  <c r="J981" i="1"/>
  <c r="L981" i="1" s="1"/>
  <c r="K980" i="1"/>
  <c r="J980" i="1"/>
  <c r="L980" i="1" s="1"/>
  <c r="K979" i="1"/>
  <c r="J979" i="1"/>
  <c r="L979" i="1" s="1"/>
  <c r="K978" i="1"/>
  <c r="J978" i="1"/>
  <c r="K977" i="1"/>
  <c r="J977" i="1"/>
  <c r="K976" i="1"/>
  <c r="J976" i="1"/>
  <c r="L976" i="1" s="1"/>
  <c r="K975" i="1"/>
  <c r="L975" i="1" s="1"/>
  <c r="J975" i="1"/>
  <c r="L974" i="1"/>
  <c r="K974" i="1"/>
  <c r="J974" i="1"/>
  <c r="K973" i="1"/>
  <c r="J973" i="1"/>
  <c r="L973" i="1" s="1"/>
  <c r="K972" i="1"/>
  <c r="J972" i="1"/>
  <c r="L972" i="1" s="1"/>
  <c r="K971" i="1"/>
  <c r="J971" i="1"/>
  <c r="L971" i="1" s="1"/>
  <c r="K970" i="1"/>
  <c r="J970" i="1"/>
  <c r="K969" i="1"/>
  <c r="J969" i="1"/>
  <c r="L969" i="1" s="1"/>
  <c r="K968" i="1"/>
  <c r="J968" i="1"/>
  <c r="L968" i="1" s="1"/>
  <c r="K967" i="1"/>
  <c r="L967" i="1" s="1"/>
  <c r="J967" i="1"/>
  <c r="L966" i="1"/>
  <c r="K966" i="1"/>
  <c r="J966" i="1"/>
  <c r="K965" i="1"/>
  <c r="J965" i="1"/>
  <c r="L965" i="1" s="1"/>
  <c r="L964" i="1"/>
  <c r="K964" i="1"/>
  <c r="J964" i="1"/>
  <c r="K963" i="1"/>
  <c r="J963" i="1"/>
  <c r="L963" i="1" s="1"/>
  <c r="K962" i="1"/>
  <c r="J962" i="1"/>
  <c r="L962" i="1" s="1"/>
  <c r="K961" i="1"/>
  <c r="J961" i="1"/>
  <c r="K960" i="1"/>
  <c r="J960" i="1"/>
  <c r="L960" i="1" s="1"/>
  <c r="K959" i="1"/>
  <c r="L959" i="1" s="1"/>
  <c r="J959" i="1"/>
  <c r="L958" i="1"/>
  <c r="K958" i="1"/>
  <c r="J958" i="1"/>
  <c r="K957" i="1"/>
  <c r="J957" i="1"/>
  <c r="L957" i="1" s="1"/>
  <c r="K956" i="1"/>
  <c r="J956" i="1"/>
  <c r="L956" i="1" s="1"/>
  <c r="K955" i="1"/>
  <c r="J955" i="1"/>
  <c r="L955" i="1" s="1"/>
  <c r="K954" i="1"/>
  <c r="J954" i="1"/>
  <c r="L954" i="1" s="1"/>
  <c r="K953" i="1"/>
  <c r="J953" i="1"/>
  <c r="K952" i="1"/>
  <c r="J952" i="1"/>
  <c r="L952" i="1" s="1"/>
  <c r="K951" i="1"/>
  <c r="L951" i="1" s="1"/>
  <c r="J951" i="1"/>
  <c r="L950" i="1"/>
  <c r="K950" i="1"/>
  <c r="J950" i="1"/>
  <c r="K949" i="1"/>
  <c r="J949" i="1"/>
  <c r="L949" i="1" s="1"/>
  <c r="K948" i="1"/>
  <c r="J948" i="1"/>
  <c r="L948" i="1" s="1"/>
  <c r="K947" i="1"/>
  <c r="J947" i="1"/>
  <c r="L947" i="1" s="1"/>
  <c r="K946" i="1"/>
  <c r="J946" i="1"/>
  <c r="L946" i="1" s="1"/>
  <c r="K945" i="1"/>
  <c r="J945" i="1"/>
  <c r="L945" i="1" s="1"/>
  <c r="K944" i="1"/>
  <c r="J944" i="1"/>
  <c r="L944" i="1" s="1"/>
  <c r="L943" i="1"/>
  <c r="K943" i="1"/>
  <c r="J943" i="1"/>
  <c r="L942" i="1"/>
  <c r="K942" i="1"/>
  <c r="J942" i="1"/>
  <c r="K941" i="1"/>
  <c r="J941" i="1"/>
  <c r="L941" i="1" s="1"/>
  <c r="L940" i="1"/>
  <c r="K940" i="1"/>
  <c r="J940" i="1"/>
  <c r="K939" i="1"/>
  <c r="J939" i="1"/>
  <c r="L939" i="1" s="1"/>
  <c r="K938" i="1"/>
  <c r="J938" i="1"/>
  <c r="L938" i="1" s="1"/>
  <c r="K937" i="1"/>
  <c r="J937" i="1"/>
  <c r="L937" i="1" s="1"/>
  <c r="K936" i="1"/>
  <c r="J936" i="1"/>
  <c r="L936" i="1" s="1"/>
  <c r="K935" i="1"/>
  <c r="L935" i="1" s="1"/>
  <c r="J935" i="1"/>
  <c r="L934" i="1"/>
  <c r="K934" i="1"/>
  <c r="J934" i="1"/>
  <c r="K933" i="1"/>
  <c r="J933" i="1"/>
  <c r="L933" i="1" s="1"/>
  <c r="K932" i="1"/>
  <c r="J932" i="1"/>
  <c r="L932" i="1" s="1"/>
  <c r="K931" i="1"/>
  <c r="J931" i="1"/>
  <c r="L931" i="1" s="1"/>
  <c r="K930" i="1"/>
  <c r="J930" i="1"/>
  <c r="K929" i="1"/>
  <c r="J929" i="1"/>
  <c r="L929" i="1" s="1"/>
  <c r="K928" i="1"/>
  <c r="J928" i="1"/>
  <c r="L928" i="1" s="1"/>
  <c r="L927" i="1"/>
  <c r="K927" i="1"/>
  <c r="J927" i="1"/>
  <c r="L926" i="1"/>
  <c r="K926" i="1"/>
  <c r="J926" i="1"/>
  <c r="K925" i="1"/>
  <c r="J925" i="1"/>
  <c r="L925" i="1" s="1"/>
  <c r="L924" i="1"/>
  <c r="K924" i="1"/>
  <c r="J924" i="1"/>
  <c r="K923" i="1"/>
  <c r="J923" i="1"/>
  <c r="L923" i="1" s="1"/>
  <c r="K922" i="1"/>
  <c r="J922" i="1"/>
  <c r="L922" i="1" s="1"/>
  <c r="K921" i="1"/>
  <c r="J921" i="1"/>
  <c r="L921" i="1" s="1"/>
  <c r="K920" i="1"/>
  <c r="J920" i="1"/>
  <c r="L919" i="1"/>
  <c r="K919" i="1"/>
  <c r="J919" i="1"/>
  <c r="L918" i="1"/>
  <c r="K918" i="1"/>
  <c r="J918" i="1"/>
  <c r="K917" i="1"/>
  <c r="J917" i="1"/>
  <c r="L917" i="1" s="1"/>
  <c r="K916" i="1"/>
  <c r="J916" i="1"/>
  <c r="L916" i="1" s="1"/>
  <c r="K915" i="1"/>
  <c r="J915" i="1"/>
  <c r="L915" i="1" s="1"/>
  <c r="L914" i="1"/>
  <c r="K914" i="1"/>
  <c r="J914" i="1"/>
  <c r="K913" i="1"/>
  <c r="J913" i="1"/>
  <c r="K912" i="1"/>
  <c r="J912" i="1"/>
  <c r="L912" i="1" s="1"/>
  <c r="K911" i="1"/>
  <c r="L911" i="1" s="1"/>
  <c r="J911" i="1"/>
  <c r="L910" i="1"/>
  <c r="K910" i="1"/>
  <c r="J910" i="1"/>
  <c r="K909" i="1"/>
  <c r="J909" i="1"/>
  <c r="L909" i="1" s="1"/>
  <c r="K908" i="1"/>
  <c r="J908" i="1"/>
  <c r="L908" i="1" s="1"/>
  <c r="K907" i="1"/>
  <c r="J907" i="1"/>
  <c r="L907" i="1" s="1"/>
  <c r="K906" i="1"/>
  <c r="J906" i="1"/>
  <c r="L906" i="1" s="1"/>
  <c r="K905" i="1"/>
  <c r="J905" i="1"/>
  <c r="L905" i="1" s="1"/>
  <c r="K904" i="1"/>
  <c r="J904" i="1"/>
  <c r="L904" i="1" s="1"/>
  <c r="L903" i="1"/>
  <c r="K903" i="1"/>
  <c r="J903" i="1"/>
  <c r="L902" i="1"/>
  <c r="K902" i="1"/>
  <c r="J902" i="1"/>
  <c r="K901" i="1"/>
  <c r="J901" i="1"/>
  <c r="L901" i="1" s="1"/>
  <c r="L900" i="1"/>
  <c r="K900" i="1"/>
  <c r="J900" i="1"/>
  <c r="K899" i="1"/>
  <c r="J899" i="1"/>
  <c r="L899" i="1" s="1"/>
  <c r="K898" i="1"/>
  <c r="J898" i="1"/>
  <c r="L898" i="1" s="1"/>
  <c r="K897" i="1"/>
  <c r="J897" i="1"/>
  <c r="K896" i="1"/>
  <c r="J896" i="1"/>
  <c r="L896" i="1" s="1"/>
  <c r="K895" i="1"/>
  <c r="L895" i="1" s="1"/>
  <c r="J895" i="1"/>
  <c r="L894" i="1"/>
  <c r="K894" i="1"/>
  <c r="J894" i="1"/>
  <c r="K893" i="1"/>
  <c r="J893" i="1"/>
  <c r="L893" i="1" s="1"/>
  <c r="L892" i="1"/>
  <c r="K892" i="1"/>
  <c r="J892" i="1"/>
  <c r="K891" i="1"/>
  <c r="J891" i="1"/>
  <c r="L891" i="1" s="1"/>
  <c r="K890" i="1"/>
  <c r="J890" i="1"/>
  <c r="L890" i="1" s="1"/>
  <c r="K889" i="1"/>
  <c r="J889" i="1"/>
  <c r="L889" i="1" s="1"/>
  <c r="K888" i="1"/>
  <c r="J888" i="1"/>
  <c r="L888" i="1" s="1"/>
  <c r="L887" i="1"/>
  <c r="K887" i="1"/>
  <c r="J887" i="1"/>
  <c r="L886" i="1"/>
  <c r="K886" i="1"/>
  <c r="J886" i="1"/>
  <c r="K885" i="1"/>
  <c r="J885" i="1"/>
  <c r="L885" i="1" s="1"/>
  <c r="L884" i="1"/>
  <c r="K884" i="1"/>
  <c r="J884" i="1"/>
  <c r="K883" i="1"/>
  <c r="J883" i="1"/>
  <c r="L883" i="1" s="1"/>
  <c r="K882" i="1"/>
  <c r="J882" i="1"/>
  <c r="L882" i="1" s="1"/>
  <c r="K881" i="1"/>
  <c r="J881" i="1"/>
  <c r="K880" i="1"/>
  <c r="J880" i="1"/>
  <c r="L880" i="1" s="1"/>
  <c r="K879" i="1"/>
  <c r="L879" i="1" s="1"/>
  <c r="J879" i="1"/>
  <c r="L878" i="1"/>
  <c r="K878" i="1"/>
  <c r="J878" i="1"/>
  <c r="K877" i="1"/>
  <c r="J877" i="1"/>
  <c r="L877" i="1" s="1"/>
  <c r="L876" i="1"/>
  <c r="K876" i="1"/>
  <c r="J876" i="1"/>
  <c r="K875" i="1"/>
  <c r="J875" i="1"/>
  <c r="L875" i="1" s="1"/>
  <c r="K874" i="1"/>
  <c r="J874" i="1"/>
  <c r="L874" i="1" s="1"/>
  <c r="K873" i="1"/>
  <c r="J873" i="1"/>
  <c r="L873" i="1" s="1"/>
  <c r="K872" i="1"/>
  <c r="J872" i="1"/>
  <c r="L872" i="1" s="1"/>
  <c r="L871" i="1"/>
  <c r="K871" i="1"/>
  <c r="J871" i="1"/>
  <c r="L870" i="1"/>
  <c r="K870" i="1"/>
  <c r="J870" i="1"/>
  <c r="K869" i="1"/>
  <c r="J869" i="1"/>
  <c r="L869" i="1" s="1"/>
  <c r="L868" i="1"/>
  <c r="K868" i="1"/>
  <c r="J868" i="1"/>
  <c r="K867" i="1"/>
  <c r="J867" i="1"/>
  <c r="L867" i="1" s="1"/>
  <c r="L866" i="1"/>
  <c r="K866" i="1"/>
  <c r="J866" i="1"/>
  <c r="K865" i="1"/>
  <c r="J865" i="1"/>
  <c r="K864" i="1"/>
  <c r="J864" i="1"/>
  <c r="L864" i="1" s="1"/>
  <c r="K863" i="1"/>
  <c r="L863" i="1" s="1"/>
  <c r="J863" i="1"/>
  <c r="L862" i="1"/>
  <c r="K862" i="1"/>
  <c r="J862" i="1"/>
  <c r="K861" i="1"/>
  <c r="J861" i="1"/>
  <c r="L861" i="1" s="1"/>
  <c r="L860" i="1"/>
  <c r="K860" i="1"/>
  <c r="J860" i="1"/>
  <c r="K859" i="1"/>
  <c r="J859" i="1"/>
  <c r="L859" i="1" s="1"/>
  <c r="K858" i="1"/>
  <c r="J858" i="1"/>
  <c r="L858" i="1" s="1"/>
  <c r="K857" i="1"/>
  <c r="J857" i="1"/>
  <c r="L857" i="1" s="1"/>
  <c r="K856" i="1"/>
  <c r="J856" i="1"/>
  <c r="L856" i="1" s="1"/>
  <c r="L855" i="1"/>
  <c r="K855" i="1"/>
  <c r="J855" i="1"/>
  <c r="L854" i="1"/>
  <c r="K854" i="1"/>
  <c r="J854" i="1"/>
  <c r="K853" i="1"/>
  <c r="J853" i="1"/>
  <c r="L853" i="1" s="1"/>
  <c r="L852" i="1"/>
  <c r="K852" i="1"/>
  <c r="J852" i="1"/>
  <c r="K851" i="1"/>
  <c r="J851" i="1"/>
  <c r="L851" i="1" s="1"/>
  <c r="K850" i="1"/>
  <c r="J850" i="1"/>
  <c r="L850" i="1" s="1"/>
  <c r="K849" i="1"/>
  <c r="J849" i="1"/>
  <c r="K848" i="1"/>
  <c r="J848" i="1"/>
  <c r="L848" i="1" s="1"/>
  <c r="K847" i="1"/>
  <c r="L847" i="1" s="1"/>
  <c r="J847" i="1"/>
  <c r="L846" i="1"/>
  <c r="K846" i="1"/>
  <c r="J846" i="1"/>
  <c r="K845" i="1"/>
  <c r="J845" i="1"/>
  <c r="L845" i="1" s="1"/>
  <c r="L844" i="1"/>
  <c r="K844" i="1"/>
  <c r="J844" i="1"/>
  <c r="K843" i="1"/>
  <c r="J843" i="1"/>
  <c r="L843" i="1" s="1"/>
  <c r="K842" i="1"/>
  <c r="J842" i="1"/>
  <c r="L842" i="1" s="1"/>
  <c r="K841" i="1"/>
  <c r="J841" i="1"/>
  <c r="L841" i="1" s="1"/>
  <c r="K840" i="1"/>
  <c r="J840" i="1"/>
  <c r="L840" i="1" s="1"/>
  <c r="L839" i="1"/>
  <c r="K839" i="1"/>
  <c r="J839" i="1"/>
  <c r="L838" i="1"/>
  <c r="K838" i="1"/>
  <c r="J838" i="1"/>
  <c r="K837" i="1"/>
  <c r="J837" i="1"/>
  <c r="L837" i="1" s="1"/>
  <c r="L836" i="1"/>
  <c r="K836" i="1"/>
  <c r="J836" i="1"/>
  <c r="K835" i="1"/>
  <c r="J835" i="1"/>
  <c r="L835" i="1" s="1"/>
  <c r="K834" i="1"/>
  <c r="J834" i="1"/>
  <c r="L834" i="1" s="1"/>
  <c r="L833" i="1"/>
  <c r="K833" i="1"/>
  <c r="J833" i="1"/>
  <c r="K832" i="1"/>
  <c r="J832" i="1"/>
  <c r="L832" i="1" s="1"/>
  <c r="K831" i="1"/>
  <c r="J831" i="1"/>
  <c r="L831" i="1" s="1"/>
  <c r="L830" i="1"/>
  <c r="K830" i="1"/>
  <c r="J830" i="1"/>
  <c r="K829" i="1"/>
  <c r="J829" i="1"/>
  <c r="K828" i="1"/>
  <c r="J828" i="1"/>
  <c r="L828" i="1" s="1"/>
  <c r="K827" i="1"/>
  <c r="J827" i="1"/>
  <c r="L827" i="1" s="1"/>
  <c r="K826" i="1"/>
  <c r="J826" i="1"/>
  <c r="L826" i="1" s="1"/>
  <c r="L825" i="1"/>
  <c r="K825" i="1"/>
  <c r="J825" i="1"/>
  <c r="K824" i="1"/>
  <c r="J824" i="1"/>
  <c r="L824" i="1" s="1"/>
  <c r="K823" i="1"/>
  <c r="J823" i="1"/>
  <c r="L823" i="1" s="1"/>
  <c r="L822" i="1"/>
  <c r="K822" i="1"/>
  <c r="J822" i="1"/>
  <c r="L821" i="1"/>
  <c r="K821" i="1"/>
  <c r="J821" i="1"/>
  <c r="K820" i="1"/>
  <c r="J820" i="1"/>
  <c r="L820" i="1" s="1"/>
  <c r="K819" i="1"/>
  <c r="J819" i="1"/>
  <c r="L819" i="1" s="1"/>
  <c r="L818" i="1"/>
  <c r="K818" i="1"/>
  <c r="J818" i="1"/>
  <c r="L817" i="1"/>
  <c r="K817" i="1"/>
  <c r="J817" i="1"/>
  <c r="K816" i="1"/>
  <c r="J816" i="1"/>
  <c r="L816" i="1" s="1"/>
  <c r="L815" i="1"/>
  <c r="K815" i="1"/>
  <c r="J815" i="1"/>
  <c r="L814" i="1"/>
  <c r="K814" i="1"/>
  <c r="J814" i="1"/>
  <c r="K813" i="1"/>
  <c r="L813" i="1" s="1"/>
  <c r="J813" i="1"/>
  <c r="K812" i="1"/>
  <c r="J812" i="1"/>
  <c r="L812" i="1" s="1"/>
  <c r="K811" i="1"/>
  <c r="J811" i="1"/>
  <c r="L811" i="1" s="1"/>
  <c r="K810" i="1"/>
  <c r="L810" i="1" s="1"/>
  <c r="J810" i="1"/>
  <c r="K809" i="1"/>
  <c r="L809" i="1" s="1"/>
  <c r="J809" i="1"/>
  <c r="K808" i="1"/>
  <c r="J808" i="1"/>
  <c r="L808" i="1" s="1"/>
  <c r="K807" i="1"/>
  <c r="J807" i="1"/>
  <c r="L807" i="1" s="1"/>
  <c r="L806" i="1"/>
  <c r="K806" i="1"/>
  <c r="J806" i="1"/>
  <c r="K805" i="1"/>
  <c r="L805" i="1" s="1"/>
  <c r="J805" i="1"/>
  <c r="L804" i="1"/>
  <c r="K804" i="1"/>
  <c r="J804" i="1"/>
  <c r="K803" i="1"/>
  <c r="J803" i="1"/>
  <c r="L803" i="1" s="1"/>
  <c r="K802" i="1"/>
  <c r="L802" i="1" s="1"/>
  <c r="J802" i="1"/>
  <c r="L801" i="1"/>
  <c r="K801" i="1"/>
  <c r="J801" i="1"/>
  <c r="K800" i="1"/>
  <c r="J800" i="1"/>
  <c r="L800" i="1" s="1"/>
  <c r="K799" i="1"/>
  <c r="L799" i="1" s="1"/>
  <c r="J799" i="1"/>
  <c r="L798" i="1"/>
  <c r="K798" i="1"/>
  <c r="J798" i="1"/>
  <c r="K797" i="1"/>
  <c r="J797" i="1"/>
  <c r="L797" i="1" s="1"/>
  <c r="L796" i="1"/>
  <c r="K796" i="1"/>
  <c r="J796" i="1"/>
  <c r="K795" i="1"/>
  <c r="J795" i="1"/>
  <c r="K794" i="1"/>
  <c r="J794" i="1"/>
  <c r="L794" i="1" s="1"/>
  <c r="L793" i="1"/>
  <c r="K793" i="1"/>
  <c r="J793" i="1"/>
  <c r="L792" i="1"/>
  <c r="K792" i="1"/>
  <c r="J792" i="1"/>
  <c r="K791" i="1"/>
  <c r="J791" i="1"/>
  <c r="L791" i="1" s="1"/>
  <c r="L790" i="1"/>
  <c r="K790" i="1"/>
  <c r="J790" i="1"/>
  <c r="K789" i="1"/>
  <c r="J789" i="1"/>
  <c r="L789" i="1" s="1"/>
  <c r="K788" i="1"/>
  <c r="L788" i="1" s="1"/>
  <c r="J788" i="1"/>
  <c r="K787" i="1"/>
  <c r="J787" i="1"/>
  <c r="K786" i="1"/>
  <c r="J786" i="1"/>
  <c r="L786" i="1" s="1"/>
  <c r="K785" i="1"/>
  <c r="L785" i="1" s="1"/>
  <c r="J785" i="1"/>
  <c r="L784" i="1"/>
  <c r="K784" i="1"/>
  <c r="J784" i="1"/>
  <c r="K783" i="1"/>
  <c r="J783" i="1"/>
  <c r="L783" i="1" s="1"/>
  <c r="K782" i="1"/>
  <c r="J782" i="1"/>
  <c r="L782" i="1" s="1"/>
  <c r="L781" i="1"/>
  <c r="K781" i="1"/>
  <c r="J781" i="1"/>
  <c r="K780" i="1"/>
  <c r="J780" i="1"/>
  <c r="L780" i="1" s="1"/>
  <c r="K779" i="1"/>
  <c r="J779" i="1"/>
  <c r="L779" i="1" s="1"/>
  <c r="L778" i="1"/>
  <c r="K778" i="1"/>
  <c r="J778" i="1"/>
  <c r="L777" i="1"/>
  <c r="K777" i="1"/>
  <c r="J777" i="1"/>
  <c r="K776" i="1"/>
  <c r="J776" i="1"/>
  <c r="L776" i="1" s="1"/>
  <c r="K775" i="1"/>
  <c r="J775" i="1"/>
  <c r="L775" i="1" s="1"/>
  <c r="L774" i="1"/>
  <c r="K774" i="1"/>
  <c r="J774" i="1"/>
  <c r="L773" i="1"/>
  <c r="K773" i="1"/>
  <c r="J773" i="1"/>
  <c r="K772" i="1"/>
  <c r="J772" i="1"/>
  <c r="L772" i="1" s="1"/>
  <c r="K771" i="1"/>
  <c r="J771" i="1"/>
  <c r="L770" i="1"/>
  <c r="K770" i="1"/>
  <c r="J770" i="1"/>
  <c r="K769" i="1"/>
  <c r="L769" i="1" s="1"/>
  <c r="J769" i="1"/>
  <c r="K768" i="1"/>
  <c r="J768" i="1"/>
  <c r="L768" i="1" s="1"/>
  <c r="K767" i="1"/>
  <c r="L767" i="1" s="1"/>
  <c r="J767" i="1"/>
  <c r="K766" i="1"/>
  <c r="J766" i="1"/>
  <c r="L766" i="1" s="1"/>
  <c r="K765" i="1"/>
  <c r="J765" i="1"/>
  <c r="L765" i="1" s="1"/>
  <c r="L764" i="1"/>
  <c r="K764" i="1"/>
  <c r="J764" i="1"/>
  <c r="K763" i="1"/>
  <c r="J763" i="1"/>
  <c r="L763" i="1" s="1"/>
  <c r="K762" i="1"/>
  <c r="J762" i="1"/>
  <c r="L762" i="1" s="1"/>
  <c r="L761" i="1"/>
  <c r="K761" i="1"/>
  <c r="J761" i="1"/>
  <c r="K760" i="1"/>
  <c r="L760" i="1" s="1"/>
  <c r="J760" i="1"/>
  <c r="K759" i="1"/>
  <c r="J759" i="1"/>
  <c r="L759" i="1" s="1"/>
  <c r="K758" i="1"/>
  <c r="J758" i="1"/>
  <c r="L758" i="1" s="1"/>
  <c r="K757" i="1"/>
  <c r="J757" i="1"/>
  <c r="L757" i="1" s="1"/>
  <c r="K756" i="1"/>
  <c r="L756" i="1" s="1"/>
  <c r="J756" i="1"/>
  <c r="K755" i="1"/>
  <c r="J755" i="1"/>
  <c r="K754" i="1"/>
  <c r="J754" i="1"/>
  <c r="L754" i="1" s="1"/>
  <c r="K753" i="1"/>
  <c r="L753" i="1" s="1"/>
  <c r="J753" i="1"/>
  <c r="K752" i="1"/>
  <c r="J752" i="1"/>
  <c r="L752" i="1" s="1"/>
  <c r="K751" i="1"/>
  <c r="J751" i="1"/>
  <c r="L750" i="1"/>
  <c r="K750" i="1"/>
  <c r="J750" i="1"/>
  <c r="K749" i="1"/>
  <c r="L749" i="1" s="1"/>
  <c r="J749" i="1"/>
  <c r="K748" i="1"/>
  <c r="J748" i="1"/>
  <c r="L748" i="1" s="1"/>
  <c r="K747" i="1"/>
  <c r="J747" i="1"/>
  <c r="L747" i="1" s="1"/>
  <c r="K746" i="1"/>
  <c r="L746" i="1" s="1"/>
  <c r="J746" i="1"/>
  <c r="L745" i="1"/>
  <c r="K745" i="1"/>
  <c r="J745" i="1"/>
  <c r="K744" i="1"/>
  <c r="J744" i="1"/>
  <c r="L744" i="1" s="1"/>
  <c r="L743" i="1"/>
  <c r="K743" i="1"/>
  <c r="J743" i="1"/>
  <c r="L742" i="1"/>
  <c r="K742" i="1"/>
  <c r="J742" i="1"/>
  <c r="K741" i="1"/>
  <c r="J741" i="1"/>
  <c r="L741" i="1" s="1"/>
  <c r="K740" i="1"/>
  <c r="J740" i="1"/>
  <c r="L740" i="1" s="1"/>
  <c r="K739" i="1"/>
  <c r="J739" i="1"/>
  <c r="K738" i="1"/>
  <c r="J738" i="1"/>
  <c r="L738" i="1" s="1"/>
  <c r="K737" i="1"/>
  <c r="L737" i="1" s="1"/>
  <c r="J737" i="1"/>
  <c r="L736" i="1"/>
  <c r="K736" i="1"/>
  <c r="J736" i="1"/>
  <c r="K735" i="1"/>
  <c r="L735" i="1" s="1"/>
  <c r="J735" i="1"/>
  <c r="K734" i="1"/>
  <c r="J734" i="1"/>
  <c r="L734" i="1" s="1"/>
  <c r="K733" i="1"/>
  <c r="J733" i="1"/>
  <c r="L733" i="1" s="1"/>
  <c r="K732" i="1"/>
  <c r="J732" i="1"/>
  <c r="L732" i="1" s="1"/>
  <c r="K731" i="1"/>
  <c r="J731" i="1"/>
  <c r="L731" i="1" s="1"/>
  <c r="K730" i="1"/>
  <c r="J730" i="1"/>
  <c r="L730" i="1" s="1"/>
  <c r="L729" i="1"/>
  <c r="K729" i="1"/>
  <c r="J729" i="1"/>
  <c r="K728" i="1"/>
  <c r="L728" i="1" s="1"/>
  <c r="J728" i="1"/>
  <c r="K727" i="1"/>
  <c r="J727" i="1"/>
  <c r="L727" i="1" s="1"/>
  <c r="L726" i="1"/>
  <c r="K726" i="1"/>
  <c r="J726" i="1"/>
  <c r="L725" i="1"/>
  <c r="K725" i="1"/>
  <c r="J725" i="1"/>
  <c r="K724" i="1"/>
  <c r="J724" i="1"/>
  <c r="L724" i="1" s="1"/>
  <c r="K723" i="1"/>
  <c r="J723" i="1"/>
  <c r="L722" i="1"/>
  <c r="K722" i="1"/>
  <c r="J722" i="1"/>
  <c r="K721" i="1"/>
  <c r="L721" i="1" s="1"/>
  <c r="J721" i="1"/>
  <c r="K720" i="1"/>
  <c r="J720" i="1"/>
  <c r="L720" i="1" s="1"/>
  <c r="K719" i="1"/>
  <c r="J719" i="1"/>
  <c r="L719" i="1" s="1"/>
  <c r="K718" i="1"/>
  <c r="J718" i="1"/>
  <c r="L718" i="1" s="1"/>
  <c r="K717" i="1"/>
  <c r="L717" i="1" s="1"/>
  <c r="J717" i="1"/>
  <c r="K716" i="1"/>
  <c r="J716" i="1"/>
  <c r="L716" i="1" s="1"/>
  <c r="K715" i="1"/>
  <c r="J715" i="1"/>
  <c r="L715" i="1" s="1"/>
  <c r="K714" i="1"/>
  <c r="L714" i="1" s="1"/>
  <c r="J714" i="1"/>
  <c r="K713" i="1"/>
  <c r="L713" i="1" s="1"/>
  <c r="J713" i="1"/>
  <c r="K712" i="1"/>
  <c r="L712" i="1" s="1"/>
  <c r="J712" i="1"/>
  <c r="L711" i="1"/>
  <c r="K711" i="1"/>
  <c r="J711" i="1"/>
  <c r="K710" i="1"/>
  <c r="J710" i="1"/>
  <c r="L710" i="1" s="1"/>
  <c r="L709" i="1"/>
  <c r="K709" i="1"/>
  <c r="J709" i="1"/>
  <c r="K708" i="1"/>
  <c r="J708" i="1"/>
  <c r="L708" i="1" s="1"/>
  <c r="K707" i="1"/>
  <c r="J707" i="1"/>
  <c r="K706" i="1"/>
  <c r="J706" i="1"/>
  <c r="L706" i="1" s="1"/>
  <c r="K705" i="1"/>
  <c r="L705" i="1" s="1"/>
  <c r="J705" i="1"/>
  <c r="L704" i="1"/>
  <c r="K704" i="1"/>
  <c r="J704" i="1"/>
  <c r="K703" i="1"/>
  <c r="L703" i="1" s="1"/>
  <c r="J703" i="1"/>
  <c r="K702" i="1"/>
  <c r="J702" i="1"/>
  <c r="L702" i="1" s="1"/>
  <c r="K701" i="1"/>
  <c r="L701" i="1" s="1"/>
  <c r="J701" i="1"/>
  <c r="L700" i="1"/>
  <c r="K700" i="1"/>
  <c r="J700" i="1"/>
  <c r="K699" i="1"/>
  <c r="J699" i="1"/>
  <c r="L699" i="1" s="1"/>
  <c r="K698" i="1"/>
  <c r="L698" i="1" s="1"/>
  <c r="J698" i="1"/>
  <c r="L697" i="1"/>
  <c r="K697" i="1"/>
  <c r="J697" i="1"/>
  <c r="K696" i="1"/>
  <c r="J696" i="1"/>
  <c r="L696" i="1" s="1"/>
  <c r="L695" i="1"/>
  <c r="K695" i="1"/>
  <c r="J695" i="1"/>
  <c r="K694" i="1"/>
  <c r="J694" i="1"/>
  <c r="L694" i="1" s="1"/>
  <c r="L693" i="1"/>
  <c r="K693" i="1"/>
  <c r="J693" i="1"/>
  <c r="K692" i="1"/>
  <c r="L692" i="1" s="1"/>
  <c r="J692" i="1"/>
  <c r="K691" i="1"/>
  <c r="J691" i="1"/>
  <c r="L691" i="1" s="1"/>
  <c r="K690" i="1"/>
  <c r="J690" i="1"/>
  <c r="L690" i="1" s="1"/>
  <c r="K689" i="1"/>
  <c r="L689" i="1" s="1"/>
  <c r="J689" i="1"/>
  <c r="K688" i="1"/>
  <c r="J688" i="1"/>
  <c r="L688" i="1" s="1"/>
  <c r="K687" i="1"/>
  <c r="L687" i="1" s="1"/>
  <c r="J687" i="1"/>
  <c r="L686" i="1"/>
  <c r="K686" i="1"/>
  <c r="J686" i="1"/>
  <c r="K685" i="1"/>
  <c r="J685" i="1"/>
  <c r="K684" i="1"/>
  <c r="J684" i="1"/>
  <c r="L684" i="1" s="1"/>
  <c r="K683" i="1"/>
  <c r="J683" i="1"/>
  <c r="L683" i="1" s="1"/>
  <c r="L682" i="1"/>
  <c r="K682" i="1"/>
  <c r="J682" i="1"/>
  <c r="K681" i="1"/>
  <c r="L681" i="1" s="1"/>
  <c r="J681" i="1"/>
  <c r="K680" i="1"/>
  <c r="J680" i="1"/>
  <c r="L680" i="1" s="1"/>
  <c r="K679" i="1"/>
  <c r="L679" i="1" s="1"/>
  <c r="J679" i="1"/>
  <c r="L678" i="1"/>
  <c r="K678" i="1"/>
  <c r="J678" i="1"/>
  <c r="K677" i="1"/>
  <c r="J677" i="1"/>
  <c r="L676" i="1"/>
  <c r="K676" i="1"/>
  <c r="J676" i="1"/>
  <c r="K675" i="1"/>
  <c r="J675" i="1"/>
  <c r="L675" i="1" s="1"/>
  <c r="K674" i="1"/>
  <c r="J674" i="1"/>
  <c r="L674" i="1" s="1"/>
  <c r="K673" i="1"/>
  <c r="L673" i="1" s="1"/>
  <c r="J673" i="1"/>
  <c r="K672" i="1"/>
  <c r="J672" i="1"/>
  <c r="L672" i="1" s="1"/>
  <c r="K671" i="1"/>
  <c r="L671" i="1" s="1"/>
  <c r="J671" i="1"/>
  <c r="L670" i="1"/>
  <c r="K670" i="1"/>
  <c r="J670" i="1"/>
  <c r="K669" i="1"/>
  <c r="J669" i="1"/>
  <c r="L669" i="1" s="1"/>
  <c r="L668" i="1"/>
  <c r="K668" i="1"/>
  <c r="J668" i="1"/>
  <c r="K667" i="1"/>
  <c r="J667" i="1"/>
  <c r="L667" i="1" s="1"/>
  <c r="L666" i="1"/>
  <c r="K666" i="1"/>
  <c r="J666" i="1"/>
  <c r="K665" i="1"/>
  <c r="L665" i="1" s="1"/>
  <c r="J665" i="1"/>
  <c r="K664" i="1"/>
  <c r="J664" i="1"/>
  <c r="L664" i="1" s="1"/>
  <c r="K663" i="1"/>
  <c r="L663" i="1" s="1"/>
  <c r="J663" i="1"/>
  <c r="L662" i="1"/>
  <c r="K662" i="1"/>
  <c r="J662" i="1"/>
  <c r="K661" i="1"/>
  <c r="J661" i="1"/>
  <c r="L661" i="1" s="1"/>
  <c r="K660" i="1"/>
  <c r="J660" i="1"/>
  <c r="L660" i="1" s="1"/>
  <c r="K659" i="1"/>
  <c r="J659" i="1"/>
  <c r="L659" i="1" s="1"/>
  <c r="L658" i="1"/>
  <c r="K658" i="1"/>
  <c r="J658" i="1"/>
  <c r="K657" i="1"/>
  <c r="L657" i="1" s="1"/>
  <c r="J657" i="1"/>
  <c r="K656" i="1"/>
  <c r="J656" i="1"/>
  <c r="L656" i="1" s="1"/>
  <c r="K655" i="1"/>
  <c r="L655" i="1" s="1"/>
  <c r="J655" i="1"/>
  <c r="L654" i="1"/>
  <c r="K654" i="1"/>
  <c r="J654" i="1"/>
  <c r="K653" i="1"/>
  <c r="J653" i="1"/>
  <c r="L653" i="1" s="1"/>
  <c r="K652" i="1"/>
  <c r="J652" i="1"/>
  <c r="L652" i="1" s="1"/>
  <c r="K651" i="1"/>
  <c r="J651" i="1"/>
  <c r="L651" i="1" s="1"/>
  <c r="K650" i="1"/>
  <c r="J650" i="1"/>
  <c r="L650" i="1" s="1"/>
  <c r="K649" i="1"/>
  <c r="L649" i="1" s="1"/>
  <c r="J649" i="1"/>
  <c r="K648" i="1"/>
  <c r="J648" i="1"/>
  <c r="L648" i="1" s="1"/>
  <c r="K647" i="1"/>
  <c r="L647" i="1" s="1"/>
  <c r="J647" i="1"/>
  <c r="L646" i="1"/>
  <c r="K646" i="1"/>
  <c r="J646" i="1"/>
  <c r="K645" i="1"/>
  <c r="J645" i="1"/>
  <c r="L645" i="1" s="1"/>
  <c r="K644" i="1"/>
  <c r="J644" i="1"/>
  <c r="L644" i="1" s="1"/>
  <c r="K643" i="1"/>
  <c r="J643" i="1"/>
  <c r="L643" i="1" s="1"/>
  <c r="K642" i="1"/>
  <c r="J642" i="1"/>
  <c r="L642" i="1" s="1"/>
  <c r="K641" i="1"/>
  <c r="L641" i="1" s="1"/>
  <c r="J641" i="1"/>
  <c r="K640" i="1"/>
  <c r="J640" i="1"/>
  <c r="L640" i="1" s="1"/>
  <c r="K639" i="1"/>
  <c r="L639" i="1" s="1"/>
  <c r="J639" i="1"/>
  <c r="L638" i="1"/>
  <c r="K638" i="1"/>
  <c r="J638" i="1"/>
  <c r="K637" i="1"/>
  <c r="J637" i="1"/>
  <c r="L637" i="1" s="1"/>
  <c r="K636" i="1"/>
  <c r="J636" i="1"/>
  <c r="L636" i="1" s="1"/>
  <c r="K635" i="1"/>
  <c r="J635" i="1"/>
  <c r="L635" i="1" s="1"/>
  <c r="K634" i="1"/>
  <c r="J634" i="1"/>
  <c r="L634" i="1" s="1"/>
  <c r="K633" i="1"/>
  <c r="L633" i="1" s="1"/>
  <c r="J633" i="1"/>
  <c r="K632" i="1"/>
  <c r="J632" i="1"/>
  <c r="L632" i="1" s="1"/>
  <c r="K631" i="1"/>
  <c r="L631" i="1" s="1"/>
  <c r="J631" i="1"/>
  <c r="L630" i="1"/>
  <c r="K630" i="1"/>
  <c r="J630" i="1"/>
  <c r="K629" i="1"/>
  <c r="J629" i="1"/>
  <c r="K628" i="1"/>
  <c r="L628" i="1" s="1"/>
  <c r="J628" i="1"/>
  <c r="K627" i="1"/>
  <c r="J627" i="1"/>
  <c r="L627" i="1" s="1"/>
  <c r="K626" i="1"/>
  <c r="J626" i="1"/>
  <c r="L626" i="1" s="1"/>
  <c r="K625" i="1"/>
  <c r="L625" i="1" s="1"/>
  <c r="J625" i="1"/>
  <c r="K624" i="1"/>
  <c r="J624" i="1"/>
  <c r="L624" i="1" s="1"/>
  <c r="K623" i="1"/>
  <c r="J623" i="1"/>
  <c r="L623" i="1" s="1"/>
  <c r="L622" i="1"/>
  <c r="K622" i="1"/>
  <c r="J622" i="1"/>
  <c r="K621" i="1"/>
  <c r="J621" i="1"/>
  <c r="K620" i="1"/>
  <c r="J620" i="1"/>
  <c r="L620" i="1" s="1"/>
  <c r="K619" i="1"/>
  <c r="J619" i="1"/>
  <c r="L619" i="1" s="1"/>
  <c r="L618" i="1"/>
  <c r="K618" i="1"/>
  <c r="J618" i="1"/>
  <c r="L617" i="1"/>
  <c r="K617" i="1"/>
  <c r="J617" i="1"/>
  <c r="K616" i="1"/>
  <c r="J616" i="1"/>
  <c r="L616" i="1" s="1"/>
  <c r="K615" i="1"/>
  <c r="J615" i="1"/>
  <c r="L614" i="1"/>
  <c r="K614" i="1"/>
  <c r="J614" i="1"/>
  <c r="K613" i="1"/>
  <c r="J613" i="1"/>
  <c r="K612" i="1"/>
  <c r="L612" i="1" s="1"/>
  <c r="J612" i="1"/>
  <c r="K611" i="1"/>
  <c r="J611" i="1"/>
  <c r="L611" i="1" s="1"/>
  <c r="K610" i="1"/>
  <c r="J610" i="1"/>
  <c r="L610" i="1" s="1"/>
  <c r="K609" i="1"/>
  <c r="L609" i="1" s="1"/>
  <c r="J609" i="1"/>
  <c r="K608" i="1"/>
  <c r="J608" i="1"/>
  <c r="L608" i="1" s="1"/>
  <c r="K607" i="1"/>
  <c r="J607" i="1"/>
  <c r="L607" i="1" s="1"/>
  <c r="L606" i="1"/>
  <c r="K606" i="1"/>
  <c r="J606" i="1"/>
  <c r="K605" i="1"/>
  <c r="J605" i="1"/>
  <c r="K604" i="1"/>
  <c r="J604" i="1"/>
  <c r="L604" i="1" s="1"/>
  <c r="K603" i="1"/>
  <c r="J603" i="1"/>
  <c r="L603" i="1" s="1"/>
  <c r="L602" i="1"/>
  <c r="K602" i="1"/>
  <c r="J602" i="1"/>
  <c r="L601" i="1"/>
  <c r="K601" i="1"/>
  <c r="J601" i="1"/>
  <c r="K600" i="1"/>
  <c r="J600" i="1"/>
  <c r="L600" i="1" s="1"/>
  <c r="K599" i="1"/>
  <c r="J599" i="1"/>
  <c r="L598" i="1"/>
  <c r="K598" i="1"/>
  <c r="J598" i="1"/>
  <c r="K597" i="1"/>
  <c r="J597" i="1"/>
  <c r="K596" i="1"/>
  <c r="L596" i="1" s="1"/>
  <c r="J596" i="1"/>
  <c r="K595" i="1"/>
  <c r="J595" i="1"/>
  <c r="L595" i="1" s="1"/>
  <c r="K594" i="1"/>
  <c r="J594" i="1"/>
  <c r="L594" i="1" s="1"/>
  <c r="K593" i="1"/>
  <c r="L593" i="1" s="1"/>
  <c r="J593" i="1"/>
  <c r="K592" i="1"/>
  <c r="J592" i="1"/>
  <c r="L592" i="1" s="1"/>
  <c r="K591" i="1"/>
  <c r="J591" i="1"/>
  <c r="L591" i="1" s="1"/>
  <c r="L590" i="1"/>
  <c r="K590" i="1"/>
  <c r="J590" i="1"/>
  <c r="K589" i="1"/>
  <c r="J589" i="1"/>
  <c r="K588" i="1"/>
  <c r="J588" i="1"/>
  <c r="L588" i="1" s="1"/>
  <c r="K587" i="1"/>
  <c r="J587" i="1"/>
  <c r="L587" i="1" s="1"/>
  <c r="L586" i="1"/>
  <c r="K586" i="1"/>
  <c r="J586" i="1"/>
  <c r="L585" i="1"/>
  <c r="K585" i="1"/>
  <c r="J585" i="1"/>
  <c r="K584" i="1"/>
  <c r="J584" i="1"/>
  <c r="L584" i="1" s="1"/>
  <c r="K583" i="1"/>
  <c r="J583" i="1"/>
  <c r="L582" i="1"/>
  <c r="K582" i="1"/>
  <c r="J582" i="1"/>
  <c r="K581" i="1"/>
  <c r="J581" i="1"/>
  <c r="K580" i="1"/>
  <c r="L580" i="1" s="1"/>
  <c r="J580" i="1"/>
  <c r="K579" i="1"/>
  <c r="J579" i="1"/>
  <c r="L579" i="1" s="1"/>
  <c r="K578" i="1"/>
  <c r="J578" i="1"/>
  <c r="L578" i="1" s="1"/>
  <c r="K577" i="1"/>
  <c r="L577" i="1" s="1"/>
  <c r="J577" i="1"/>
  <c r="K576" i="1"/>
  <c r="J576" i="1"/>
  <c r="L576" i="1" s="1"/>
  <c r="K575" i="1"/>
  <c r="J575" i="1"/>
  <c r="L574" i="1"/>
  <c r="K574" i="1"/>
  <c r="J574" i="1"/>
  <c r="K573" i="1"/>
  <c r="J573" i="1"/>
  <c r="K572" i="1"/>
  <c r="J572" i="1"/>
  <c r="L572" i="1" s="1"/>
  <c r="K571" i="1"/>
  <c r="J571" i="1"/>
  <c r="L571" i="1" s="1"/>
  <c r="L570" i="1"/>
  <c r="K570" i="1"/>
  <c r="J570" i="1"/>
  <c r="L569" i="1"/>
  <c r="K569" i="1"/>
  <c r="J569" i="1"/>
  <c r="K568" i="1"/>
  <c r="J568" i="1"/>
  <c r="L568" i="1" s="1"/>
  <c r="K567" i="1"/>
  <c r="J567" i="1"/>
  <c r="L566" i="1"/>
  <c r="K566" i="1"/>
  <c r="J566" i="1"/>
  <c r="K565" i="1"/>
  <c r="J565" i="1"/>
  <c r="K564" i="1"/>
  <c r="L564" i="1" s="1"/>
  <c r="J564" i="1"/>
  <c r="K563" i="1"/>
  <c r="J563" i="1"/>
  <c r="L563" i="1" s="1"/>
  <c r="K562" i="1"/>
  <c r="J562" i="1"/>
  <c r="L562" i="1" s="1"/>
  <c r="K561" i="1"/>
  <c r="L561" i="1" s="1"/>
  <c r="J561" i="1"/>
  <c r="K560" i="1"/>
  <c r="J560" i="1"/>
  <c r="L560" i="1" s="1"/>
  <c r="K559" i="1"/>
  <c r="J559" i="1"/>
  <c r="L559" i="1" s="1"/>
  <c r="L558" i="1"/>
  <c r="K558" i="1"/>
  <c r="J558" i="1"/>
  <c r="K557" i="1"/>
  <c r="J557" i="1"/>
  <c r="K556" i="1"/>
  <c r="J556" i="1"/>
  <c r="L556" i="1" s="1"/>
  <c r="K555" i="1"/>
  <c r="J555" i="1"/>
  <c r="L555" i="1" s="1"/>
  <c r="L554" i="1"/>
  <c r="K554" i="1"/>
  <c r="J554" i="1"/>
  <c r="L553" i="1"/>
  <c r="K553" i="1"/>
  <c r="J553" i="1"/>
  <c r="K552" i="1"/>
  <c r="J552" i="1"/>
  <c r="L552" i="1" s="1"/>
  <c r="K551" i="1"/>
  <c r="J551" i="1"/>
  <c r="L550" i="1"/>
  <c r="K550" i="1"/>
  <c r="J550" i="1"/>
  <c r="K549" i="1"/>
  <c r="J549" i="1"/>
  <c r="K548" i="1"/>
  <c r="L548" i="1" s="1"/>
  <c r="J548" i="1"/>
  <c r="K547" i="1"/>
  <c r="J547" i="1"/>
  <c r="L547" i="1" s="1"/>
  <c r="K546" i="1"/>
  <c r="J546" i="1"/>
  <c r="L546" i="1" s="1"/>
  <c r="K545" i="1"/>
  <c r="L545" i="1" s="1"/>
  <c r="J545" i="1"/>
  <c r="K544" i="1"/>
  <c r="J544" i="1"/>
  <c r="L544" i="1" s="1"/>
  <c r="K543" i="1"/>
  <c r="J543" i="1"/>
  <c r="L543" i="1" s="1"/>
  <c r="L542" i="1"/>
  <c r="K542" i="1"/>
  <c r="J542" i="1"/>
  <c r="K541" i="1"/>
  <c r="J541" i="1"/>
  <c r="K540" i="1"/>
  <c r="J540" i="1"/>
  <c r="L540" i="1" s="1"/>
  <c r="K539" i="1"/>
  <c r="J539" i="1"/>
  <c r="L539" i="1" s="1"/>
  <c r="L538" i="1"/>
  <c r="K538" i="1"/>
  <c r="J538" i="1"/>
  <c r="L537" i="1"/>
  <c r="K537" i="1"/>
  <c r="J537" i="1"/>
  <c r="K536" i="1"/>
  <c r="J536" i="1"/>
  <c r="L536" i="1" s="1"/>
  <c r="K535" i="1"/>
  <c r="J535" i="1"/>
  <c r="L534" i="1"/>
  <c r="K534" i="1"/>
  <c r="J534" i="1"/>
  <c r="K533" i="1"/>
  <c r="J533" i="1"/>
  <c r="K532" i="1"/>
  <c r="L532" i="1" s="1"/>
  <c r="J532" i="1"/>
  <c r="K531" i="1"/>
  <c r="J531" i="1"/>
  <c r="L531" i="1" s="1"/>
  <c r="K530" i="1"/>
  <c r="J530" i="1"/>
  <c r="L530" i="1" s="1"/>
  <c r="K529" i="1"/>
  <c r="L529" i="1" s="1"/>
  <c r="J529" i="1"/>
  <c r="K528" i="1"/>
  <c r="J528" i="1"/>
  <c r="L528" i="1" s="1"/>
  <c r="K527" i="1"/>
  <c r="J527" i="1"/>
  <c r="L527" i="1" s="1"/>
  <c r="L526" i="1"/>
  <c r="K526" i="1"/>
  <c r="J526" i="1"/>
  <c r="K525" i="1"/>
  <c r="J525" i="1"/>
  <c r="K524" i="1"/>
  <c r="J524" i="1"/>
  <c r="L524" i="1" s="1"/>
  <c r="K523" i="1"/>
  <c r="J523" i="1"/>
  <c r="L523" i="1" s="1"/>
  <c r="L522" i="1"/>
  <c r="K522" i="1"/>
  <c r="J522" i="1"/>
  <c r="L521" i="1"/>
  <c r="K521" i="1"/>
  <c r="J521" i="1"/>
  <c r="K520" i="1"/>
  <c r="J520" i="1"/>
  <c r="L520" i="1" s="1"/>
  <c r="K519" i="1"/>
  <c r="J519" i="1"/>
  <c r="L518" i="1"/>
  <c r="K518" i="1"/>
  <c r="J518" i="1"/>
  <c r="K517" i="1"/>
  <c r="J517" i="1"/>
  <c r="K516" i="1"/>
  <c r="L516" i="1" s="1"/>
  <c r="J516" i="1"/>
  <c r="K515" i="1"/>
  <c r="J515" i="1"/>
  <c r="L515" i="1" s="1"/>
  <c r="K514" i="1"/>
  <c r="J514" i="1"/>
  <c r="L514" i="1" s="1"/>
  <c r="K513" i="1"/>
  <c r="L513" i="1" s="1"/>
  <c r="J513" i="1"/>
  <c r="K512" i="1"/>
  <c r="J512" i="1"/>
  <c r="L512" i="1" s="1"/>
  <c r="K511" i="1"/>
  <c r="J511" i="1"/>
  <c r="L511" i="1" s="1"/>
  <c r="L510" i="1"/>
  <c r="K510" i="1"/>
  <c r="J510" i="1"/>
  <c r="K509" i="1"/>
  <c r="J509" i="1"/>
  <c r="K508" i="1"/>
  <c r="J508" i="1"/>
  <c r="L508" i="1" s="1"/>
  <c r="K507" i="1"/>
  <c r="J507" i="1"/>
  <c r="L507" i="1" s="1"/>
  <c r="L506" i="1"/>
  <c r="K506" i="1"/>
  <c r="J506" i="1"/>
  <c r="L505" i="1"/>
  <c r="K505" i="1"/>
  <c r="J505" i="1"/>
  <c r="K504" i="1"/>
  <c r="J504" i="1"/>
  <c r="L504" i="1" s="1"/>
  <c r="K503" i="1"/>
  <c r="J503" i="1"/>
  <c r="L502" i="1"/>
  <c r="K502" i="1"/>
  <c r="J502" i="1"/>
  <c r="K501" i="1"/>
  <c r="J501" i="1"/>
  <c r="K500" i="1"/>
  <c r="L500" i="1" s="1"/>
  <c r="J500" i="1"/>
  <c r="K499" i="1"/>
  <c r="J499" i="1"/>
  <c r="L499" i="1" s="1"/>
  <c r="K498" i="1"/>
  <c r="J498" i="1"/>
  <c r="L498" i="1" s="1"/>
  <c r="K497" i="1"/>
  <c r="L497" i="1" s="1"/>
  <c r="J497" i="1"/>
  <c r="K496" i="1"/>
  <c r="J496" i="1"/>
  <c r="L496" i="1" s="1"/>
  <c r="K495" i="1"/>
  <c r="J495" i="1"/>
  <c r="L495" i="1" s="1"/>
  <c r="L494" i="1"/>
  <c r="K494" i="1"/>
  <c r="J494" i="1"/>
  <c r="K493" i="1"/>
  <c r="J493" i="1"/>
  <c r="L493" i="1" s="1"/>
  <c r="K492" i="1"/>
  <c r="J492" i="1"/>
  <c r="L492" i="1" s="1"/>
  <c r="K491" i="1"/>
  <c r="J491" i="1"/>
  <c r="L491" i="1" s="1"/>
  <c r="L490" i="1"/>
  <c r="K490" i="1"/>
  <c r="J490" i="1"/>
  <c r="L489" i="1"/>
  <c r="K489" i="1"/>
  <c r="J489" i="1"/>
  <c r="K488" i="1"/>
  <c r="J488" i="1"/>
  <c r="L488" i="1" s="1"/>
  <c r="K487" i="1"/>
  <c r="J487" i="1"/>
  <c r="L486" i="1"/>
  <c r="K486" i="1"/>
  <c r="J486" i="1"/>
  <c r="K485" i="1"/>
  <c r="J485" i="1"/>
  <c r="K484" i="1"/>
  <c r="L484" i="1" s="1"/>
  <c r="J484" i="1"/>
  <c r="K483" i="1"/>
  <c r="J483" i="1"/>
  <c r="L483" i="1" s="1"/>
  <c r="K482" i="1"/>
  <c r="J482" i="1"/>
  <c r="L482" i="1" s="1"/>
  <c r="K481" i="1"/>
  <c r="L481" i="1" s="1"/>
  <c r="J481" i="1"/>
  <c r="K480" i="1"/>
  <c r="J480" i="1"/>
  <c r="L480" i="1" s="1"/>
  <c r="K479" i="1"/>
  <c r="J479" i="1"/>
  <c r="L479" i="1" s="1"/>
  <c r="L478" i="1"/>
  <c r="K478" i="1"/>
  <c r="J478" i="1"/>
  <c r="K477" i="1"/>
  <c r="J477" i="1"/>
  <c r="L477" i="1" s="1"/>
  <c r="K476" i="1"/>
  <c r="J476" i="1"/>
  <c r="L476" i="1" s="1"/>
  <c r="K475" i="1"/>
  <c r="J475" i="1"/>
  <c r="L475" i="1" s="1"/>
  <c r="L474" i="1"/>
  <c r="K474" i="1"/>
  <c r="J474" i="1"/>
  <c r="L473" i="1"/>
  <c r="K473" i="1"/>
  <c r="J473" i="1"/>
  <c r="K472" i="1"/>
  <c r="J472" i="1"/>
  <c r="L472" i="1" s="1"/>
  <c r="K471" i="1"/>
  <c r="J471" i="1"/>
  <c r="L470" i="1"/>
  <c r="K470" i="1"/>
  <c r="J470" i="1"/>
  <c r="K469" i="1"/>
  <c r="J469" i="1"/>
  <c r="K468" i="1"/>
  <c r="L468" i="1" s="1"/>
  <c r="J468" i="1"/>
  <c r="K467" i="1"/>
  <c r="J467" i="1"/>
  <c r="L467" i="1" s="1"/>
  <c r="K466" i="1"/>
  <c r="J466" i="1"/>
  <c r="L466" i="1" s="1"/>
  <c r="K465" i="1"/>
  <c r="L465" i="1" s="1"/>
  <c r="J465" i="1"/>
  <c r="K464" i="1"/>
  <c r="J464" i="1"/>
  <c r="L464" i="1" s="1"/>
  <c r="K463" i="1"/>
  <c r="J463" i="1"/>
  <c r="L463" i="1" s="1"/>
  <c r="L462" i="1"/>
  <c r="K462" i="1"/>
  <c r="J462" i="1"/>
  <c r="K461" i="1"/>
  <c r="J461" i="1"/>
  <c r="L461" i="1" s="1"/>
  <c r="K460" i="1"/>
  <c r="J460" i="1"/>
  <c r="L460" i="1" s="1"/>
  <c r="K459" i="1"/>
  <c r="J459" i="1"/>
  <c r="L459" i="1" s="1"/>
  <c r="L458" i="1"/>
  <c r="K458" i="1"/>
  <c r="J458" i="1"/>
  <c r="L457" i="1"/>
  <c r="K457" i="1"/>
  <c r="J457" i="1"/>
  <c r="K456" i="1"/>
  <c r="J456" i="1"/>
  <c r="L456" i="1" s="1"/>
  <c r="K455" i="1"/>
  <c r="J455" i="1"/>
  <c r="L454" i="1"/>
  <c r="K454" i="1"/>
  <c r="J454" i="1"/>
  <c r="K453" i="1"/>
  <c r="J453" i="1"/>
  <c r="K452" i="1"/>
  <c r="L452" i="1" s="1"/>
  <c r="J452" i="1"/>
  <c r="K451" i="1"/>
  <c r="J451" i="1"/>
  <c r="L451" i="1" s="1"/>
  <c r="K450" i="1"/>
  <c r="J450" i="1"/>
  <c r="L450" i="1" s="1"/>
  <c r="K449" i="1"/>
  <c r="L449" i="1" s="1"/>
  <c r="J449" i="1"/>
  <c r="K448" i="1"/>
  <c r="J448" i="1"/>
  <c r="L448" i="1" s="1"/>
  <c r="K447" i="1"/>
  <c r="J447" i="1"/>
  <c r="L447" i="1" s="1"/>
  <c r="L446" i="1"/>
  <c r="K446" i="1"/>
  <c r="J446" i="1"/>
  <c r="K445" i="1"/>
  <c r="J445" i="1"/>
  <c r="L445" i="1" s="1"/>
  <c r="K444" i="1"/>
  <c r="J444" i="1"/>
  <c r="L444" i="1" s="1"/>
  <c r="K443" i="1"/>
  <c r="J443" i="1"/>
  <c r="L443" i="1" s="1"/>
  <c r="L442" i="1"/>
  <c r="K442" i="1"/>
  <c r="J442" i="1"/>
  <c r="L441" i="1"/>
  <c r="K441" i="1"/>
  <c r="J441" i="1"/>
  <c r="K440" i="1"/>
  <c r="J440" i="1"/>
  <c r="L440" i="1" s="1"/>
  <c r="K439" i="1"/>
  <c r="J439" i="1"/>
  <c r="L438" i="1"/>
  <c r="K438" i="1"/>
  <c r="J438" i="1"/>
  <c r="K437" i="1"/>
  <c r="J437" i="1"/>
  <c r="K436" i="1"/>
  <c r="L436" i="1" s="1"/>
  <c r="J436" i="1"/>
  <c r="K435" i="1"/>
  <c r="J435" i="1"/>
  <c r="L435" i="1" s="1"/>
  <c r="K434" i="1"/>
  <c r="J434" i="1"/>
  <c r="L434" i="1" s="1"/>
  <c r="K433" i="1"/>
  <c r="L433" i="1" s="1"/>
  <c r="J433" i="1"/>
  <c r="K432" i="1"/>
  <c r="J432" i="1"/>
  <c r="L432" i="1" s="1"/>
  <c r="K431" i="1"/>
  <c r="J431" i="1"/>
  <c r="L431" i="1" s="1"/>
  <c r="L430" i="1"/>
  <c r="K430" i="1"/>
  <c r="J430" i="1"/>
  <c r="K429" i="1"/>
  <c r="J429" i="1"/>
  <c r="L429" i="1" s="1"/>
  <c r="K428" i="1"/>
  <c r="J428" i="1"/>
  <c r="L428" i="1" s="1"/>
  <c r="K427" i="1"/>
  <c r="J427" i="1"/>
  <c r="L427" i="1" s="1"/>
  <c r="L426" i="1"/>
  <c r="K426" i="1"/>
  <c r="J426" i="1"/>
  <c r="L425" i="1"/>
  <c r="K425" i="1"/>
  <c r="J425" i="1"/>
  <c r="K424" i="1"/>
  <c r="J424" i="1"/>
  <c r="L424" i="1" s="1"/>
  <c r="K423" i="1"/>
  <c r="J423" i="1"/>
  <c r="L422" i="1"/>
  <c r="K422" i="1"/>
  <c r="J422" i="1"/>
  <c r="K421" i="1"/>
  <c r="J421" i="1"/>
  <c r="K420" i="1"/>
  <c r="L420" i="1" s="1"/>
  <c r="J420" i="1"/>
  <c r="K419" i="1"/>
  <c r="J419" i="1"/>
  <c r="L419" i="1" s="1"/>
  <c r="K418" i="1"/>
  <c r="J418" i="1"/>
  <c r="L418" i="1" s="1"/>
  <c r="K417" i="1"/>
  <c r="L417" i="1" s="1"/>
  <c r="J417" i="1"/>
  <c r="K416" i="1"/>
  <c r="J416" i="1"/>
  <c r="L416" i="1" s="1"/>
  <c r="K415" i="1"/>
  <c r="J415" i="1"/>
  <c r="L415" i="1" s="1"/>
  <c r="L414" i="1"/>
  <c r="K414" i="1"/>
  <c r="J414" i="1"/>
  <c r="K413" i="1"/>
  <c r="J413" i="1"/>
  <c r="L413" i="1" s="1"/>
  <c r="K412" i="1"/>
  <c r="J412" i="1"/>
  <c r="L412" i="1" s="1"/>
  <c r="K411" i="1"/>
  <c r="J411" i="1"/>
  <c r="L411" i="1" s="1"/>
  <c r="L410" i="1"/>
  <c r="K410" i="1"/>
  <c r="J410" i="1"/>
  <c r="L409" i="1"/>
  <c r="K409" i="1"/>
  <c r="J409" i="1"/>
  <c r="K408" i="1"/>
  <c r="J408" i="1"/>
  <c r="L408" i="1" s="1"/>
  <c r="K407" i="1"/>
  <c r="J407" i="1"/>
  <c r="L406" i="1"/>
  <c r="K406" i="1"/>
  <c r="J406" i="1"/>
  <c r="K405" i="1"/>
  <c r="J405" i="1"/>
  <c r="K404" i="1"/>
  <c r="L404" i="1" s="1"/>
  <c r="J404" i="1"/>
  <c r="K403" i="1"/>
  <c r="J403" i="1"/>
  <c r="L403" i="1" s="1"/>
  <c r="K402" i="1"/>
  <c r="J402" i="1"/>
  <c r="L402" i="1" s="1"/>
  <c r="K401" i="1"/>
  <c r="L401" i="1" s="1"/>
  <c r="J401" i="1"/>
  <c r="K400" i="1"/>
  <c r="J400" i="1"/>
  <c r="L400" i="1" s="1"/>
  <c r="K399" i="1"/>
  <c r="J399" i="1"/>
  <c r="L399" i="1" s="1"/>
  <c r="L398" i="1"/>
  <c r="K398" i="1"/>
  <c r="J398" i="1"/>
  <c r="K397" i="1"/>
  <c r="J397" i="1"/>
  <c r="L397" i="1" s="1"/>
  <c r="K396" i="1"/>
  <c r="J396" i="1"/>
  <c r="L396" i="1" s="1"/>
  <c r="K395" i="1"/>
  <c r="J395" i="1"/>
  <c r="L395" i="1" s="1"/>
  <c r="L394" i="1"/>
  <c r="K394" i="1"/>
  <c r="J394" i="1"/>
  <c r="L393" i="1"/>
  <c r="K393" i="1"/>
  <c r="J393" i="1"/>
  <c r="K392" i="1"/>
  <c r="J392" i="1"/>
  <c r="L392" i="1" s="1"/>
  <c r="K391" i="1"/>
  <c r="J391" i="1"/>
  <c r="L390" i="1"/>
  <c r="K390" i="1"/>
  <c r="J390" i="1"/>
  <c r="K389" i="1"/>
  <c r="J389" i="1"/>
  <c r="K388" i="1"/>
  <c r="L388" i="1" s="1"/>
  <c r="J388" i="1"/>
  <c r="K387" i="1"/>
  <c r="J387" i="1"/>
  <c r="L387" i="1" s="1"/>
  <c r="K386" i="1"/>
  <c r="J386" i="1"/>
  <c r="L386" i="1" s="1"/>
  <c r="K385" i="1"/>
  <c r="L385" i="1" s="1"/>
  <c r="J385" i="1"/>
  <c r="K384" i="1"/>
  <c r="J384" i="1"/>
  <c r="L384" i="1" s="1"/>
  <c r="K383" i="1"/>
  <c r="J383" i="1"/>
  <c r="L383" i="1" s="1"/>
  <c r="L382" i="1"/>
  <c r="K382" i="1"/>
  <c r="J382" i="1"/>
  <c r="K381" i="1"/>
  <c r="J381" i="1"/>
  <c r="L381" i="1" s="1"/>
  <c r="K380" i="1"/>
  <c r="J380" i="1"/>
  <c r="L380" i="1" s="1"/>
  <c r="K379" i="1"/>
  <c r="J379" i="1"/>
  <c r="L379" i="1" s="1"/>
  <c r="L378" i="1"/>
  <c r="K378" i="1"/>
  <c r="J378" i="1"/>
  <c r="L377" i="1"/>
  <c r="K377" i="1"/>
  <c r="J377" i="1"/>
  <c r="K376" i="1"/>
  <c r="J376" i="1"/>
  <c r="L376" i="1" s="1"/>
  <c r="K375" i="1"/>
  <c r="J375" i="1"/>
  <c r="L374" i="1"/>
  <c r="K374" i="1"/>
  <c r="J374" i="1"/>
  <c r="K373" i="1"/>
  <c r="J373" i="1"/>
  <c r="K372" i="1"/>
  <c r="L372" i="1" s="1"/>
  <c r="J372" i="1"/>
  <c r="K371" i="1"/>
  <c r="J371" i="1"/>
  <c r="L371" i="1" s="1"/>
  <c r="K370" i="1"/>
  <c r="J370" i="1"/>
  <c r="L370" i="1" s="1"/>
  <c r="K369" i="1"/>
  <c r="L369" i="1" s="1"/>
  <c r="J369" i="1"/>
  <c r="K368" i="1"/>
  <c r="J368" i="1"/>
  <c r="L368" i="1" s="1"/>
  <c r="K367" i="1"/>
  <c r="J367" i="1"/>
  <c r="L367" i="1" s="1"/>
  <c r="L366" i="1"/>
  <c r="K366" i="1"/>
  <c r="J366" i="1"/>
  <c r="K365" i="1"/>
  <c r="J365" i="1"/>
  <c r="L365" i="1" s="1"/>
  <c r="K364" i="1"/>
  <c r="J364" i="1"/>
  <c r="L364" i="1" s="1"/>
  <c r="K363" i="1"/>
  <c r="J363" i="1"/>
  <c r="L363" i="1" s="1"/>
  <c r="L362" i="1"/>
  <c r="K362" i="1"/>
  <c r="J362" i="1"/>
  <c r="L361" i="1"/>
  <c r="K361" i="1"/>
  <c r="J361" i="1"/>
  <c r="K360" i="1"/>
  <c r="J360" i="1"/>
  <c r="L360" i="1" s="1"/>
  <c r="K359" i="1"/>
  <c r="J359" i="1"/>
  <c r="L358" i="1"/>
  <c r="K358" i="1"/>
  <c r="J358" i="1"/>
  <c r="K357" i="1"/>
  <c r="J357" i="1"/>
  <c r="K356" i="1"/>
  <c r="L356" i="1" s="1"/>
  <c r="J356" i="1"/>
  <c r="K355" i="1"/>
  <c r="J355" i="1"/>
  <c r="K354" i="1"/>
  <c r="J354" i="1"/>
  <c r="L354" i="1" s="1"/>
  <c r="K353" i="1"/>
  <c r="L353" i="1" s="1"/>
  <c r="J353" i="1"/>
  <c r="L352" i="1"/>
  <c r="K352" i="1"/>
  <c r="J352" i="1"/>
  <c r="K351" i="1"/>
  <c r="J351" i="1"/>
  <c r="L350" i="1"/>
  <c r="K350" i="1"/>
  <c r="J350" i="1"/>
  <c r="K349" i="1"/>
  <c r="J349" i="1"/>
  <c r="K348" i="1"/>
  <c r="J348" i="1"/>
  <c r="L348" i="1" s="1"/>
  <c r="K347" i="1"/>
  <c r="J347" i="1"/>
  <c r="L347" i="1" s="1"/>
  <c r="L346" i="1"/>
  <c r="K346" i="1"/>
  <c r="J346" i="1"/>
  <c r="K345" i="1"/>
  <c r="L345" i="1" s="1"/>
  <c r="J345" i="1"/>
  <c r="L344" i="1"/>
  <c r="K344" i="1"/>
  <c r="J344" i="1"/>
  <c r="K343" i="1"/>
  <c r="J343" i="1"/>
  <c r="K342" i="1"/>
  <c r="J342" i="1"/>
  <c r="L342" i="1" s="1"/>
  <c r="K341" i="1"/>
  <c r="J341" i="1"/>
  <c r="L341" i="1" s="1"/>
  <c r="K340" i="1"/>
  <c r="L340" i="1" s="1"/>
  <c r="J340" i="1"/>
  <c r="K339" i="1"/>
  <c r="J339" i="1"/>
  <c r="L339" i="1" s="1"/>
  <c r="K338" i="1"/>
  <c r="J338" i="1"/>
  <c r="L338" i="1" s="1"/>
  <c r="K337" i="1"/>
  <c r="L337" i="1" s="1"/>
  <c r="J337" i="1"/>
  <c r="K336" i="1"/>
  <c r="J336" i="1"/>
  <c r="L336" i="1" s="1"/>
  <c r="K335" i="1"/>
  <c r="J335" i="1"/>
  <c r="L335" i="1" s="1"/>
  <c r="L334" i="1"/>
  <c r="K334" i="1"/>
  <c r="J334" i="1"/>
  <c r="K333" i="1"/>
  <c r="J333" i="1"/>
  <c r="L333" i="1" s="1"/>
  <c r="K332" i="1"/>
  <c r="J332" i="1"/>
  <c r="L332" i="1" s="1"/>
  <c r="K331" i="1"/>
  <c r="J331" i="1"/>
  <c r="L331" i="1" s="1"/>
  <c r="K330" i="1"/>
  <c r="J330" i="1"/>
  <c r="L330" i="1" s="1"/>
  <c r="K329" i="1"/>
  <c r="L329" i="1" s="1"/>
  <c r="J329" i="1"/>
  <c r="L328" i="1"/>
  <c r="K328" i="1"/>
  <c r="J328" i="1"/>
  <c r="K327" i="1"/>
  <c r="J327" i="1"/>
  <c r="L327" i="1" s="1"/>
  <c r="K326" i="1"/>
  <c r="J326" i="1"/>
  <c r="L326" i="1" s="1"/>
  <c r="K325" i="1"/>
  <c r="J325" i="1"/>
  <c r="L325" i="1" s="1"/>
  <c r="K324" i="1"/>
  <c r="J324" i="1"/>
  <c r="L324" i="1" s="1"/>
  <c r="K323" i="1"/>
  <c r="J323" i="1"/>
  <c r="L323" i="1" s="1"/>
  <c r="L322" i="1"/>
  <c r="K322" i="1"/>
  <c r="J322" i="1"/>
  <c r="L321" i="1"/>
  <c r="K321" i="1"/>
  <c r="J321" i="1"/>
  <c r="K320" i="1"/>
  <c r="J320" i="1"/>
  <c r="L320" i="1" s="1"/>
  <c r="K319" i="1"/>
  <c r="J319" i="1"/>
  <c r="L319" i="1" s="1"/>
  <c r="K318" i="1"/>
  <c r="J318" i="1"/>
  <c r="L318" i="1" s="1"/>
  <c r="K317" i="1"/>
  <c r="J317" i="1"/>
  <c r="L317" i="1" s="1"/>
  <c r="L316" i="1"/>
  <c r="K316" i="1"/>
  <c r="J316" i="1"/>
  <c r="K315" i="1"/>
  <c r="J315" i="1"/>
  <c r="L314" i="1"/>
  <c r="K314" i="1"/>
  <c r="J314" i="1"/>
  <c r="L313" i="1"/>
  <c r="K313" i="1"/>
  <c r="J313" i="1"/>
  <c r="K312" i="1"/>
  <c r="J312" i="1"/>
  <c r="L312" i="1" s="1"/>
  <c r="K311" i="1"/>
  <c r="J311" i="1"/>
  <c r="L311" i="1" s="1"/>
  <c r="L310" i="1"/>
  <c r="K310" i="1"/>
  <c r="J310" i="1"/>
  <c r="K309" i="1"/>
  <c r="J309" i="1"/>
  <c r="L308" i="1"/>
  <c r="K308" i="1"/>
  <c r="J308" i="1"/>
  <c r="K307" i="1"/>
  <c r="J307" i="1"/>
  <c r="L306" i="1"/>
  <c r="K306" i="1"/>
  <c r="J306" i="1"/>
  <c r="L305" i="1"/>
  <c r="K305" i="1"/>
  <c r="J305" i="1"/>
  <c r="L304" i="1"/>
  <c r="K304" i="1"/>
  <c r="J304" i="1"/>
  <c r="K303" i="1"/>
  <c r="J303" i="1"/>
  <c r="L303" i="1" s="1"/>
  <c r="K302" i="1"/>
  <c r="J302" i="1"/>
  <c r="L302" i="1" s="1"/>
  <c r="K301" i="1"/>
  <c r="J301" i="1"/>
  <c r="L301" i="1" s="1"/>
  <c r="K300" i="1"/>
  <c r="J300" i="1"/>
  <c r="L300" i="1" s="1"/>
  <c r="K299" i="1"/>
  <c r="J299" i="1"/>
  <c r="L299" i="1" s="1"/>
  <c r="L298" i="1"/>
  <c r="K298" i="1"/>
  <c r="J298" i="1"/>
  <c r="L297" i="1"/>
  <c r="K297" i="1"/>
  <c r="J297" i="1"/>
  <c r="K296" i="1"/>
  <c r="J296" i="1"/>
  <c r="L296" i="1" s="1"/>
  <c r="K295" i="1"/>
  <c r="L295" i="1" s="1"/>
  <c r="J295" i="1"/>
  <c r="K294" i="1"/>
  <c r="J294" i="1"/>
  <c r="L294" i="1" s="1"/>
  <c r="K293" i="1"/>
  <c r="J293" i="1"/>
  <c r="L293" i="1" s="1"/>
  <c r="K292" i="1"/>
  <c r="L292" i="1" s="1"/>
  <c r="J292" i="1"/>
  <c r="K291" i="1"/>
  <c r="J291" i="1"/>
  <c r="L291" i="1" s="1"/>
  <c r="K290" i="1"/>
  <c r="J290" i="1"/>
  <c r="L290" i="1" s="1"/>
  <c r="K289" i="1"/>
  <c r="L289" i="1" s="1"/>
  <c r="J289" i="1"/>
  <c r="K288" i="1"/>
  <c r="J288" i="1"/>
  <c r="L288" i="1" s="1"/>
  <c r="K287" i="1"/>
  <c r="L287" i="1" s="1"/>
  <c r="J287" i="1"/>
  <c r="L286" i="1"/>
  <c r="K286" i="1"/>
  <c r="J286" i="1"/>
  <c r="L285" i="1"/>
  <c r="K285" i="1"/>
  <c r="J285" i="1"/>
  <c r="L284" i="1"/>
  <c r="K284" i="1"/>
  <c r="J284" i="1"/>
  <c r="K283" i="1"/>
  <c r="J283" i="1"/>
  <c r="L282" i="1"/>
  <c r="K282" i="1"/>
  <c r="J282" i="1"/>
  <c r="L281" i="1"/>
  <c r="K281" i="1"/>
  <c r="J281" i="1"/>
  <c r="K280" i="1"/>
  <c r="J280" i="1"/>
  <c r="L280" i="1" s="1"/>
  <c r="K279" i="1"/>
  <c r="J279" i="1"/>
  <c r="L279" i="1" s="1"/>
  <c r="L278" i="1"/>
  <c r="K278" i="1"/>
  <c r="J278" i="1"/>
  <c r="K277" i="1"/>
  <c r="J277" i="1"/>
  <c r="L277" i="1" s="1"/>
  <c r="K276" i="1"/>
  <c r="L276" i="1" s="1"/>
  <c r="J276" i="1"/>
  <c r="K275" i="1"/>
  <c r="J275" i="1"/>
  <c r="K274" i="1"/>
  <c r="J274" i="1"/>
  <c r="L274" i="1" s="1"/>
  <c r="K273" i="1"/>
  <c r="L273" i="1" s="1"/>
  <c r="J273" i="1"/>
  <c r="L272" i="1"/>
  <c r="K272" i="1"/>
  <c r="J272" i="1"/>
  <c r="L271" i="1"/>
  <c r="K271" i="1"/>
  <c r="J271" i="1"/>
  <c r="L270" i="1"/>
  <c r="K270" i="1"/>
  <c r="J270" i="1"/>
  <c r="K269" i="1"/>
  <c r="J269" i="1"/>
  <c r="L269" i="1" s="1"/>
  <c r="K268" i="1"/>
  <c r="J268" i="1"/>
  <c r="L268" i="1" s="1"/>
  <c r="K267" i="1"/>
  <c r="J267" i="1"/>
  <c r="K266" i="1"/>
  <c r="J266" i="1"/>
  <c r="L266" i="1" s="1"/>
  <c r="K265" i="1"/>
  <c r="L265" i="1" s="1"/>
  <c r="J265" i="1"/>
  <c r="K264" i="1"/>
  <c r="J264" i="1"/>
  <c r="L264" i="1" s="1"/>
  <c r="K263" i="1"/>
  <c r="J263" i="1"/>
  <c r="L263" i="1" s="1"/>
  <c r="L262" i="1"/>
  <c r="K262" i="1"/>
  <c r="J262" i="1"/>
  <c r="L261" i="1"/>
  <c r="K261" i="1"/>
  <c r="J261" i="1"/>
  <c r="L260" i="1"/>
  <c r="K260" i="1"/>
  <c r="J260" i="1"/>
  <c r="K259" i="1"/>
  <c r="J259" i="1"/>
  <c r="L258" i="1"/>
  <c r="K258" i="1"/>
  <c r="J258" i="1"/>
  <c r="L257" i="1"/>
  <c r="K257" i="1"/>
  <c r="J257" i="1"/>
  <c r="L256" i="1"/>
  <c r="K256" i="1"/>
  <c r="J256" i="1"/>
  <c r="K255" i="1"/>
  <c r="J255" i="1"/>
  <c r="L255" i="1" s="1"/>
  <c r="K254" i="1"/>
  <c r="J254" i="1"/>
  <c r="L254" i="1" s="1"/>
  <c r="K253" i="1"/>
  <c r="L253" i="1" s="1"/>
  <c r="J253" i="1"/>
  <c r="K252" i="1"/>
  <c r="J252" i="1"/>
  <c r="L252" i="1" s="1"/>
  <c r="K251" i="1"/>
  <c r="J251" i="1"/>
  <c r="L251" i="1" s="1"/>
  <c r="K250" i="1"/>
  <c r="L250" i="1" s="1"/>
  <c r="J250" i="1"/>
  <c r="K249" i="1"/>
  <c r="L249" i="1" s="1"/>
  <c r="J249" i="1"/>
  <c r="K248" i="1"/>
  <c r="L248" i="1" s="1"/>
  <c r="J248" i="1"/>
  <c r="L247" i="1"/>
  <c r="K247" i="1"/>
  <c r="J247" i="1"/>
  <c r="L246" i="1"/>
  <c r="K246" i="1"/>
  <c r="J246" i="1"/>
  <c r="L245" i="1"/>
  <c r="K245" i="1"/>
  <c r="J245" i="1"/>
  <c r="K244" i="1"/>
  <c r="J244" i="1"/>
  <c r="L244" i="1" s="1"/>
  <c r="K243" i="1"/>
  <c r="J243" i="1"/>
  <c r="L243" i="1" s="1"/>
  <c r="L242" i="1"/>
  <c r="K242" i="1"/>
  <c r="J242" i="1"/>
  <c r="L241" i="1"/>
  <c r="K241" i="1"/>
  <c r="J241" i="1"/>
  <c r="K240" i="1"/>
  <c r="J240" i="1"/>
  <c r="L240" i="1" s="1"/>
  <c r="K239" i="1"/>
  <c r="L239" i="1" s="1"/>
  <c r="J239" i="1"/>
  <c r="K238" i="1"/>
  <c r="J238" i="1"/>
  <c r="L238" i="1" s="1"/>
  <c r="K237" i="1"/>
  <c r="L237" i="1" s="1"/>
  <c r="J237" i="1"/>
  <c r="L236" i="1"/>
  <c r="K236" i="1"/>
  <c r="J236" i="1"/>
  <c r="K235" i="1"/>
  <c r="J235" i="1"/>
  <c r="K234" i="1"/>
  <c r="L234" i="1" s="1"/>
  <c r="J234" i="1"/>
  <c r="L233" i="1"/>
  <c r="K233" i="1"/>
  <c r="J233" i="1"/>
  <c r="L232" i="1"/>
  <c r="K232" i="1"/>
  <c r="J232" i="1"/>
  <c r="L231" i="1"/>
  <c r="K231" i="1"/>
  <c r="J231" i="1"/>
  <c r="K230" i="1"/>
  <c r="J230" i="1"/>
  <c r="L230" i="1" s="1"/>
  <c r="K229" i="1"/>
  <c r="J229" i="1"/>
  <c r="L229" i="1" s="1"/>
  <c r="K228" i="1"/>
  <c r="L228" i="1" s="1"/>
  <c r="J228" i="1"/>
  <c r="K227" i="1"/>
  <c r="J227" i="1"/>
  <c r="L227" i="1" s="1"/>
  <c r="K226" i="1"/>
  <c r="J226" i="1"/>
  <c r="L226" i="1" s="1"/>
  <c r="K225" i="1"/>
  <c r="L225" i="1" s="1"/>
  <c r="J225" i="1"/>
  <c r="K224" i="1"/>
  <c r="J224" i="1"/>
  <c r="L224" i="1" s="1"/>
  <c r="K223" i="1"/>
  <c r="L223" i="1" s="1"/>
  <c r="J223" i="1"/>
  <c r="L222" i="1"/>
  <c r="K222" i="1"/>
  <c r="J222" i="1"/>
  <c r="L221" i="1"/>
  <c r="K221" i="1"/>
  <c r="J221" i="1"/>
  <c r="L220" i="1"/>
  <c r="K220" i="1"/>
  <c r="J220" i="1"/>
  <c r="K219" i="1"/>
  <c r="J219" i="1"/>
  <c r="L218" i="1"/>
  <c r="K218" i="1"/>
  <c r="J218" i="1"/>
  <c r="L217" i="1"/>
  <c r="K217" i="1"/>
  <c r="J217" i="1"/>
  <c r="K216" i="1"/>
  <c r="J216" i="1"/>
  <c r="L216" i="1" s="1"/>
  <c r="K215" i="1"/>
  <c r="J215" i="1"/>
  <c r="L215" i="1" s="1"/>
  <c r="L214" i="1"/>
  <c r="K214" i="1"/>
  <c r="J214" i="1"/>
  <c r="K213" i="1"/>
  <c r="J213" i="1"/>
  <c r="L213" i="1" s="1"/>
  <c r="K212" i="1"/>
  <c r="L212" i="1" s="1"/>
  <c r="J212" i="1"/>
  <c r="K211" i="1"/>
  <c r="J211" i="1"/>
  <c r="K210" i="1"/>
  <c r="J210" i="1"/>
  <c r="L210" i="1" s="1"/>
  <c r="K209" i="1"/>
  <c r="L209" i="1" s="1"/>
  <c r="J209" i="1"/>
  <c r="L208" i="1"/>
  <c r="K208" i="1"/>
  <c r="J208" i="1"/>
  <c r="L207" i="1"/>
  <c r="K207" i="1"/>
  <c r="J207" i="1"/>
  <c r="L206" i="1"/>
  <c r="K206" i="1"/>
  <c r="J206" i="1"/>
  <c r="K205" i="1"/>
  <c r="J205" i="1"/>
  <c r="L205" i="1" s="1"/>
  <c r="K204" i="1"/>
  <c r="J204" i="1"/>
  <c r="L204" i="1" s="1"/>
  <c r="K203" i="1"/>
  <c r="J203" i="1"/>
  <c r="L203" i="1" s="1"/>
  <c r="K202" i="1"/>
  <c r="J202" i="1"/>
  <c r="L202" i="1" s="1"/>
  <c r="K201" i="1"/>
  <c r="L201" i="1" s="1"/>
  <c r="J201" i="1"/>
  <c r="K200" i="1"/>
  <c r="L200" i="1" s="1"/>
  <c r="J200" i="1"/>
  <c r="K199" i="1"/>
  <c r="J199" i="1"/>
  <c r="L199" i="1" s="1"/>
  <c r="L198" i="1"/>
  <c r="K198" i="1"/>
  <c r="J198" i="1"/>
  <c r="L197" i="1"/>
  <c r="K197" i="1"/>
  <c r="J197" i="1"/>
  <c r="L196" i="1"/>
  <c r="K196" i="1"/>
  <c r="J196" i="1"/>
  <c r="K195" i="1"/>
  <c r="J195" i="1"/>
  <c r="L194" i="1"/>
  <c r="K194" i="1"/>
  <c r="J194" i="1"/>
  <c r="L193" i="1"/>
  <c r="K193" i="1"/>
  <c r="J193" i="1"/>
  <c r="L192" i="1"/>
  <c r="K192" i="1"/>
  <c r="J192" i="1"/>
  <c r="K191" i="1"/>
  <c r="J191" i="1"/>
  <c r="L191" i="1" s="1"/>
  <c r="K190" i="1"/>
  <c r="J190" i="1"/>
  <c r="L190" i="1" s="1"/>
  <c r="L189" i="1"/>
  <c r="K189" i="1"/>
  <c r="J189" i="1"/>
  <c r="K188" i="1"/>
  <c r="J188" i="1"/>
  <c r="L188" i="1" s="1"/>
  <c r="K187" i="1"/>
  <c r="J187" i="1"/>
  <c r="L187" i="1" s="1"/>
  <c r="L186" i="1"/>
  <c r="K186" i="1"/>
  <c r="J186" i="1"/>
  <c r="K185" i="1"/>
  <c r="L185" i="1" s="1"/>
  <c r="J185" i="1"/>
  <c r="K184" i="1"/>
  <c r="J184" i="1"/>
  <c r="L184" i="1" s="1"/>
  <c r="L183" i="1"/>
  <c r="K183" i="1"/>
  <c r="J183" i="1"/>
  <c r="L182" i="1"/>
  <c r="K182" i="1"/>
  <c r="J182" i="1"/>
  <c r="L181" i="1"/>
  <c r="K181" i="1"/>
  <c r="J181" i="1"/>
  <c r="K180" i="1"/>
  <c r="J180" i="1"/>
  <c r="L180" i="1" s="1"/>
  <c r="K179" i="1"/>
  <c r="J179" i="1"/>
  <c r="L179" i="1" s="1"/>
  <c r="L178" i="1"/>
  <c r="K178" i="1"/>
  <c r="J178" i="1"/>
  <c r="L177" i="1"/>
  <c r="K177" i="1"/>
  <c r="J177" i="1"/>
  <c r="K176" i="1"/>
  <c r="J176" i="1"/>
  <c r="L176" i="1" s="1"/>
  <c r="L175" i="1"/>
  <c r="K175" i="1"/>
  <c r="J175" i="1"/>
  <c r="K174" i="1"/>
  <c r="J174" i="1"/>
  <c r="L174" i="1" s="1"/>
  <c r="K173" i="1"/>
  <c r="J173" i="1"/>
  <c r="L173" i="1" s="1"/>
  <c r="L172" i="1"/>
  <c r="K172" i="1"/>
  <c r="J172" i="1"/>
  <c r="K171" i="1"/>
  <c r="J171" i="1"/>
  <c r="K170" i="1"/>
  <c r="J170" i="1"/>
  <c r="L170" i="1" s="1"/>
  <c r="L169" i="1"/>
  <c r="K169" i="1"/>
  <c r="J169" i="1"/>
  <c r="L168" i="1"/>
  <c r="K168" i="1"/>
  <c r="J168" i="1"/>
  <c r="L167" i="1"/>
  <c r="K167" i="1"/>
  <c r="J167" i="1"/>
  <c r="K166" i="1"/>
  <c r="J166" i="1"/>
  <c r="L166" i="1" s="1"/>
  <c r="K165" i="1"/>
  <c r="J165" i="1"/>
  <c r="L165" i="1" s="1"/>
  <c r="L164" i="1"/>
  <c r="K164" i="1"/>
  <c r="J164" i="1"/>
  <c r="K163" i="1"/>
  <c r="J163" i="1"/>
  <c r="L163" i="1" s="1"/>
  <c r="K162" i="1"/>
  <c r="J162" i="1"/>
  <c r="L162" i="1" s="1"/>
  <c r="L161" i="1"/>
  <c r="K161" i="1"/>
  <c r="J161" i="1"/>
  <c r="K160" i="1"/>
  <c r="J160" i="1"/>
  <c r="L160" i="1" s="1"/>
  <c r="K159" i="1"/>
  <c r="J159" i="1"/>
  <c r="L159" i="1" s="1"/>
  <c r="L158" i="1"/>
  <c r="K158" i="1"/>
  <c r="J158" i="1"/>
  <c r="L157" i="1"/>
  <c r="K157" i="1"/>
  <c r="J157" i="1"/>
  <c r="L156" i="1"/>
  <c r="K156" i="1"/>
  <c r="J156" i="1"/>
  <c r="K155" i="1"/>
  <c r="J155" i="1"/>
  <c r="L154" i="1"/>
  <c r="K154" i="1"/>
  <c r="J154" i="1"/>
  <c r="L153" i="1"/>
  <c r="K153" i="1"/>
  <c r="J153" i="1"/>
  <c r="K152" i="1"/>
  <c r="J152" i="1"/>
  <c r="L152" i="1" s="1"/>
  <c r="K151" i="1"/>
  <c r="J151" i="1"/>
  <c r="L151" i="1" s="1"/>
  <c r="L150" i="1"/>
  <c r="K150" i="1"/>
  <c r="J150" i="1"/>
  <c r="K149" i="1"/>
  <c r="J149" i="1"/>
  <c r="L149" i="1" s="1"/>
  <c r="K148" i="1"/>
  <c r="J148" i="1"/>
  <c r="L148" i="1" s="1"/>
  <c r="L147" i="1"/>
  <c r="K147" i="1"/>
  <c r="J147" i="1"/>
  <c r="L146" i="1"/>
  <c r="K146" i="1"/>
  <c r="J146" i="1"/>
  <c r="L145" i="1"/>
  <c r="K145" i="1"/>
  <c r="J145" i="1"/>
  <c r="K144" i="1"/>
  <c r="J144" i="1"/>
  <c r="L144" i="1" s="1"/>
  <c r="K143" i="1"/>
  <c r="J143" i="1"/>
  <c r="L143" i="1" s="1"/>
  <c r="L142" i="1"/>
  <c r="K142" i="1"/>
  <c r="J142" i="1"/>
  <c r="K141" i="1"/>
  <c r="J141" i="1"/>
  <c r="L141" i="1" s="1"/>
  <c r="K140" i="1"/>
  <c r="J140" i="1"/>
  <c r="L140" i="1" s="1"/>
  <c r="L139" i="1"/>
  <c r="K139" i="1"/>
  <c r="J139" i="1"/>
  <c r="L138" i="1"/>
  <c r="K138" i="1"/>
  <c r="J138" i="1"/>
  <c r="L137" i="1"/>
  <c r="K137" i="1"/>
  <c r="J137" i="1"/>
  <c r="K136" i="1"/>
  <c r="J136" i="1"/>
  <c r="L136" i="1" s="1"/>
  <c r="K135" i="1"/>
  <c r="J135" i="1"/>
  <c r="L135" i="1" s="1"/>
  <c r="L134" i="1"/>
  <c r="K134" i="1"/>
  <c r="J134" i="1"/>
  <c r="K133" i="1"/>
  <c r="J133" i="1"/>
  <c r="L133" i="1" s="1"/>
  <c r="K132" i="1"/>
  <c r="J132" i="1"/>
  <c r="L132" i="1" s="1"/>
  <c r="L131" i="1"/>
  <c r="K131" i="1"/>
  <c r="J131" i="1"/>
  <c r="L130" i="1"/>
  <c r="K130" i="1"/>
  <c r="J130" i="1"/>
  <c r="L129" i="1"/>
  <c r="K129" i="1"/>
  <c r="J129" i="1"/>
  <c r="K128" i="1"/>
  <c r="J128" i="1"/>
  <c r="L128" i="1" s="1"/>
  <c r="K127" i="1"/>
  <c r="J127" i="1"/>
  <c r="B14" i="2" s="1"/>
  <c r="L126" i="1"/>
  <c r="K126" i="1"/>
  <c r="J126" i="1"/>
  <c r="K125" i="1"/>
  <c r="J125" i="1"/>
  <c r="L125" i="1" s="1"/>
  <c r="K124" i="1"/>
  <c r="J124" i="1"/>
  <c r="L124" i="1" s="1"/>
  <c r="L123" i="1"/>
  <c r="K123" i="1"/>
  <c r="J123" i="1"/>
  <c r="L122" i="1"/>
  <c r="K122" i="1"/>
  <c r="J122" i="1"/>
  <c r="L121" i="1"/>
  <c r="K121" i="1"/>
  <c r="J121" i="1"/>
  <c r="K120" i="1"/>
  <c r="J120" i="1"/>
  <c r="L120" i="1" s="1"/>
  <c r="K119" i="1"/>
  <c r="J119" i="1"/>
  <c r="L119" i="1" s="1"/>
  <c r="L118" i="1"/>
  <c r="K118" i="1"/>
  <c r="J118" i="1"/>
  <c r="K117" i="1"/>
  <c r="J117" i="1"/>
  <c r="L117" i="1" s="1"/>
  <c r="K116" i="1"/>
  <c r="J116" i="1"/>
  <c r="L116" i="1" s="1"/>
  <c r="L115" i="1"/>
  <c r="K115" i="1"/>
  <c r="J115" i="1"/>
  <c r="L114" i="1"/>
  <c r="K114" i="1"/>
  <c r="J114" i="1"/>
  <c r="L113" i="1"/>
  <c r="K113" i="1"/>
  <c r="J113" i="1"/>
  <c r="K112" i="1"/>
  <c r="J112" i="1"/>
  <c r="L112" i="1" s="1"/>
  <c r="K111" i="1"/>
  <c r="J111" i="1"/>
  <c r="L111" i="1" s="1"/>
  <c r="L110" i="1"/>
  <c r="K110" i="1"/>
  <c r="J110" i="1"/>
  <c r="K109" i="1"/>
  <c r="J109" i="1"/>
  <c r="L109" i="1" s="1"/>
  <c r="K108" i="1"/>
  <c r="J108" i="1"/>
  <c r="L108" i="1" s="1"/>
  <c r="L107" i="1"/>
  <c r="K107" i="1"/>
  <c r="J107" i="1"/>
  <c r="L106" i="1"/>
  <c r="K106" i="1"/>
  <c r="J106" i="1"/>
  <c r="L105" i="1"/>
  <c r="K105" i="1"/>
  <c r="J105" i="1"/>
  <c r="K104" i="1"/>
  <c r="J104" i="1"/>
  <c r="L104" i="1" s="1"/>
  <c r="K103" i="1"/>
  <c r="J103" i="1"/>
  <c r="L103" i="1" s="1"/>
  <c r="L102" i="1"/>
  <c r="K102" i="1"/>
  <c r="J102" i="1"/>
  <c r="K101" i="1"/>
  <c r="J101" i="1"/>
  <c r="L101" i="1" s="1"/>
  <c r="K100" i="1"/>
  <c r="J100" i="1"/>
  <c r="L100" i="1" s="1"/>
  <c r="L99" i="1"/>
  <c r="K99" i="1"/>
  <c r="J99" i="1"/>
  <c r="L98" i="1"/>
  <c r="K98" i="1"/>
  <c r="J98" i="1"/>
  <c r="L97" i="1"/>
  <c r="K97" i="1"/>
  <c r="J97" i="1"/>
  <c r="K96" i="1"/>
  <c r="J96" i="1"/>
  <c r="L96" i="1" s="1"/>
  <c r="K95" i="1"/>
  <c r="J95" i="1"/>
  <c r="L95" i="1" s="1"/>
  <c r="L94" i="1"/>
  <c r="K94" i="1"/>
  <c r="J94" i="1"/>
  <c r="K93" i="1"/>
  <c r="J93" i="1"/>
  <c r="L93" i="1" s="1"/>
  <c r="K92" i="1"/>
  <c r="J92" i="1"/>
  <c r="L92" i="1" s="1"/>
  <c r="L91" i="1"/>
  <c r="K91" i="1"/>
  <c r="J91" i="1"/>
  <c r="L90" i="1"/>
  <c r="K90" i="1"/>
  <c r="J90" i="1"/>
  <c r="L89" i="1"/>
  <c r="K89" i="1"/>
  <c r="J89" i="1"/>
  <c r="K88" i="1"/>
  <c r="J88" i="1"/>
  <c r="L88" i="1" s="1"/>
  <c r="K87" i="1"/>
  <c r="J87" i="1"/>
  <c r="L87" i="1" s="1"/>
  <c r="L86" i="1"/>
  <c r="K86" i="1"/>
  <c r="J86" i="1"/>
  <c r="K85" i="1"/>
  <c r="J85" i="1"/>
  <c r="L85" i="1" s="1"/>
  <c r="K84" i="1"/>
  <c r="J84" i="1"/>
  <c r="L84" i="1" s="1"/>
  <c r="L83" i="1"/>
  <c r="K83" i="1"/>
  <c r="J83" i="1"/>
  <c r="L82" i="1"/>
  <c r="K82" i="1"/>
  <c r="J82" i="1"/>
  <c r="L81" i="1"/>
  <c r="K81" i="1"/>
  <c r="J81" i="1"/>
  <c r="K80" i="1"/>
  <c r="J80" i="1"/>
  <c r="L80" i="1" s="1"/>
  <c r="K79" i="1"/>
  <c r="J79" i="1"/>
  <c r="L79" i="1" s="1"/>
  <c r="L78" i="1"/>
  <c r="K78" i="1"/>
  <c r="J78" i="1"/>
  <c r="K77" i="1"/>
  <c r="J77" i="1"/>
  <c r="L77" i="1" s="1"/>
  <c r="K76" i="1"/>
  <c r="J76" i="1"/>
  <c r="L76" i="1" s="1"/>
  <c r="L75" i="1"/>
  <c r="K75" i="1"/>
  <c r="J75" i="1"/>
  <c r="L74" i="1"/>
  <c r="K74" i="1"/>
  <c r="J74" i="1"/>
  <c r="L73" i="1"/>
  <c r="K73" i="1"/>
  <c r="J73" i="1"/>
  <c r="K72" i="1"/>
  <c r="J72" i="1"/>
  <c r="L72" i="1" s="1"/>
  <c r="K71" i="1"/>
  <c r="J71" i="1"/>
  <c r="L71" i="1" s="1"/>
  <c r="L70" i="1"/>
  <c r="K70" i="1"/>
  <c r="J70" i="1"/>
  <c r="K69" i="1"/>
  <c r="J69" i="1"/>
  <c r="L69" i="1" s="1"/>
  <c r="K68" i="1"/>
  <c r="J68" i="1"/>
  <c r="L68" i="1" s="1"/>
  <c r="L67" i="1"/>
  <c r="K67" i="1"/>
  <c r="J67" i="1"/>
  <c r="L66" i="1"/>
  <c r="K66" i="1"/>
  <c r="J66" i="1"/>
  <c r="L65" i="1"/>
  <c r="K65" i="1"/>
  <c r="J65" i="1"/>
  <c r="K64" i="1"/>
  <c r="J64" i="1"/>
  <c r="L64" i="1" s="1"/>
  <c r="K63" i="1"/>
  <c r="J63" i="1"/>
  <c r="L63" i="1" s="1"/>
  <c r="L62" i="1"/>
  <c r="K62" i="1"/>
  <c r="J62" i="1"/>
  <c r="K61" i="1"/>
  <c r="J61" i="1"/>
  <c r="L61" i="1" s="1"/>
  <c r="K60" i="1"/>
  <c r="J60" i="1"/>
  <c r="L60" i="1" s="1"/>
  <c r="L59" i="1"/>
  <c r="K59" i="1"/>
  <c r="J59" i="1"/>
  <c r="L58" i="1"/>
  <c r="K58" i="1"/>
  <c r="J58" i="1"/>
  <c r="L57" i="1"/>
  <c r="K57" i="1"/>
  <c r="J57" i="1"/>
  <c r="K56" i="1"/>
  <c r="J56" i="1"/>
  <c r="L56" i="1" s="1"/>
  <c r="K55" i="1"/>
  <c r="J55" i="1"/>
  <c r="L55" i="1" s="1"/>
  <c r="L54" i="1"/>
  <c r="K54" i="1"/>
  <c r="J54" i="1"/>
  <c r="K53" i="1"/>
  <c r="J53" i="1"/>
  <c r="L53" i="1" s="1"/>
  <c r="K52" i="1"/>
  <c r="J52" i="1"/>
  <c r="L52" i="1" s="1"/>
  <c r="L51" i="1"/>
  <c r="K51" i="1"/>
  <c r="J51" i="1"/>
  <c r="L50" i="1"/>
  <c r="K50" i="1"/>
  <c r="J50" i="1"/>
  <c r="K49" i="1"/>
  <c r="L49" i="1" s="1"/>
  <c r="J49" i="1"/>
  <c r="K48" i="1"/>
  <c r="J48" i="1"/>
  <c r="L48" i="1" s="1"/>
  <c r="K47" i="1"/>
  <c r="J47" i="1"/>
  <c r="L47" i="1" s="1"/>
  <c r="L46" i="1"/>
  <c r="K46" i="1"/>
  <c r="J46" i="1"/>
  <c r="K45" i="1"/>
  <c r="J45" i="1"/>
  <c r="L45" i="1" s="1"/>
  <c r="K44" i="1"/>
  <c r="J44" i="1"/>
  <c r="L44" i="1" s="1"/>
  <c r="L43" i="1"/>
  <c r="K43" i="1"/>
  <c r="J43" i="1"/>
  <c r="L42" i="1"/>
  <c r="K42" i="1"/>
  <c r="J42" i="1"/>
  <c r="K41" i="1"/>
  <c r="L41" i="1" s="1"/>
  <c r="J41" i="1"/>
  <c r="K40" i="1"/>
  <c r="J40" i="1"/>
  <c r="L40" i="1" s="1"/>
  <c r="K39" i="1"/>
  <c r="J39" i="1"/>
  <c r="L39" i="1" s="1"/>
  <c r="L38" i="1"/>
  <c r="K38" i="1"/>
  <c r="J38" i="1"/>
  <c r="K37" i="1"/>
  <c r="J37" i="1"/>
  <c r="L37" i="1" s="1"/>
  <c r="K36" i="1"/>
  <c r="J36" i="1"/>
  <c r="L36" i="1" s="1"/>
  <c r="L35" i="1"/>
  <c r="K35" i="1"/>
  <c r="J35" i="1"/>
  <c r="L34" i="1"/>
  <c r="K34" i="1"/>
  <c r="J34" i="1"/>
  <c r="K33" i="1"/>
  <c r="L33" i="1" s="1"/>
  <c r="J33" i="1"/>
  <c r="K32" i="1"/>
  <c r="J32" i="1"/>
  <c r="L32" i="1" s="1"/>
  <c r="K31" i="1"/>
  <c r="J31" i="1"/>
  <c r="L31" i="1" s="1"/>
  <c r="L30" i="1"/>
  <c r="K30" i="1"/>
  <c r="J30" i="1"/>
  <c r="K29" i="1"/>
  <c r="J29" i="1"/>
  <c r="L29" i="1" s="1"/>
  <c r="K28" i="1"/>
  <c r="J28" i="1"/>
  <c r="L28" i="1" s="1"/>
  <c r="L27" i="1"/>
  <c r="K27" i="1"/>
  <c r="J27" i="1"/>
  <c r="L26" i="1"/>
  <c r="K26" i="1"/>
  <c r="J26" i="1"/>
  <c r="K25" i="1"/>
  <c r="L25" i="1" s="1"/>
  <c r="J25" i="1"/>
  <c r="K24" i="1"/>
  <c r="J24" i="1"/>
  <c r="L24" i="1" s="1"/>
  <c r="K23" i="1"/>
  <c r="J23" i="1"/>
  <c r="L23" i="1" s="1"/>
  <c r="L22" i="1"/>
  <c r="K22" i="1"/>
  <c r="J22" i="1"/>
  <c r="K21" i="1"/>
  <c r="J21" i="1"/>
  <c r="L21" i="1" s="1"/>
  <c r="K20" i="1"/>
  <c r="J20" i="1"/>
  <c r="L20" i="1" s="1"/>
  <c r="L19" i="1"/>
  <c r="K19" i="1"/>
  <c r="J19" i="1"/>
  <c r="L18" i="1"/>
  <c r="K18" i="1"/>
  <c r="J18" i="1"/>
  <c r="K17" i="1"/>
  <c r="L17" i="1" s="1"/>
  <c r="J17" i="1"/>
  <c r="K16" i="1"/>
  <c r="J16" i="1"/>
  <c r="L16" i="1" s="1"/>
  <c r="K15" i="1"/>
  <c r="J15" i="1"/>
  <c r="L15" i="1" s="1"/>
  <c r="L14" i="1"/>
  <c r="K14" i="1"/>
  <c r="J14" i="1"/>
  <c r="K13" i="1"/>
  <c r="J13" i="1"/>
  <c r="L13" i="1" s="1"/>
  <c r="K12" i="1"/>
  <c r="J12" i="1"/>
  <c r="L12" i="1" s="1"/>
  <c r="L11" i="1"/>
  <c r="K11" i="1"/>
  <c r="J11" i="1"/>
  <c r="L10" i="1"/>
  <c r="K10" i="1"/>
  <c r="J10" i="1"/>
  <c r="K9" i="1"/>
  <c r="J9" i="1"/>
  <c r="L9" i="1" s="1"/>
  <c r="K8" i="1"/>
  <c r="J8" i="1"/>
  <c r="K7" i="1"/>
  <c r="J7" i="1"/>
  <c r="E5" i="2" s="1"/>
  <c r="L6" i="1"/>
  <c r="K6" i="1"/>
  <c r="J6" i="1"/>
  <c r="K5" i="1"/>
  <c r="J5" i="1"/>
  <c r="K4" i="1"/>
  <c r="J4" i="1"/>
  <c r="H8" i="2" s="1"/>
  <c r="L3" i="1"/>
  <c r="K3" i="1"/>
  <c r="J3" i="1"/>
  <c r="L2" i="1"/>
  <c r="K2" i="1"/>
  <c r="J2" i="1"/>
  <c r="E7" i="2" l="1"/>
  <c r="B7" i="2"/>
  <c r="B3" i="2"/>
  <c r="H6" i="2"/>
  <c r="B12" i="2"/>
  <c r="E6" i="2"/>
  <c r="L4" i="1"/>
  <c r="B5" i="2" s="1"/>
  <c r="B4" i="2"/>
  <c r="E8" i="2"/>
  <c r="L7" i="1"/>
  <c r="L127" i="1"/>
  <c r="L171" i="1"/>
  <c r="L235" i="1"/>
  <c r="L351" i="1"/>
  <c r="L357" i="1"/>
  <c r="L373" i="1"/>
  <c r="L389" i="1"/>
  <c r="L405" i="1"/>
  <c r="L421" i="1"/>
  <c r="L437" i="1"/>
  <c r="L453" i="1"/>
  <c r="L469" i="1"/>
  <c r="L485" i="1"/>
  <c r="L501" i="1"/>
  <c r="L517" i="1"/>
  <c r="L533" i="1"/>
  <c r="L549" i="1"/>
  <c r="L565" i="1"/>
  <c r="L581" i="1"/>
  <c r="L597" i="1"/>
  <c r="L613" i="1"/>
  <c r="L629" i="1"/>
  <c r="B20" i="2"/>
  <c r="L575" i="1"/>
  <c r="B22" i="2"/>
  <c r="L751" i="1"/>
  <c r="H7" i="2"/>
  <c r="E9" i="2"/>
  <c r="H5" i="2"/>
  <c r="L5" i="1"/>
  <c r="L155" i="1"/>
  <c r="L219" i="1"/>
  <c r="L283" i="1"/>
  <c r="L309" i="1"/>
  <c r="L315" i="1"/>
  <c r="L677" i="1"/>
  <c r="L8" i="1"/>
  <c r="L211" i="1"/>
  <c r="L275" i="1"/>
  <c r="L343" i="1"/>
  <c r="L349" i="1"/>
  <c r="L355" i="1"/>
  <c r="B13" i="2"/>
  <c r="B16" i="2"/>
  <c r="L267" i="1"/>
  <c r="B19" i="2"/>
  <c r="L509" i="1"/>
  <c r="L525" i="1"/>
  <c r="L541" i="1"/>
  <c r="L557" i="1"/>
  <c r="L573" i="1"/>
  <c r="L589" i="1"/>
  <c r="L605" i="1"/>
  <c r="L621" i="1"/>
  <c r="L195" i="1"/>
  <c r="B15" i="2"/>
  <c r="L259" i="1"/>
  <c r="L307" i="1"/>
  <c r="L359" i="1"/>
  <c r="L375" i="1"/>
  <c r="L391" i="1"/>
  <c r="L407" i="1"/>
  <c r="L423" i="1"/>
  <c r="B18" i="2"/>
  <c r="L439" i="1"/>
  <c r="L455" i="1"/>
  <c r="L471" i="1"/>
  <c r="L487" i="1"/>
  <c r="L503" i="1"/>
  <c r="L519" i="1"/>
  <c r="L535" i="1"/>
  <c r="L551" i="1"/>
  <c r="L567" i="1"/>
  <c r="L583" i="1"/>
  <c r="L599" i="1"/>
  <c r="L615" i="1"/>
  <c r="L685" i="1"/>
  <c r="L707" i="1"/>
  <c r="L771" i="1"/>
  <c r="L961" i="1"/>
  <c r="L978" i="1"/>
  <c r="L1002" i="1"/>
  <c r="L1034" i="1"/>
  <c r="L1066" i="1"/>
  <c r="L755" i="1"/>
  <c r="L829" i="1"/>
  <c r="L1042" i="1"/>
  <c r="L1121" i="1"/>
  <c r="B17" i="2"/>
  <c r="L739" i="1"/>
  <c r="B23" i="2"/>
  <c r="L795" i="1"/>
  <c r="L849" i="1"/>
  <c r="L865" i="1"/>
  <c r="L881" i="1"/>
  <c r="L897" i="1"/>
  <c r="L913" i="1"/>
  <c r="L953" i="1"/>
  <c r="L970" i="1"/>
  <c r="B21" i="2"/>
  <c r="L723" i="1"/>
  <c r="L787" i="1"/>
  <c r="L930" i="1"/>
  <c r="L977" i="1"/>
  <c r="L994" i="1"/>
  <c r="L1026" i="1"/>
  <c r="L1058" i="1"/>
  <c r="B27" i="2"/>
  <c r="L1104" i="1"/>
  <c r="L1144" i="1"/>
  <c r="L1159" i="1"/>
  <c r="L1196" i="1"/>
  <c r="L1238" i="1"/>
  <c r="L1260" i="1"/>
  <c r="L1270" i="1"/>
  <c r="L1277" i="1"/>
  <c r="L1345" i="1"/>
  <c r="L1352" i="1"/>
  <c r="L1430" i="1"/>
  <c r="L1452" i="1"/>
  <c r="L1491" i="1"/>
  <c r="B25" i="2"/>
  <c r="L1074" i="1"/>
  <c r="L1245" i="1"/>
  <c r="L1366" i="1"/>
  <c r="B31" i="2"/>
  <c r="L1388" i="1"/>
  <c r="L1398" i="1"/>
  <c r="L1405" i="1"/>
  <c r="L1427" i="1"/>
  <c r="L1505" i="1"/>
  <c r="L1622" i="1"/>
  <c r="L1672" i="1"/>
  <c r="L1547" i="1"/>
  <c r="L920" i="1"/>
  <c r="L1128" i="1"/>
  <c r="L1152" i="1"/>
  <c r="L1174" i="1"/>
  <c r="L1217" i="1"/>
  <c r="L1224" i="1"/>
  <c r="L1302" i="1"/>
  <c r="L1324" i="1"/>
  <c r="L1334" i="1"/>
  <c r="L1341" i="1"/>
  <c r="L1409" i="1"/>
  <c r="L1416" i="1"/>
  <c r="B26" i="2"/>
  <c r="B24" i="2"/>
  <c r="L1112" i="1"/>
  <c r="L1171" i="1"/>
  <c r="L1256" i="1"/>
  <c r="L1299" i="1"/>
  <c r="L1309" i="1"/>
  <c r="L1608" i="1"/>
  <c r="B34" i="2"/>
  <c r="B28" i="2"/>
  <c r="L1164" i="1"/>
  <c r="L1228" i="1"/>
  <c r="B30" i="2"/>
  <c r="L1292" i="1"/>
  <c r="L1356" i="1"/>
  <c r="L1420" i="1"/>
  <c r="L1484" i="1"/>
  <c r="L1548" i="1"/>
  <c r="L1612" i="1"/>
  <c r="L1676" i="1"/>
  <c r="L1740" i="1"/>
  <c r="B29" i="2"/>
  <c r="L1276" i="1"/>
  <c r="L1204" i="1"/>
  <c r="L1268" i="1"/>
  <c r="L1332" i="1"/>
  <c r="L1396" i="1"/>
  <c r="L1460" i="1"/>
  <c r="L1524" i="1"/>
  <c r="L1588" i="1"/>
  <c r="L1652" i="1"/>
  <c r="L1716" i="1"/>
  <c r="B32" i="2"/>
  <c r="L1516" i="1"/>
  <c r="L1580" i="1"/>
  <c r="L1644" i="1"/>
  <c r="L1708" i="1"/>
  <c r="B35" i="2"/>
  <c r="L1180" i="1"/>
  <c r="L1244" i="1"/>
  <c r="L1308" i="1"/>
  <c r="L1372" i="1"/>
  <c r="L1436" i="1"/>
  <c r="L1469" i="1"/>
  <c r="L1500" i="1"/>
  <c r="L1564" i="1"/>
  <c r="L1628" i="1"/>
  <c r="L1692" i="1"/>
</calcChain>
</file>

<file path=xl/sharedStrings.xml><?xml version="1.0" encoding="utf-8"?>
<sst xmlns="http://schemas.openxmlformats.org/spreadsheetml/2006/main" count="7250" uniqueCount="61">
  <si>
    <t>OrderID</t>
  </si>
  <si>
    <t>Date</t>
  </si>
  <si>
    <t>Region</t>
  </si>
  <si>
    <t>Category</t>
  </si>
  <si>
    <t>Product</t>
  </si>
  <si>
    <t>Salesperson</t>
  </si>
  <si>
    <t>Units Sold</t>
  </si>
  <si>
    <t>Unit Price</t>
  </si>
  <si>
    <t>Unit Cost</t>
  </si>
  <si>
    <t>Revenue</t>
  </si>
  <si>
    <t>Cost</t>
  </si>
  <si>
    <t>Profit</t>
  </si>
  <si>
    <t>Cork</t>
  </si>
  <si>
    <t>Office Supplies</t>
  </si>
  <si>
    <t>Stapler</t>
  </si>
  <si>
    <t>Ciara Doyle</t>
  </si>
  <si>
    <t>Waterford</t>
  </si>
  <si>
    <t>Electronics</t>
  </si>
  <si>
    <t>Keyboard</t>
  </si>
  <si>
    <t>Niamh Connolly</t>
  </si>
  <si>
    <t>Software</t>
  </si>
  <si>
    <t>Cloud Storage</t>
  </si>
  <si>
    <t>Aoife Byrne</t>
  </si>
  <si>
    <t>Limerick</t>
  </si>
  <si>
    <t>Notebook</t>
  </si>
  <si>
    <t>Sean Murphy</t>
  </si>
  <si>
    <t>Dublin</t>
  </si>
  <si>
    <t>Laptop</t>
  </si>
  <si>
    <t>Darragh Ryan</t>
  </si>
  <si>
    <t>Furniture</t>
  </si>
  <si>
    <t>Office Desk</t>
  </si>
  <si>
    <t>Printer Paper</t>
  </si>
  <si>
    <t>Galway</t>
  </si>
  <si>
    <t>Ronan Walsh</t>
  </si>
  <si>
    <t>Office Suite</t>
  </si>
  <si>
    <t>Webcam</t>
  </si>
  <si>
    <t>Sinead Kelly</t>
  </si>
  <si>
    <t>Bookshelf</t>
  </si>
  <si>
    <t>Design Tool</t>
  </si>
  <si>
    <t>Liam O'Neill</t>
  </si>
  <si>
    <t>Headphones</t>
  </si>
  <si>
    <t>Whiteboard</t>
  </si>
  <si>
    <t>Antivirus License</t>
  </si>
  <si>
    <t>Filing Cabinet</t>
  </si>
  <si>
    <t>Monitor</t>
  </si>
  <si>
    <t>Desk Chair</t>
  </si>
  <si>
    <t>Desk Lamp</t>
  </si>
  <si>
    <t>Sales Performance Summary</t>
  </si>
  <si>
    <t>Total Revenue</t>
  </si>
  <si>
    <t>Revenue by Region</t>
  </si>
  <si>
    <t>Revenue by Category</t>
  </si>
  <si>
    <t>Total Cost</t>
  </si>
  <si>
    <t>Total Profit</t>
  </si>
  <si>
    <t>Total Units Sold</t>
  </si>
  <si>
    <t>Avg Order Value</t>
  </si>
  <si>
    <t>Monthly Revenue Trend</t>
  </si>
  <si>
    <t>Month</t>
  </si>
  <si>
    <t>Column Labels</t>
  </si>
  <si>
    <t>Grand Total</t>
  </si>
  <si>
    <t>Row Labels</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</si>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</sst>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
    <numFmt numFmtId="166" formatCode="\$#,##0"/>
    <numFmt numFmtId="167" formatCode="mmm\-yyyy"/>
  </numFmts>
  <fonts count="4" x14ac:knownFonts="1">
    <font>
      <sz val="11"/>
      <color theme="1"/>
      <name val="Calibri"/>
      <family val="2"/>
      <charset val="1"/>
    </font>
    <font>
      <b/>
      <sz val="11"/>
      <color rgb="FFFFFFFF"/>
      <name val="Arial"/>
      <charset val="1"/>
    </font>
    <font>
      <b/>
      <sz val="14"/>
      <name val="Arial"/>
      <charset val="1"/>
    </font>
    <font>
      <b/>
      <sz val="11"/>
      <name val="Arial"/>
      <charset val="1"/>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2" fillId="0" borderId="0" xfId="0" applyFont="1"/>
    <xf numFmtId="0" fontId="3" fillId="0" borderId="0" xfId="0" applyFont="1"/>
    <xf numFmtId="166" fontId="0" fillId="0" borderId="0" xfId="0" applyNumberFormat="1"/>
    <xf numFmtId="3" fontId="0" fillId="0" borderId="0" xfId="0" applyNumberFormat="1"/>
    <xf numFmtId="167"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BBB59"/>
      <rgbColor rgb="FFFFCC00"/>
      <rgbColor rgb="FFFF9900"/>
      <rgbColor rgb="FFFF6600"/>
      <rgbColor rgb="FF8064A2"/>
      <rgbColor rgb="FF969696"/>
      <rgbColor rgb="FF003366"/>
      <rgbColor rgb="FF4F81BD"/>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updated.xlsx]PivotTable Dashboard!PivotTable1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Dashboard'!$B$3:$B$4</c:f>
              <c:strCache>
                <c:ptCount val="1"/>
                <c:pt idx="0">
                  <c:v>Electronics</c:v>
                </c:pt>
              </c:strCache>
            </c:strRef>
          </c:tx>
          <c:spPr>
            <a:solidFill>
              <a:schemeClr val="accent1"/>
            </a:solidFill>
            <a:ln>
              <a:noFill/>
            </a:ln>
            <a:effectLst/>
          </c:spPr>
          <c:invertIfNegative val="0"/>
          <c:cat>
            <c:strRef>
              <c:f>'PivotTable Dashboard'!$A$5:$A$10</c:f>
              <c:strCache>
                <c:ptCount val="5"/>
                <c:pt idx="0">
                  <c:v>Cork</c:v>
                </c:pt>
                <c:pt idx="1">
                  <c:v>Dublin</c:v>
                </c:pt>
                <c:pt idx="2">
                  <c:v>Galway</c:v>
                </c:pt>
                <c:pt idx="3">
                  <c:v>Limerick</c:v>
                </c:pt>
                <c:pt idx="4">
                  <c:v>Waterford</c:v>
                </c:pt>
              </c:strCache>
            </c:strRef>
          </c:cat>
          <c:val>
            <c:numRef>
              <c:f>'PivotTable Dashboard'!$B$5:$B$10</c:f>
              <c:numCache>
                <c:formatCode>\$#,##0.00</c:formatCode>
                <c:ptCount val="5"/>
                <c:pt idx="0">
                  <c:v>858105.00999999989</c:v>
                </c:pt>
                <c:pt idx="1">
                  <c:v>997279.82000000018</c:v>
                </c:pt>
                <c:pt idx="2">
                  <c:v>1000567.2199999997</c:v>
                </c:pt>
                <c:pt idx="3">
                  <c:v>890334.97</c:v>
                </c:pt>
                <c:pt idx="4">
                  <c:v>976956.98999999953</c:v>
                </c:pt>
              </c:numCache>
            </c:numRef>
          </c:val>
          <c:extLst>
            <c:ext xmlns:c16="http://schemas.microsoft.com/office/drawing/2014/chart" uri="{C3380CC4-5D6E-409C-BE32-E72D297353CC}">
              <c16:uniqueId val="{00000000-D63C-4F3A-B91A-6952A80F53E1}"/>
            </c:ext>
          </c:extLst>
        </c:ser>
        <c:ser>
          <c:idx val="1"/>
          <c:order val="1"/>
          <c:tx>
            <c:strRef>
              <c:f>'PivotTable Dashboard'!$C$3:$C$4</c:f>
              <c:strCache>
                <c:ptCount val="1"/>
                <c:pt idx="0">
                  <c:v>Furniture</c:v>
                </c:pt>
              </c:strCache>
            </c:strRef>
          </c:tx>
          <c:spPr>
            <a:solidFill>
              <a:schemeClr val="accent2"/>
            </a:solidFill>
            <a:ln>
              <a:noFill/>
            </a:ln>
            <a:effectLst/>
          </c:spPr>
          <c:invertIfNegative val="0"/>
          <c:cat>
            <c:strRef>
              <c:f>'PivotTable Dashboard'!$A$5:$A$10</c:f>
              <c:strCache>
                <c:ptCount val="5"/>
                <c:pt idx="0">
                  <c:v>Cork</c:v>
                </c:pt>
                <c:pt idx="1">
                  <c:v>Dublin</c:v>
                </c:pt>
                <c:pt idx="2">
                  <c:v>Galway</c:v>
                </c:pt>
                <c:pt idx="3">
                  <c:v>Limerick</c:v>
                </c:pt>
                <c:pt idx="4">
                  <c:v>Waterford</c:v>
                </c:pt>
              </c:strCache>
            </c:strRef>
          </c:cat>
          <c:val>
            <c:numRef>
              <c:f>'PivotTable Dashboard'!$C$5:$C$10</c:f>
              <c:numCache>
                <c:formatCode>\$#,##0.00</c:formatCode>
                <c:ptCount val="5"/>
                <c:pt idx="0">
                  <c:v>421643.45000000013</c:v>
                </c:pt>
                <c:pt idx="1">
                  <c:v>461898.87</c:v>
                </c:pt>
                <c:pt idx="2">
                  <c:v>534887.34000000008</c:v>
                </c:pt>
                <c:pt idx="3">
                  <c:v>406155.99999999994</c:v>
                </c:pt>
                <c:pt idx="4">
                  <c:v>526862.35000000009</c:v>
                </c:pt>
              </c:numCache>
            </c:numRef>
          </c:val>
          <c:extLst>
            <c:ext xmlns:c16="http://schemas.microsoft.com/office/drawing/2014/chart" uri="{C3380CC4-5D6E-409C-BE32-E72D297353CC}">
              <c16:uniqueId val="{00000005-D63C-4F3A-B91A-6952A80F53E1}"/>
            </c:ext>
          </c:extLst>
        </c:ser>
        <c:ser>
          <c:idx val="2"/>
          <c:order val="2"/>
          <c:tx>
            <c:strRef>
              <c:f>'PivotTable Dashboard'!$D$3:$D$4</c:f>
              <c:strCache>
                <c:ptCount val="1"/>
                <c:pt idx="0">
                  <c:v>Office Supplies</c:v>
                </c:pt>
              </c:strCache>
            </c:strRef>
          </c:tx>
          <c:spPr>
            <a:solidFill>
              <a:schemeClr val="accent3"/>
            </a:solidFill>
            <a:ln>
              <a:noFill/>
            </a:ln>
            <a:effectLst/>
          </c:spPr>
          <c:invertIfNegative val="0"/>
          <c:cat>
            <c:strRef>
              <c:f>'PivotTable Dashboard'!$A$5:$A$10</c:f>
              <c:strCache>
                <c:ptCount val="5"/>
                <c:pt idx="0">
                  <c:v>Cork</c:v>
                </c:pt>
                <c:pt idx="1">
                  <c:v>Dublin</c:v>
                </c:pt>
                <c:pt idx="2">
                  <c:v>Galway</c:v>
                </c:pt>
                <c:pt idx="3">
                  <c:v>Limerick</c:v>
                </c:pt>
                <c:pt idx="4">
                  <c:v>Waterford</c:v>
                </c:pt>
              </c:strCache>
            </c:strRef>
          </c:cat>
          <c:val>
            <c:numRef>
              <c:f>'PivotTable Dashboard'!$D$5:$D$10</c:f>
              <c:numCache>
                <c:formatCode>\$#,##0.00</c:formatCode>
                <c:ptCount val="5"/>
                <c:pt idx="0">
                  <c:v>55773.710000000006</c:v>
                </c:pt>
                <c:pt idx="1">
                  <c:v>53092.500000000015</c:v>
                </c:pt>
                <c:pt idx="2">
                  <c:v>60422.669999999991</c:v>
                </c:pt>
                <c:pt idx="3">
                  <c:v>63187.339999999989</c:v>
                </c:pt>
                <c:pt idx="4">
                  <c:v>72936.129999999961</c:v>
                </c:pt>
              </c:numCache>
            </c:numRef>
          </c:val>
          <c:extLst>
            <c:ext xmlns:c16="http://schemas.microsoft.com/office/drawing/2014/chart" uri="{C3380CC4-5D6E-409C-BE32-E72D297353CC}">
              <c16:uniqueId val="{00000006-D63C-4F3A-B91A-6952A80F53E1}"/>
            </c:ext>
          </c:extLst>
        </c:ser>
        <c:ser>
          <c:idx val="3"/>
          <c:order val="3"/>
          <c:tx>
            <c:strRef>
              <c:f>'PivotTable Dashboard'!$E$3:$E$4</c:f>
              <c:strCache>
                <c:ptCount val="1"/>
                <c:pt idx="0">
                  <c:v>Software</c:v>
                </c:pt>
              </c:strCache>
            </c:strRef>
          </c:tx>
          <c:spPr>
            <a:solidFill>
              <a:schemeClr val="accent4"/>
            </a:solidFill>
            <a:ln>
              <a:noFill/>
            </a:ln>
            <a:effectLst/>
          </c:spPr>
          <c:invertIfNegative val="0"/>
          <c:cat>
            <c:strRef>
              <c:f>'PivotTable Dashboard'!$A$5:$A$10</c:f>
              <c:strCache>
                <c:ptCount val="5"/>
                <c:pt idx="0">
                  <c:v>Cork</c:v>
                </c:pt>
                <c:pt idx="1">
                  <c:v>Dublin</c:v>
                </c:pt>
                <c:pt idx="2">
                  <c:v>Galway</c:v>
                </c:pt>
                <c:pt idx="3">
                  <c:v>Limerick</c:v>
                </c:pt>
                <c:pt idx="4">
                  <c:v>Waterford</c:v>
                </c:pt>
              </c:strCache>
            </c:strRef>
          </c:cat>
          <c:val>
            <c:numRef>
              <c:f>'PivotTable Dashboard'!$E$5:$E$10</c:f>
              <c:numCache>
                <c:formatCode>\$#,##0.00</c:formatCode>
                <c:ptCount val="5"/>
                <c:pt idx="0">
                  <c:v>307504.99000000011</c:v>
                </c:pt>
                <c:pt idx="1">
                  <c:v>228190.00000000009</c:v>
                </c:pt>
                <c:pt idx="2">
                  <c:v>291742.88000000012</c:v>
                </c:pt>
                <c:pt idx="3">
                  <c:v>325252.16000000003</c:v>
                </c:pt>
                <c:pt idx="4">
                  <c:v>217773.69</c:v>
                </c:pt>
              </c:numCache>
            </c:numRef>
          </c:val>
          <c:extLst>
            <c:ext xmlns:c16="http://schemas.microsoft.com/office/drawing/2014/chart" uri="{C3380CC4-5D6E-409C-BE32-E72D297353CC}">
              <c16:uniqueId val="{00000007-D63C-4F3A-B91A-6952A80F53E1}"/>
            </c:ext>
          </c:extLst>
        </c:ser>
        <c:dLbls>
          <c:showLegendKey val="0"/>
          <c:showVal val="0"/>
          <c:showCatName val="0"/>
          <c:showSerName val="0"/>
          <c:showPercent val="0"/>
          <c:showBubbleSize val="0"/>
        </c:dLbls>
        <c:gapWidth val="219"/>
        <c:overlap val="-27"/>
        <c:axId val="939858143"/>
        <c:axId val="939854303"/>
      </c:barChart>
      <c:catAx>
        <c:axId val="93985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854303"/>
        <c:crosses val="autoZero"/>
        <c:auto val="1"/>
        <c:lblAlgn val="ctr"/>
        <c:lblOffset val="100"/>
        <c:noMultiLvlLbl val="0"/>
      </c:catAx>
      <c:valAx>
        <c:axId val="939854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8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Revenue by Region</a:t>
            </a:r>
          </a:p>
        </c:rich>
      </c:tx>
      <c:overlay val="0"/>
      <c:spPr>
        <a:noFill/>
        <a:ln w="0">
          <a:noFill/>
        </a:ln>
      </c:spPr>
    </c:title>
    <c:autoTitleDeleted val="0"/>
    <c:plotArea>
      <c:layout/>
      <c:barChart>
        <c:barDir val="col"/>
        <c:grouping val="clustered"/>
        <c:varyColors val="0"/>
        <c:ser>
          <c:idx val="0"/>
          <c:order val="0"/>
          <c:tx>
            <c:strRef>
              <c:f>Summary!$E$4</c:f>
              <c:strCache>
                <c:ptCount val="1"/>
                <c:pt idx="0">
                  <c:v>Revenue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Summary!$D$5:$D$9</c:f>
              <c:strCache>
                <c:ptCount val="5"/>
                <c:pt idx="0">
                  <c:v>Dublin</c:v>
                </c:pt>
                <c:pt idx="1">
                  <c:v>Cork</c:v>
                </c:pt>
                <c:pt idx="2">
                  <c:v>Galway</c:v>
                </c:pt>
                <c:pt idx="3">
                  <c:v>Limerick</c:v>
                </c:pt>
                <c:pt idx="4">
                  <c:v>Waterford</c:v>
                </c:pt>
              </c:strCache>
            </c:strRef>
          </c:cat>
          <c:val>
            <c:numRef>
              <c:f>Summary!$E$5:$E$9</c:f>
              <c:numCache>
                <c:formatCode>\$#,##0</c:formatCode>
                <c:ptCount val="5"/>
                <c:pt idx="0">
                  <c:v>1740461.1899999995</c:v>
                </c:pt>
                <c:pt idx="1">
                  <c:v>1643027.1599999995</c:v>
                </c:pt>
                <c:pt idx="2">
                  <c:v>1887620.1100000008</c:v>
                </c:pt>
                <c:pt idx="3">
                  <c:v>1684930.4699999997</c:v>
                </c:pt>
                <c:pt idx="4">
                  <c:v>1794529.1600000006</c:v>
                </c:pt>
              </c:numCache>
            </c:numRef>
          </c:val>
          <c:extLst>
            <c:ext xmlns:c16="http://schemas.microsoft.com/office/drawing/2014/chart" uri="{C3380CC4-5D6E-409C-BE32-E72D297353CC}">
              <c16:uniqueId val="{00000000-2561-4708-80F5-B13283074251}"/>
            </c:ext>
          </c:extLst>
        </c:ser>
        <c:dLbls>
          <c:showLegendKey val="0"/>
          <c:showVal val="0"/>
          <c:showCatName val="0"/>
          <c:showSerName val="0"/>
          <c:showPercent val="0"/>
          <c:showBubbleSize val="0"/>
        </c:dLbls>
        <c:gapWidth val="150"/>
        <c:axId val="48882469"/>
        <c:axId val="87580088"/>
      </c:barChart>
      <c:catAx>
        <c:axId val="4888246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Region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7580088"/>
        <c:crosses val="autoZero"/>
        <c:auto val="1"/>
        <c:lblAlgn val="ctr"/>
        <c:lblOffset val="100"/>
        <c:noMultiLvlLbl val="0"/>
      </c:catAx>
      <c:valAx>
        <c:axId val="8758008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Revenue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88246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Revenue by Category</a:t>
            </a:r>
          </a:p>
        </c:rich>
      </c:tx>
      <c:overlay val="0"/>
      <c:spPr>
        <a:noFill/>
        <a:ln w="0">
          <a:noFill/>
        </a:ln>
      </c:spPr>
    </c:title>
    <c:autoTitleDeleted val="0"/>
    <c:plotArea>
      <c:layout/>
      <c:pieChart>
        <c:varyColors val="1"/>
        <c:ser>
          <c:idx val="0"/>
          <c:order val="0"/>
          <c:tx>
            <c:strRef>
              <c:f>Summary!$H$4</c:f>
              <c:strCache>
                <c:ptCount val="1"/>
                <c:pt idx="0">
                  <c:v>Revenue</c:v>
                </c:pt>
              </c:strCache>
            </c:strRef>
          </c:tx>
          <c:spPr>
            <a:solidFill>
              <a:srgbClr val="4F81BD"/>
            </a:solidFill>
            <a:ln w="0">
              <a:noFill/>
            </a:ln>
          </c:spPr>
          <c:dPt>
            <c:idx val="0"/>
            <c:bubble3D val="0"/>
            <c:extLst>
              <c:ext xmlns:c16="http://schemas.microsoft.com/office/drawing/2014/chart" uri="{C3380CC4-5D6E-409C-BE32-E72D297353CC}">
                <c16:uniqueId val="{00000001-DD7D-4FE9-8BA0-AFF0DBF5D38B}"/>
              </c:ext>
            </c:extLst>
          </c:dPt>
          <c:dPt>
            <c:idx val="1"/>
            <c:bubble3D val="0"/>
            <c:spPr>
              <a:solidFill>
                <a:srgbClr val="C0504D"/>
              </a:solidFill>
              <a:ln w="0">
                <a:noFill/>
              </a:ln>
            </c:spPr>
            <c:extLst>
              <c:ext xmlns:c16="http://schemas.microsoft.com/office/drawing/2014/chart" uri="{C3380CC4-5D6E-409C-BE32-E72D297353CC}">
                <c16:uniqueId val="{00000003-DD7D-4FE9-8BA0-AFF0DBF5D38B}"/>
              </c:ext>
            </c:extLst>
          </c:dPt>
          <c:dPt>
            <c:idx val="2"/>
            <c:bubble3D val="0"/>
            <c:spPr>
              <a:solidFill>
                <a:srgbClr val="9BBB59"/>
              </a:solidFill>
              <a:ln w="0">
                <a:noFill/>
              </a:ln>
            </c:spPr>
            <c:extLst>
              <c:ext xmlns:c16="http://schemas.microsoft.com/office/drawing/2014/chart" uri="{C3380CC4-5D6E-409C-BE32-E72D297353CC}">
                <c16:uniqueId val="{00000005-DD7D-4FE9-8BA0-AFF0DBF5D38B}"/>
              </c:ext>
            </c:extLst>
          </c:dPt>
          <c:dPt>
            <c:idx val="3"/>
            <c:bubble3D val="0"/>
            <c:spPr>
              <a:solidFill>
                <a:srgbClr val="8064A2"/>
              </a:solidFill>
              <a:ln w="0">
                <a:noFill/>
              </a:ln>
            </c:spPr>
            <c:extLst>
              <c:ext xmlns:c16="http://schemas.microsoft.com/office/drawing/2014/chart" uri="{C3380CC4-5D6E-409C-BE32-E72D297353CC}">
                <c16:uniqueId val="{00000007-DD7D-4FE9-8BA0-AFF0DBF5D38B}"/>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DD7D-4FE9-8BA0-AFF0DBF5D38B}"/>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DD7D-4FE9-8BA0-AFF0DBF5D38B}"/>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DD7D-4FE9-8BA0-AFF0DBF5D38B}"/>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DD7D-4FE9-8BA0-AFF0DBF5D38B}"/>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Summary!$G$5:$G$8</c:f>
              <c:strCache>
                <c:ptCount val="4"/>
                <c:pt idx="0">
                  <c:v>Electronics</c:v>
                </c:pt>
                <c:pt idx="1">
                  <c:v>Office Supplies</c:v>
                </c:pt>
                <c:pt idx="2">
                  <c:v>Furniture</c:v>
                </c:pt>
                <c:pt idx="3">
                  <c:v>Software</c:v>
                </c:pt>
              </c:strCache>
            </c:strRef>
          </c:cat>
          <c:val>
            <c:numRef>
              <c:f>Summary!$H$5:$H$8</c:f>
              <c:numCache>
                <c:formatCode>\$#,##0</c:formatCode>
                <c:ptCount val="4"/>
                <c:pt idx="0">
                  <c:v>4723244.0100000016</c:v>
                </c:pt>
                <c:pt idx="1">
                  <c:v>305412.35000000009</c:v>
                </c:pt>
                <c:pt idx="2">
                  <c:v>2351448.0099999993</c:v>
                </c:pt>
                <c:pt idx="3">
                  <c:v>1370463.7200000002</c:v>
                </c:pt>
              </c:numCache>
            </c:numRef>
          </c:val>
          <c:extLst>
            <c:ext xmlns:c16="http://schemas.microsoft.com/office/drawing/2014/chart" uri="{C3380CC4-5D6E-409C-BE32-E72D297353CC}">
              <c16:uniqueId val="{00000008-DD7D-4FE9-8BA0-AFF0DBF5D38B}"/>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Monthly Revenue Trend</a:t>
            </a:r>
          </a:p>
        </c:rich>
      </c:tx>
      <c:overlay val="0"/>
      <c:spPr>
        <a:noFill/>
        <a:ln w="0">
          <a:noFill/>
        </a:ln>
      </c:spPr>
    </c:title>
    <c:autoTitleDeleted val="0"/>
    <c:plotArea>
      <c:layout/>
      <c:lineChart>
        <c:grouping val="standard"/>
        <c:varyColors val="0"/>
        <c:ser>
          <c:idx val="0"/>
          <c:order val="0"/>
          <c:tx>
            <c:strRef>
              <c:f>Summary!$B$11</c:f>
              <c:strCache>
                <c:ptCount val="1"/>
                <c:pt idx="0">
                  <c:v>Revenue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Summary!$A$12:$A$35</c:f>
              <c:numCache>
                <c:formatCode>mmm\-yyyy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Summary!$B$12:$B$35</c:f>
              <c:numCache>
                <c:formatCode>\$#,##0</c:formatCode>
                <c:ptCount val="24"/>
                <c:pt idx="0">
                  <c:v>306407.08999999997</c:v>
                </c:pt>
                <c:pt idx="1">
                  <c:v>320074.02999999997</c:v>
                </c:pt>
                <c:pt idx="2">
                  <c:v>364244.99999999994</c:v>
                </c:pt>
                <c:pt idx="3">
                  <c:v>330352.21000000014</c:v>
                </c:pt>
                <c:pt idx="4">
                  <c:v>426742.24000000005</c:v>
                </c:pt>
                <c:pt idx="5">
                  <c:v>288886.42000000004</c:v>
                </c:pt>
                <c:pt idx="6">
                  <c:v>345366.9800000001</c:v>
                </c:pt>
                <c:pt idx="7">
                  <c:v>351174.52999999997</c:v>
                </c:pt>
                <c:pt idx="8">
                  <c:v>318550.88</c:v>
                </c:pt>
                <c:pt idx="9">
                  <c:v>389142.62</c:v>
                </c:pt>
                <c:pt idx="10">
                  <c:v>301129.51</c:v>
                </c:pt>
                <c:pt idx="11">
                  <c:v>300540.49999999994</c:v>
                </c:pt>
                <c:pt idx="12">
                  <c:v>330304.39000000013</c:v>
                </c:pt>
                <c:pt idx="13">
                  <c:v>388389.91</c:v>
                </c:pt>
                <c:pt idx="14">
                  <c:v>340423.39999999997</c:v>
                </c:pt>
                <c:pt idx="15">
                  <c:v>298092.51000000007</c:v>
                </c:pt>
                <c:pt idx="16">
                  <c:v>305462.26000000007</c:v>
                </c:pt>
                <c:pt idx="17">
                  <c:v>455287.66999999993</c:v>
                </c:pt>
                <c:pt idx="18">
                  <c:v>528540.74999999988</c:v>
                </c:pt>
                <c:pt idx="19">
                  <c:v>441181.81000000011</c:v>
                </c:pt>
                <c:pt idx="20">
                  <c:v>384406.53000000014</c:v>
                </c:pt>
                <c:pt idx="21">
                  <c:v>513375.25999999995</c:v>
                </c:pt>
                <c:pt idx="22">
                  <c:v>357682.19000000018</c:v>
                </c:pt>
                <c:pt idx="23">
                  <c:v>364809.40000000008</c:v>
                </c:pt>
              </c:numCache>
            </c:numRef>
          </c:val>
          <c:smooth val="1"/>
          <c:extLst>
            <c:ext xmlns:c16="http://schemas.microsoft.com/office/drawing/2014/chart" uri="{C3380CC4-5D6E-409C-BE32-E72D297353CC}">
              <c16:uniqueId val="{00000000-7EA1-4D3D-AE49-19434BE16C55}"/>
            </c:ext>
          </c:extLst>
        </c:ser>
        <c:dLbls>
          <c:showLegendKey val="0"/>
          <c:showVal val="0"/>
          <c:showCatName val="0"/>
          <c:showSerName val="0"/>
          <c:showPercent val="0"/>
          <c:showBubbleSize val="0"/>
        </c:dLbls>
        <c:hiLowLines>
          <c:spPr>
            <a:ln w="0">
              <a:noFill/>
            </a:ln>
          </c:spPr>
        </c:hiLowLines>
        <c:smooth val="0"/>
        <c:axId val="38405416"/>
        <c:axId val="51761726"/>
      </c:lineChart>
      <c:dateAx>
        <c:axId val="3840541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a:t>
                </a:r>
              </a:p>
            </c:rich>
          </c:tx>
          <c:overlay val="0"/>
          <c:spPr>
            <a:noFill/>
            <a:ln w="0">
              <a:noFill/>
            </a:ln>
          </c:spPr>
        </c:title>
        <c:numFmt formatCode="mmm\-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761726"/>
        <c:crosses val="autoZero"/>
        <c:auto val="1"/>
        <c:lblOffset val="100"/>
        <c:baseTimeUnit val="months"/>
      </c:dateAx>
      <c:valAx>
        <c:axId val="5176172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Revenue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40541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7</xdr:col>
      <xdr:colOff>7620</xdr:colOff>
      <xdr:row>2</xdr:row>
      <xdr:rowOff>7620</xdr:rowOff>
    </xdr:from>
    <xdr:to>
      <xdr:col>10</xdr:col>
      <xdr:colOff>7620</xdr:colOff>
      <xdr:row>15</xdr:row>
      <xdr:rowOff>97155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38F71CD6-E1AE-4933-6C35-A3AC2DA72D6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45998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2</xdr:row>
      <xdr:rowOff>0</xdr:rowOff>
    </xdr:from>
    <xdr:to>
      <xdr:col>7</xdr:col>
      <xdr:colOff>15240</xdr:colOff>
      <xdr:row>15</xdr:row>
      <xdr:rowOff>89535</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2D550D2F-85BC-248E-1193-3A54659890F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63880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2</xdr:row>
      <xdr:rowOff>7620</xdr:rowOff>
    </xdr:from>
    <xdr:to>
      <xdr:col>13</xdr:col>
      <xdr:colOff>7620</xdr:colOff>
      <xdr:row>15</xdr:row>
      <xdr:rowOff>97155</xdr:rowOff>
    </xdr:to>
    <mc:AlternateContent xmlns:mc="http://schemas.openxmlformats.org/markup-compatibility/2006">
      <mc:Choice xmlns:a14="http://schemas.microsoft.com/office/drawing/2010/main" Requires="a14">
        <xdr:graphicFrame macro="">
          <xdr:nvGraphicFramePr>
            <xdr:cNvPr id="7" name="Salesperson 1">
              <a:extLst>
                <a:ext uri="{FF2B5EF4-FFF2-40B4-BE49-F238E27FC236}">
                  <a16:creationId xmlns:a16="http://schemas.microsoft.com/office/drawing/2014/main" id="{FEEEB53E-1ABC-154F-B506-66AD2105E4E6}"/>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928878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0</xdr:rowOff>
    </xdr:from>
    <xdr:to>
      <xdr:col>6</xdr:col>
      <xdr:colOff>7620</xdr:colOff>
      <xdr:row>25</xdr:row>
      <xdr:rowOff>0</xdr:rowOff>
    </xdr:to>
    <xdr:graphicFrame macro="">
      <xdr:nvGraphicFramePr>
        <xdr:cNvPr id="8" name="Chart 7">
          <a:extLst>
            <a:ext uri="{FF2B5EF4-FFF2-40B4-BE49-F238E27FC236}">
              <a16:creationId xmlns:a16="http://schemas.microsoft.com/office/drawing/2014/main" id="{580D2701-6F4C-F5DA-040B-FEF92D39D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10</xdr:row>
      <xdr:rowOff>160560</xdr:rowOff>
    </xdr:from>
    <xdr:to>
      <xdr:col>9</xdr:col>
      <xdr:colOff>151200</xdr:colOff>
      <xdr:row>25</xdr:row>
      <xdr:rowOff>182880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10</xdr:row>
      <xdr:rowOff>160560</xdr:rowOff>
    </xdr:from>
    <xdr:to>
      <xdr:col>13</xdr:col>
      <xdr:colOff>8640</xdr:colOff>
      <xdr:row>25</xdr:row>
      <xdr:rowOff>182880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26</xdr:row>
      <xdr:rowOff>160920</xdr:rowOff>
    </xdr:from>
    <xdr:to>
      <xdr:col>12</xdr:col>
      <xdr:colOff>208080</xdr:colOff>
      <xdr:row>41</xdr:row>
      <xdr:rowOff>182880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n Sha" refreshedDate="46280.41160821759" createdVersion="8" refreshedVersion="8" minRefreshableVersion="3" recordCount="1800" xr:uid="{34CFC1C1-400D-4532-AE5B-569DBF58A73D}">
  <cacheSource type="worksheet">
    <worksheetSource name="SalesData"/>
  </cacheSource>
  <cacheFields count="12">
    <cacheField name="OrderID" numFmtId="0">
      <sharedItems containsSemiMixedTypes="0" containsString="0" containsNumber="1" containsInteger="1" minValue="1001" maxValue="2800"/>
    </cacheField>
    <cacheField name="Date" numFmtId="164">
      <sharedItems containsSemiMixedTypes="0" containsNonDate="0" containsDate="1" containsString="0" minDate="2024-01-01T00:00:00" maxDate="2025-12-31T00:00:00"/>
    </cacheField>
    <cacheField name="Region" numFmtId="0">
      <sharedItems count="5">
        <s v="Cork"/>
        <s v="Waterford"/>
        <s v="Limerick"/>
        <s v="Dublin"/>
        <s v="Galway"/>
      </sharedItems>
    </cacheField>
    <cacheField name="Category" numFmtId="0">
      <sharedItems count="4">
        <s v="Office Supplies"/>
        <s v="Electronics"/>
        <s v="Software"/>
        <s v="Furniture"/>
      </sharedItems>
    </cacheField>
    <cacheField name="Product" numFmtId="0">
      <sharedItems/>
    </cacheField>
    <cacheField name="Salesperson" numFmtId="0">
      <sharedItems count="8">
        <s v="Ciara Doyle"/>
        <s v="Niamh Connolly"/>
        <s v="Aoife Byrne"/>
        <s v="Sean Murphy"/>
        <s v="Darragh Ryan"/>
        <s v="Ronan Walsh"/>
        <s v="Sinead Kelly"/>
        <s v="Liam O'Neill"/>
      </sharedItems>
    </cacheField>
    <cacheField name="Units Sold" numFmtId="0">
      <sharedItems containsSemiMixedTypes="0" containsString="0" containsNumber="1" containsInteger="1" minValue="1" maxValue="40"/>
    </cacheField>
    <cacheField name="Unit Price" numFmtId="165">
      <sharedItems containsSemiMixedTypes="0" containsString="0" containsNumber="1" minValue="3.06" maxValue="899.66"/>
    </cacheField>
    <cacheField name="Unit Cost" numFmtId="165">
      <sharedItems containsSemiMixedTypes="0" containsString="0" containsNumber="1" minValue="1.69" maxValue="647.32000000000005"/>
    </cacheField>
    <cacheField name="Revenue" numFmtId="165">
      <sharedItems containsSemiMixedTypes="0" containsString="0" containsNumber="1" minValue="3.62" maxValue="32801.599999999999"/>
    </cacheField>
    <cacheField name="Cost" numFmtId="165">
      <sharedItems containsSemiMixedTypes="0" containsString="0" containsNumber="1" minValue="2.5299999999999998" maxValue="23193.200000000001"/>
    </cacheField>
    <cacheField name="Profit" numFmtId="165">
      <sharedItems containsSemiMixedTypes="0" containsString="0" containsNumber="1" minValue="1.0900000000000003" maxValue="16002.559999999998"/>
    </cacheField>
  </cacheFields>
  <extLst>
    <ext xmlns:x14="http://schemas.microsoft.com/office/spreadsheetml/2009/9/main" uri="{725AE2AE-9491-48be-B2B4-4EB974FC3084}">
      <x14:pivotCacheDefinition pivotCacheId="638910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n v="1518"/>
    <d v="2024-01-01T00:00:00"/>
    <x v="0"/>
    <x v="0"/>
    <s v="Stapler"/>
    <x v="0"/>
    <n v="25"/>
    <n v="28.49"/>
    <n v="16.38"/>
    <n v="712.25"/>
    <n v="409.5"/>
    <n v="302.75"/>
  </r>
  <r>
    <n v="2306"/>
    <d v="2024-01-01T00:00:00"/>
    <x v="1"/>
    <x v="1"/>
    <s v="Keyboard"/>
    <x v="1"/>
    <n v="5"/>
    <n v="643.75"/>
    <n v="355.55"/>
    <n v="3218.75"/>
    <n v="1777.75"/>
    <n v="1441"/>
  </r>
  <r>
    <n v="1077"/>
    <d v="2024-01-02T00:00:00"/>
    <x v="1"/>
    <x v="2"/>
    <s v="Cloud Storage"/>
    <x v="2"/>
    <n v="13"/>
    <n v="143.77000000000001"/>
    <n v="73.739999999999995"/>
    <n v="1869.0100000000002"/>
    <n v="958.61999999999989"/>
    <n v="910.39000000000033"/>
  </r>
  <r>
    <n v="2423"/>
    <d v="2024-01-02T00:00:00"/>
    <x v="2"/>
    <x v="0"/>
    <s v="Notebook"/>
    <x v="3"/>
    <n v="20"/>
    <n v="27.22"/>
    <n v="14.97"/>
    <n v="544.4"/>
    <n v="299.40000000000003"/>
    <n v="244.99999999999994"/>
  </r>
  <r>
    <n v="2794"/>
    <d v="2024-01-02T00:00:00"/>
    <x v="1"/>
    <x v="0"/>
    <s v="Notebook"/>
    <x v="0"/>
    <n v="19"/>
    <n v="53"/>
    <n v="37.64"/>
    <n v="1007"/>
    <n v="715.16"/>
    <n v="291.84000000000003"/>
  </r>
  <r>
    <n v="1339"/>
    <d v="2024-01-03T00:00:00"/>
    <x v="3"/>
    <x v="1"/>
    <s v="Laptop"/>
    <x v="4"/>
    <n v="10"/>
    <n v="857.53"/>
    <n v="622.73"/>
    <n v="8575.2999999999993"/>
    <n v="6227.3"/>
    <n v="2347.9999999999991"/>
  </r>
  <r>
    <n v="1697"/>
    <d v="2024-01-03T00:00:00"/>
    <x v="3"/>
    <x v="3"/>
    <s v="Office Desk"/>
    <x v="2"/>
    <n v="27"/>
    <n v="270"/>
    <n v="160.47"/>
    <n v="7290"/>
    <n v="4332.6899999999996"/>
    <n v="2957.3100000000004"/>
  </r>
  <r>
    <n v="1872"/>
    <d v="2024-01-03T00:00:00"/>
    <x v="0"/>
    <x v="0"/>
    <s v="Printer Paper"/>
    <x v="1"/>
    <n v="25"/>
    <n v="48.42"/>
    <n v="25.58"/>
    <n v="1210.5"/>
    <n v="639.5"/>
    <n v="571"/>
  </r>
  <r>
    <n v="2446"/>
    <d v="2024-01-03T00:00:00"/>
    <x v="4"/>
    <x v="0"/>
    <s v="Stapler"/>
    <x v="5"/>
    <n v="22"/>
    <n v="44.26"/>
    <n v="26.31"/>
    <n v="973.71999999999991"/>
    <n v="578.81999999999994"/>
    <n v="394.9"/>
  </r>
  <r>
    <n v="2603"/>
    <d v="2024-01-03T00:00:00"/>
    <x v="2"/>
    <x v="2"/>
    <s v="Office Suite"/>
    <x v="3"/>
    <n v="18"/>
    <n v="298.68"/>
    <n v="208.13"/>
    <n v="5376.24"/>
    <n v="3746.34"/>
    <n v="1629.8999999999996"/>
  </r>
  <r>
    <n v="2637"/>
    <d v="2024-01-03T00:00:00"/>
    <x v="3"/>
    <x v="1"/>
    <s v="Webcam"/>
    <x v="6"/>
    <n v="30"/>
    <n v="424.54"/>
    <n v="279.27999999999997"/>
    <n v="12736.2"/>
    <n v="8378.4"/>
    <n v="4357.8000000000011"/>
  </r>
  <r>
    <n v="1931"/>
    <d v="2024-01-05T00:00:00"/>
    <x v="2"/>
    <x v="3"/>
    <s v="Bookshelf"/>
    <x v="6"/>
    <n v="3"/>
    <n v="96.43"/>
    <n v="49.89"/>
    <n v="289.29000000000002"/>
    <n v="149.67000000000002"/>
    <n v="139.62"/>
  </r>
  <r>
    <n v="2688"/>
    <d v="2024-01-06T00:00:00"/>
    <x v="1"/>
    <x v="2"/>
    <s v="Design Tool"/>
    <x v="7"/>
    <n v="1"/>
    <n v="129.91999999999999"/>
    <n v="72.099999999999994"/>
    <n v="129.91999999999999"/>
    <n v="72.099999999999994"/>
    <n v="57.819999999999993"/>
  </r>
  <r>
    <n v="2133"/>
    <d v="2024-01-07T00:00:00"/>
    <x v="4"/>
    <x v="2"/>
    <s v="Cloud Storage"/>
    <x v="1"/>
    <n v="12"/>
    <n v="279.08"/>
    <n v="170.46"/>
    <n v="3348.96"/>
    <n v="2045.52"/>
    <n v="1303.44"/>
  </r>
  <r>
    <n v="1256"/>
    <d v="2024-01-09T00:00:00"/>
    <x v="4"/>
    <x v="1"/>
    <s v="Keyboard"/>
    <x v="1"/>
    <n v="31"/>
    <n v="119.5"/>
    <n v="69.11"/>
    <n v="3704.5"/>
    <n v="2142.41"/>
    <n v="1562.0900000000001"/>
  </r>
  <r>
    <n v="2559"/>
    <d v="2024-01-09T00:00:00"/>
    <x v="1"/>
    <x v="3"/>
    <s v="Bookshelf"/>
    <x v="1"/>
    <n v="39"/>
    <n v="432.8"/>
    <n v="292.20999999999998"/>
    <n v="16879.2"/>
    <n v="11396.189999999999"/>
    <n v="5483.010000000002"/>
  </r>
  <r>
    <n v="2004"/>
    <d v="2024-01-10T00:00:00"/>
    <x v="2"/>
    <x v="1"/>
    <s v="Headphones"/>
    <x v="4"/>
    <n v="36"/>
    <n v="242.99"/>
    <n v="158.57"/>
    <n v="8747.64"/>
    <n v="5708.5199999999995"/>
    <n v="3039.12"/>
  </r>
  <r>
    <n v="2051"/>
    <d v="2024-01-10T00:00:00"/>
    <x v="4"/>
    <x v="1"/>
    <s v="Keyboard"/>
    <x v="0"/>
    <n v="18"/>
    <n v="498.88"/>
    <n v="267.08999999999997"/>
    <n v="8979.84"/>
    <n v="4807.62"/>
    <n v="4172.22"/>
  </r>
  <r>
    <n v="2615"/>
    <d v="2024-01-10T00:00:00"/>
    <x v="2"/>
    <x v="0"/>
    <s v="Notebook"/>
    <x v="3"/>
    <n v="12"/>
    <n v="13.32"/>
    <n v="9.8699999999999992"/>
    <n v="159.84"/>
    <n v="118.44"/>
    <n v="41.400000000000006"/>
  </r>
  <r>
    <n v="2071"/>
    <d v="2024-01-11T00:00:00"/>
    <x v="0"/>
    <x v="3"/>
    <s v="Whiteboard"/>
    <x v="3"/>
    <n v="16"/>
    <n v="475.92"/>
    <n v="326.89"/>
    <n v="7614.72"/>
    <n v="5230.24"/>
    <n v="2384.4800000000005"/>
  </r>
  <r>
    <n v="2276"/>
    <d v="2024-01-12T00:00:00"/>
    <x v="4"/>
    <x v="3"/>
    <s v="Bookshelf"/>
    <x v="1"/>
    <n v="19"/>
    <n v="400.2"/>
    <n v="246.62"/>
    <n v="7603.8"/>
    <n v="4685.78"/>
    <n v="2918.0200000000004"/>
  </r>
  <r>
    <n v="1269"/>
    <d v="2024-01-13T00:00:00"/>
    <x v="0"/>
    <x v="1"/>
    <s v="Keyboard"/>
    <x v="5"/>
    <n v="25"/>
    <n v="832.99"/>
    <n v="583.74"/>
    <n v="20824.75"/>
    <n v="14593.5"/>
    <n v="6231.25"/>
  </r>
  <r>
    <n v="1310"/>
    <d v="2024-01-13T00:00:00"/>
    <x v="1"/>
    <x v="2"/>
    <s v="Antivirus License"/>
    <x v="6"/>
    <n v="10"/>
    <n v="283.10000000000002"/>
    <n v="207.01"/>
    <n v="2831"/>
    <n v="2070.1"/>
    <n v="760.90000000000009"/>
  </r>
  <r>
    <n v="1596"/>
    <d v="2024-01-14T00:00:00"/>
    <x v="0"/>
    <x v="3"/>
    <s v="Filing Cabinet"/>
    <x v="4"/>
    <n v="27"/>
    <n v="123.02"/>
    <n v="68.31"/>
    <n v="3321.54"/>
    <n v="1844.3700000000001"/>
    <n v="1477.1699999999998"/>
  </r>
  <r>
    <n v="1667"/>
    <d v="2024-01-14T00:00:00"/>
    <x v="0"/>
    <x v="2"/>
    <s v="Cloud Storage"/>
    <x v="6"/>
    <n v="39"/>
    <n v="192.69"/>
    <n v="129.62"/>
    <n v="7514.91"/>
    <n v="5055.18"/>
    <n v="2459.7299999999996"/>
  </r>
  <r>
    <n v="2619"/>
    <d v="2024-01-14T00:00:00"/>
    <x v="4"/>
    <x v="2"/>
    <s v="Office Suite"/>
    <x v="6"/>
    <n v="17"/>
    <n v="61.24"/>
    <n v="32.32"/>
    <n v="1041.08"/>
    <n v="549.44000000000005"/>
    <n v="491.63999999999987"/>
  </r>
  <r>
    <n v="2682"/>
    <d v="2024-01-14T00:00:00"/>
    <x v="3"/>
    <x v="2"/>
    <s v="Cloud Storage"/>
    <x v="2"/>
    <n v="5"/>
    <n v="32.340000000000003"/>
    <n v="21.79"/>
    <n v="161.70000000000002"/>
    <n v="108.94999999999999"/>
    <n v="52.750000000000028"/>
  </r>
  <r>
    <n v="2701"/>
    <d v="2024-01-14T00:00:00"/>
    <x v="0"/>
    <x v="1"/>
    <s v="Monitor"/>
    <x v="2"/>
    <n v="18"/>
    <n v="847.17"/>
    <n v="575.42999999999995"/>
    <n v="15249.06"/>
    <n v="10357.74"/>
    <n v="4891.32"/>
  </r>
  <r>
    <n v="1832"/>
    <d v="2024-01-15T00:00:00"/>
    <x v="1"/>
    <x v="0"/>
    <s v="Desk Chair"/>
    <x v="6"/>
    <n v="35"/>
    <n v="16.920000000000002"/>
    <n v="11.94"/>
    <n v="592.20000000000005"/>
    <n v="417.9"/>
    <n v="174.30000000000007"/>
  </r>
  <r>
    <n v="2418"/>
    <d v="2024-01-15T00:00:00"/>
    <x v="2"/>
    <x v="1"/>
    <s v="Webcam"/>
    <x v="4"/>
    <n v="23"/>
    <n v="314.68"/>
    <n v="223.38"/>
    <n v="7237.64"/>
    <n v="5137.74"/>
    <n v="2099.9000000000005"/>
  </r>
  <r>
    <n v="2484"/>
    <d v="2024-01-16T00:00:00"/>
    <x v="1"/>
    <x v="2"/>
    <s v="Cloud Storage"/>
    <x v="3"/>
    <n v="10"/>
    <n v="114.32"/>
    <n v="83.56"/>
    <n v="1143.1999999999998"/>
    <n v="835.6"/>
    <n v="307.5999999999998"/>
  </r>
  <r>
    <n v="1253"/>
    <d v="2024-01-17T00:00:00"/>
    <x v="3"/>
    <x v="0"/>
    <s v="Stapler"/>
    <x v="4"/>
    <n v="1"/>
    <n v="27.38"/>
    <n v="19.73"/>
    <n v="27.38"/>
    <n v="19.73"/>
    <n v="7.6499999999999986"/>
  </r>
  <r>
    <n v="1554"/>
    <d v="2024-01-17T00:00:00"/>
    <x v="2"/>
    <x v="1"/>
    <s v="Laptop"/>
    <x v="2"/>
    <n v="12"/>
    <n v="837.96"/>
    <n v="564.26"/>
    <n v="10055.52"/>
    <n v="6771.12"/>
    <n v="3284.4000000000005"/>
  </r>
  <r>
    <n v="2357"/>
    <d v="2024-01-17T00:00:00"/>
    <x v="0"/>
    <x v="2"/>
    <s v="Office Suite"/>
    <x v="4"/>
    <n v="38"/>
    <n v="104.55"/>
    <n v="58.67"/>
    <n v="3972.9"/>
    <n v="2229.46"/>
    <n v="1743.44"/>
  </r>
  <r>
    <n v="2358"/>
    <d v="2024-01-17T00:00:00"/>
    <x v="0"/>
    <x v="2"/>
    <s v="Design Tool"/>
    <x v="4"/>
    <n v="26"/>
    <n v="149.72"/>
    <n v="90.42"/>
    <n v="3892.72"/>
    <n v="2350.92"/>
    <n v="1541.7999999999997"/>
  </r>
  <r>
    <n v="2561"/>
    <d v="2024-01-18T00:00:00"/>
    <x v="3"/>
    <x v="0"/>
    <s v="Stapler"/>
    <x v="3"/>
    <n v="10"/>
    <n v="27.16"/>
    <n v="16.07"/>
    <n v="271.60000000000002"/>
    <n v="160.69999999999999"/>
    <n v="110.90000000000003"/>
  </r>
  <r>
    <n v="1846"/>
    <d v="2024-01-19T00:00:00"/>
    <x v="1"/>
    <x v="0"/>
    <s v="Desk Chair"/>
    <x v="2"/>
    <n v="25"/>
    <n v="20.47"/>
    <n v="11.96"/>
    <n v="511.75"/>
    <n v="299"/>
    <n v="212.75"/>
  </r>
  <r>
    <n v="1624"/>
    <d v="2024-01-20T00:00:00"/>
    <x v="1"/>
    <x v="0"/>
    <s v="Desk Lamp"/>
    <x v="4"/>
    <n v="14"/>
    <n v="49.96"/>
    <n v="32.950000000000003"/>
    <n v="699.44"/>
    <n v="461.30000000000007"/>
    <n v="238.14"/>
  </r>
  <r>
    <n v="1291"/>
    <d v="2024-01-21T00:00:00"/>
    <x v="1"/>
    <x v="2"/>
    <s v="Antivirus License"/>
    <x v="5"/>
    <n v="40"/>
    <n v="277.26"/>
    <n v="197.15"/>
    <n v="11090.4"/>
    <n v="7886"/>
    <n v="3204.3999999999996"/>
  </r>
  <r>
    <n v="1629"/>
    <d v="2024-01-21T00:00:00"/>
    <x v="3"/>
    <x v="1"/>
    <s v="Headphones"/>
    <x v="0"/>
    <n v="5"/>
    <n v="816.48"/>
    <n v="426.67"/>
    <n v="4082.4"/>
    <n v="2133.35"/>
    <n v="1949.0500000000002"/>
  </r>
  <r>
    <n v="1816"/>
    <d v="2024-01-21T00:00:00"/>
    <x v="2"/>
    <x v="2"/>
    <s v="Antivirus License"/>
    <x v="3"/>
    <n v="14"/>
    <n v="187.75"/>
    <n v="102.32"/>
    <n v="2628.5"/>
    <n v="1432.48"/>
    <n v="1196.02"/>
  </r>
  <r>
    <n v="2207"/>
    <d v="2024-01-21T00:00:00"/>
    <x v="1"/>
    <x v="1"/>
    <s v="Webcam"/>
    <x v="2"/>
    <n v="24"/>
    <n v="140.21"/>
    <n v="81.56"/>
    <n v="3365.04"/>
    <n v="1957.44"/>
    <n v="1407.6"/>
  </r>
  <r>
    <n v="1634"/>
    <d v="2024-01-22T00:00:00"/>
    <x v="1"/>
    <x v="1"/>
    <s v="Laptop"/>
    <x v="7"/>
    <n v="17"/>
    <n v="524.29"/>
    <n v="368.61"/>
    <n v="8912.93"/>
    <n v="6266.37"/>
    <n v="2646.5600000000004"/>
  </r>
  <r>
    <n v="2478"/>
    <d v="2024-01-22T00:00:00"/>
    <x v="1"/>
    <x v="3"/>
    <s v="Bookshelf"/>
    <x v="1"/>
    <n v="13"/>
    <n v="418.97"/>
    <n v="291.24"/>
    <n v="5446.6100000000006"/>
    <n v="3786.12"/>
    <n v="1660.4900000000007"/>
  </r>
  <r>
    <n v="1436"/>
    <d v="2024-01-23T00:00:00"/>
    <x v="0"/>
    <x v="1"/>
    <s v="Headphones"/>
    <x v="0"/>
    <n v="9"/>
    <n v="660.76"/>
    <n v="411.91"/>
    <n v="5946.84"/>
    <n v="3707.19"/>
    <n v="2239.65"/>
  </r>
  <r>
    <n v="2368"/>
    <d v="2024-01-23T00:00:00"/>
    <x v="2"/>
    <x v="2"/>
    <s v="Design Tool"/>
    <x v="5"/>
    <n v="33"/>
    <n v="34.36"/>
    <n v="22.26"/>
    <n v="1133.8799999999999"/>
    <n v="734.58"/>
    <n v="399.29999999999984"/>
  </r>
  <r>
    <n v="2111"/>
    <d v="2024-01-24T00:00:00"/>
    <x v="4"/>
    <x v="0"/>
    <s v="Notebook"/>
    <x v="4"/>
    <n v="6"/>
    <n v="4.3"/>
    <n v="2.57"/>
    <n v="25.799999999999997"/>
    <n v="15.419999999999998"/>
    <n v="10.379999999999999"/>
  </r>
  <r>
    <n v="1722"/>
    <d v="2024-01-25T00:00:00"/>
    <x v="1"/>
    <x v="3"/>
    <s v="Filing Cabinet"/>
    <x v="7"/>
    <n v="7"/>
    <n v="429.66"/>
    <n v="270.64999999999998"/>
    <n v="3007.6200000000003"/>
    <n v="1894.5499999999997"/>
    <n v="1113.0700000000006"/>
  </r>
  <r>
    <n v="2139"/>
    <d v="2024-01-25T00:00:00"/>
    <x v="4"/>
    <x v="2"/>
    <s v="Cloud Storage"/>
    <x v="5"/>
    <n v="36"/>
    <n v="160.82"/>
    <n v="114.84"/>
    <n v="5789.5199999999995"/>
    <n v="4134.24"/>
    <n v="1655.2799999999997"/>
  </r>
  <r>
    <n v="2228"/>
    <d v="2024-01-26T00:00:00"/>
    <x v="2"/>
    <x v="1"/>
    <s v="Monitor"/>
    <x v="0"/>
    <n v="36"/>
    <n v="195.32"/>
    <n v="100.84"/>
    <n v="7031.5199999999995"/>
    <n v="3630.2400000000002"/>
    <n v="3401.2799999999993"/>
  </r>
  <r>
    <n v="2692"/>
    <d v="2024-01-26T00:00:00"/>
    <x v="1"/>
    <x v="0"/>
    <s v="Desk Chair"/>
    <x v="4"/>
    <n v="8"/>
    <n v="22.62"/>
    <n v="14.42"/>
    <n v="180.96"/>
    <n v="115.36"/>
    <n v="65.600000000000009"/>
  </r>
  <r>
    <n v="1114"/>
    <d v="2024-01-27T00:00:00"/>
    <x v="1"/>
    <x v="3"/>
    <s v="Office Desk"/>
    <x v="1"/>
    <n v="18"/>
    <n v="222.73"/>
    <n v="159.80000000000001"/>
    <n v="4009.14"/>
    <n v="2876.4"/>
    <n v="1132.7399999999998"/>
  </r>
  <r>
    <n v="2488"/>
    <d v="2024-01-27T00:00:00"/>
    <x v="3"/>
    <x v="1"/>
    <s v="Keyboard"/>
    <x v="2"/>
    <n v="40"/>
    <n v="604.55999999999995"/>
    <n v="413.78"/>
    <n v="24182.399999999998"/>
    <n v="16551.199999999997"/>
    <n v="7631.2000000000007"/>
  </r>
  <r>
    <n v="1260"/>
    <d v="2024-01-28T00:00:00"/>
    <x v="4"/>
    <x v="0"/>
    <s v="Desk Lamp"/>
    <x v="7"/>
    <n v="26"/>
    <n v="6.11"/>
    <n v="3.81"/>
    <n v="158.86000000000001"/>
    <n v="99.06"/>
    <n v="59.800000000000011"/>
  </r>
  <r>
    <n v="2431"/>
    <d v="2024-01-28T00:00:00"/>
    <x v="3"/>
    <x v="1"/>
    <s v="Headphones"/>
    <x v="7"/>
    <n v="12"/>
    <n v="750.74"/>
    <n v="530.64"/>
    <n v="9008.880000000001"/>
    <n v="6367.68"/>
    <n v="2641.2000000000007"/>
  </r>
  <r>
    <n v="2470"/>
    <d v="2024-01-28T00:00:00"/>
    <x v="2"/>
    <x v="0"/>
    <s v="Stapler"/>
    <x v="3"/>
    <n v="21"/>
    <n v="15.13"/>
    <n v="8.5299999999999994"/>
    <n v="317.73"/>
    <n v="179.13"/>
    <n v="138.60000000000002"/>
  </r>
  <r>
    <n v="1410"/>
    <d v="2024-01-29T00:00:00"/>
    <x v="2"/>
    <x v="1"/>
    <s v="Headphones"/>
    <x v="3"/>
    <n v="25"/>
    <n v="592.28"/>
    <n v="342.89"/>
    <n v="14807"/>
    <n v="8572.25"/>
    <n v="6234.75"/>
  </r>
  <r>
    <n v="1696"/>
    <d v="2024-01-29T00:00:00"/>
    <x v="0"/>
    <x v="0"/>
    <s v="Desk Lamp"/>
    <x v="6"/>
    <n v="4"/>
    <n v="20.39"/>
    <n v="13.97"/>
    <n v="81.56"/>
    <n v="55.88"/>
    <n v="25.68"/>
  </r>
  <r>
    <n v="1915"/>
    <d v="2024-01-29T00:00:00"/>
    <x v="1"/>
    <x v="1"/>
    <s v="Webcam"/>
    <x v="6"/>
    <n v="2"/>
    <n v="683.57"/>
    <n v="402.99"/>
    <n v="1367.14"/>
    <n v="805.98"/>
    <n v="561.16000000000008"/>
  </r>
  <r>
    <n v="1236"/>
    <d v="2024-01-30T00:00:00"/>
    <x v="1"/>
    <x v="0"/>
    <s v="Stapler"/>
    <x v="6"/>
    <n v="25"/>
    <n v="15.24"/>
    <n v="10.65"/>
    <n v="381"/>
    <n v="266.25"/>
    <n v="114.75"/>
  </r>
  <r>
    <n v="1800"/>
    <d v="2024-01-30T00:00:00"/>
    <x v="0"/>
    <x v="3"/>
    <s v="Whiteboard"/>
    <x v="0"/>
    <n v="15"/>
    <n v="479.63"/>
    <n v="319.61"/>
    <n v="7194.45"/>
    <n v="4794.1500000000005"/>
    <n v="2400.2999999999993"/>
  </r>
  <r>
    <n v="1513"/>
    <d v="2024-01-31T00:00:00"/>
    <x v="3"/>
    <x v="2"/>
    <s v="Antivirus License"/>
    <x v="5"/>
    <n v="31"/>
    <n v="189.24"/>
    <n v="100.65"/>
    <n v="5866.4400000000005"/>
    <n v="3120.15"/>
    <n v="2746.2900000000004"/>
  </r>
  <r>
    <n v="1749"/>
    <d v="2024-01-31T00:00:00"/>
    <x v="4"/>
    <x v="0"/>
    <s v="Desk Lamp"/>
    <x v="1"/>
    <n v="20"/>
    <n v="3.55"/>
    <n v="2.08"/>
    <n v="71"/>
    <n v="41.6"/>
    <n v="29.4"/>
  </r>
  <r>
    <n v="1151"/>
    <d v="2024-02-01T00:00:00"/>
    <x v="0"/>
    <x v="2"/>
    <s v="Antivirus License"/>
    <x v="1"/>
    <n v="5"/>
    <n v="285.85000000000002"/>
    <n v="145.24"/>
    <n v="1429.25"/>
    <n v="726.2"/>
    <n v="703.05"/>
  </r>
  <r>
    <n v="2113"/>
    <d v="2024-02-01T00:00:00"/>
    <x v="0"/>
    <x v="2"/>
    <s v="Cloud Storage"/>
    <x v="7"/>
    <n v="39"/>
    <n v="149.19"/>
    <n v="98.52"/>
    <n v="5818.41"/>
    <n v="3842.2799999999997"/>
    <n v="1976.13"/>
  </r>
  <r>
    <n v="2442"/>
    <d v="2024-02-01T00:00:00"/>
    <x v="3"/>
    <x v="3"/>
    <s v="Bookshelf"/>
    <x v="3"/>
    <n v="6"/>
    <n v="418.26"/>
    <n v="302.64"/>
    <n v="2509.56"/>
    <n v="1815.84"/>
    <n v="693.72"/>
  </r>
  <r>
    <n v="2480"/>
    <d v="2024-02-01T00:00:00"/>
    <x v="2"/>
    <x v="0"/>
    <s v="Notebook"/>
    <x v="0"/>
    <n v="36"/>
    <n v="44.29"/>
    <n v="29.57"/>
    <n v="1594.44"/>
    <n v="1064.52"/>
    <n v="529.92000000000007"/>
  </r>
  <r>
    <n v="1002"/>
    <d v="2024-02-02T00:00:00"/>
    <x v="3"/>
    <x v="1"/>
    <s v="Monitor"/>
    <x v="7"/>
    <n v="33"/>
    <n v="565.70000000000005"/>
    <n v="342.18"/>
    <n v="18668.100000000002"/>
    <n v="11291.94"/>
    <n v="7376.1600000000017"/>
  </r>
  <r>
    <n v="1613"/>
    <d v="2024-02-02T00:00:00"/>
    <x v="2"/>
    <x v="1"/>
    <s v="Keyboard"/>
    <x v="4"/>
    <n v="21"/>
    <n v="776.41"/>
    <n v="516.20000000000005"/>
    <n v="16304.609999999999"/>
    <n v="10840.2"/>
    <n v="5464.409999999998"/>
  </r>
  <r>
    <n v="1960"/>
    <d v="2024-02-02T00:00:00"/>
    <x v="2"/>
    <x v="3"/>
    <s v="Bookshelf"/>
    <x v="6"/>
    <n v="28"/>
    <n v="455.07"/>
    <n v="295.45999999999998"/>
    <n v="12741.96"/>
    <n v="8272.8799999999992"/>
    <n v="4469.08"/>
  </r>
  <r>
    <n v="2556"/>
    <d v="2024-02-02T00:00:00"/>
    <x v="2"/>
    <x v="0"/>
    <s v="Printer Paper"/>
    <x v="4"/>
    <n v="16"/>
    <n v="38.51"/>
    <n v="24.76"/>
    <n v="616.16"/>
    <n v="396.16"/>
    <n v="219.99999999999994"/>
  </r>
  <r>
    <n v="2532"/>
    <d v="2024-02-04T00:00:00"/>
    <x v="1"/>
    <x v="0"/>
    <s v="Stapler"/>
    <x v="1"/>
    <n v="7"/>
    <n v="19.21"/>
    <n v="11.46"/>
    <n v="134.47"/>
    <n v="80.22"/>
    <n v="54.25"/>
  </r>
  <r>
    <n v="2671"/>
    <d v="2024-02-04T00:00:00"/>
    <x v="1"/>
    <x v="3"/>
    <s v="Filing Cabinet"/>
    <x v="3"/>
    <n v="3"/>
    <n v="386.86"/>
    <n v="251.47"/>
    <n v="1160.58"/>
    <n v="754.41"/>
    <n v="406.16999999999996"/>
  </r>
  <r>
    <n v="2461"/>
    <d v="2024-02-05T00:00:00"/>
    <x v="3"/>
    <x v="1"/>
    <s v="Webcam"/>
    <x v="4"/>
    <n v="21"/>
    <n v="892.79"/>
    <n v="620.25"/>
    <n v="18748.59"/>
    <n v="13025.25"/>
    <n v="5723.34"/>
  </r>
  <r>
    <n v="2525"/>
    <d v="2024-02-06T00:00:00"/>
    <x v="4"/>
    <x v="0"/>
    <s v="Stapler"/>
    <x v="6"/>
    <n v="40"/>
    <n v="59.86"/>
    <n v="38.33"/>
    <n v="2394.4"/>
    <n v="1533.1999999999998"/>
    <n v="861.20000000000027"/>
  </r>
  <r>
    <n v="1687"/>
    <d v="2024-02-07T00:00:00"/>
    <x v="1"/>
    <x v="3"/>
    <s v="Whiteboard"/>
    <x v="1"/>
    <n v="34"/>
    <n v="118.98"/>
    <n v="75"/>
    <n v="4045.32"/>
    <n v="2550"/>
    <n v="1495.3200000000002"/>
  </r>
  <r>
    <n v="1331"/>
    <d v="2024-02-08T00:00:00"/>
    <x v="1"/>
    <x v="0"/>
    <s v="Printer Paper"/>
    <x v="2"/>
    <n v="21"/>
    <n v="33.270000000000003"/>
    <n v="22.74"/>
    <n v="698.67000000000007"/>
    <n v="477.53999999999996"/>
    <n v="221.13000000000011"/>
  </r>
  <r>
    <n v="1335"/>
    <d v="2024-02-08T00:00:00"/>
    <x v="2"/>
    <x v="3"/>
    <s v="Office Desk"/>
    <x v="2"/>
    <n v="7"/>
    <n v="369.69"/>
    <n v="219.99"/>
    <n v="2587.83"/>
    <n v="1539.93"/>
    <n v="1047.8999999999999"/>
  </r>
  <r>
    <n v="1365"/>
    <d v="2024-02-10T00:00:00"/>
    <x v="0"/>
    <x v="3"/>
    <s v="Office Desk"/>
    <x v="0"/>
    <n v="32"/>
    <n v="110.61"/>
    <n v="69.83"/>
    <n v="3539.52"/>
    <n v="2234.56"/>
    <n v="1304.96"/>
  </r>
  <r>
    <n v="1483"/>
    <d v="2024-02-10T00:00:00"/>
    <x v="1"/>
    <x v="2"/>
    <s v="Antivirus License"/>
    <x v="7"/>
    <n v="19"/>
    <n v="100.06"/>
    <n v="54.19"/>
    <n v="1901.14"/>
    <n v="1029.6099999999999"/>
    <n v="871.5300000000002"/>
  </r>
  <r>
    <n v="2025"/>
    <d v="2024-02-10T00:00:00"/>
    <x v="1"/>
    <x v="0"/>
    <s v="Desk Chair"/>
    <x v="4"/>
    <n v="2"/>
    <n v="19.059999999999999"/>
    <n v="11.65"/>
    <n v="38.119999999999997"/>
    <n v="23.3"/>
    <n v="14.819999999999997"/>
  </r>
  <r>
    <n v="2186"/>
    <d v="2024-02-10T00:00:00"/>
    <x v="4"/>
    <x v="2"/>
    <s v="Cloud Storage"/>
    <x v="2"/>
    <n v="26"/>
    <n v="207.34"/>
    <n v="105"/>
    <n v="5390.84"/>
    <n v="2730"/>
    <n v="2660.84"/>
  </r>
  <r>
    <n v="1053"/>
    <d v="2024-02-11T00:00:00"/>
    <x v="3"/>
    <x v="0"/>
    <s v="Notebook"/>
    <x v="2"/>
    <n v="40"/>
    <n v="10.19"/>
    <n v="5.65"/>
    <n v="407.59999999999997"/>
    <n v="226"/>
    <n v="181.59999999999997"/>
  </r>
  <r>
    <n v="2285"/>
    <d v="2024-02-11T00:00:00"/>
    <x v="0"/>
    <x v="1"/>
    <s v="Monitor"/>
    <x v="7"/>
    <n v="38"/>
    <n v="472.83"/>
    <n v="296.60000000000002"/>
    <n v="17967.54"/>
    <n v="11270.800000000001"/>
    <n v="6696.74"/>
  </r>
  <r>
    <n v="2486"/>
    <d v="2024-02-11T00:00:00"/>
    <x v="3"/>
    <x v="0"/>
    <s v="Stapler"/>
    <x v="7"/>
    <n v="1"/>
    <n v="51.58"/>
    <n v="37.21"/>
    <n v="51.58"/>
    <n v="37.21"/>
    <n v="14.369999999999997"/>
  </r>
  <r>
    <n v="2550"/>
    <d v="2024-02-11T00:00:00"/>
    <x v="0"/>
    <x v="1"/>
    <s v="Headphones"/>
    <x v="0"/>
    <n v="16"/>
    <n v="834.94"/>
    <n v="537.25"/>
    <n v="13359.04"/>
    <n v="8596"/>
    <n v="4763.0400000000009"/>
  </r>
  <r>
    <n v="1146"/>
    <d v="2024-02-12T00:00:00"/>
    <x v="4"/>
    <x v="3"/>
    <s v="Whiteboard"/>
    <x v="4"/>
    <n v="17"/>
    <n v="200.17"/>
    <n v="102.48"/>
    <n v="3402.89"/>
    <n v="1742.16"/>
    <n v="1660.7299999999998"/>
  </r>
  <r>
    <n v="1535"/>
    <d v="2024-02-12T00:00:00"/>
    <x v="3"/>
    <x v="3"/>
    <s v="Whiteboard"/>
    <x v="0"/>
    <n v="22"/>
    <n v="187.24"/>
    <n v="115.2"/>
    <n v="4119.2800000000007"/>
    <n v="2534.4"/>
    <n v="1584.8800000000006"/>
  </r>
  <r>
    <n v="1851"/>
    <d v="2024-02-12T00:00:00"/>
    <x v="1"/>
    <x v="0"/>
    <s v="Notebook"/>
    <x v="4"/>
    <n v="7"/>
    <n v="34.159999999999997"/>
    <n v="25.53"/>
    <n v="239.11999999999998"/>
    <n v="178.71"/>
    <n v="60.409999999999968"/>
  </r>
  <r>
    <n v="1442"/>
    <d v="2024-02-13T00:00:00"/>
    <x v="1"/>
    <x v="2"/>
    <s v="Office Suite"/>
    <x v="5"/>
    <n v="6"/>
    <n v="114.76"/>
    <n v="85.2"/>
    <n v="688.56000000000006"/>
    <n v="511.20000000000005"/>
    <n v="177.36"/>
  </r>
  <r>
    <n v="1600"/>
    <d v="2024-02-13T00:00:00"/>
    <x v="0"/>
    <x v="1"/>
    <s v="Laptop"/>
    <x v="2"/>
    <n v="31"/>
    <n v="159.88999999999999"/>
    <n v="110.11"/>
    <n v="4956.5899999999992"/>
    <n v="3413.41"/>
    <n v="1543.1799999999994"/>
  </r>
  <r>
    <n v="1106"/>
    <d v="2024-02-14T00:00:00"/>
    <x v="1"/>
    <x v="3"/>
    <s v="Whiteboard"/>
    <x v="2"/>
    <n v="4"/>
    <n v="259.02999999999997"/>
    <n v="175.65"/>
    <n v="1036.1199999999999"/>
    <n v="702.6"/>
    <n v="333.51999999999987"/>
  </r>
  <r>
    <n v="1559"/>
    <d v="2024-02-14T00:00:00"/>
    <x v="3"/>
    <x v="1"/>
    <s v="Webcam"/>
    <x v="1"/>
    <n v="11"/>
    <n v="719.81"/>
    <n v="489.72"/>
    <n v="7917.91"/>
    <n v="5386.92"/>
    <n v="2530.9899999999998"/>
  </r>
  <r>
    <n v="1759"/>
    <d v="2024-02-14T00:00:00"/>
    <x v="0"/>
    <x v="0"/>
    <s v="Printer Paper"/>
    <x v="0"/>
    <n v="5"/>
    <n v="44.18"/>
    <n v="33.049999999999997"/>
    <n v="220.9"/>
    <n v="165.25"/>
    <n v="55.650000000000006"/>
  </r>
  <r>
    <n v="2591"/>
    <d v="2024-02-14T00:00:00"/>
    <x v="1"/>
    <x v="3"/>
    <s v="Bookshelf"/>
    <x v="3"/>
    <n v="17"/>
    <n v="324.01"/>
    <n v="196.61"/>
    <n v="5508.17"/>
    <n v="3342.3700000000003"/>
    <n v="2165.7999999999997"/>
  </r>
  <r>
    <n v="1305"/>
    <d v="2024-02-15T00:00:00"/>
    <x v="4"/>
    <x v="2"/>
    <s v="Cloud Storage"/>
    <x v="0"/>
    <n v="15"/>
    <n v="215.01"/>
    <n v="112.7"/>
    <n v="3225.1499999999996"/>
    <n v="1690.5"/>
    <n v="1534.6499999999996"/>
  </r>
  <r>
    <n v="2087"/>
    <d v="2024-02-15T00:00:00"/>
    <x v="0"/>
    <x v="3"/>
    <s v="Whiteboard"/>
    <x v="3"/>
    <n v="22"/>
    <n v="143.31"/>
    <n v="95.85"/>
    <n v="3152.82"/>
    <n v="2108.6999999999998"/>
    <n v="1044.1200000000003"/>
  </r>
  <r>
    <n v="2387"/>
    <d v="2024-02-15T00:00:00"/>
    <x v="4"/>
    <x v="3"/>
    <s v="Office Desk"/>
    <x v="6"/>
    <n v="38"/>
    <n v="279.3"/>
    <n v="204.52"/>
    <n v="10613.4"/>
    <n v="7771.76"/>
    <n v="2841.6399999999994"/>
  </r>
  <r>
    <n v="2568"/>
    <d v="2024-02-15T00:00:00"/>
    <x v="1"/>
    <x v="1"/>
    <s v="Laptop"/>
    <x v="3"/>
    <n v="3"/>
    <n v="234.06"/>
    <n v="130.47999999999999"/>
    <n v="702.18000000000006"/>
    <n v="391.43999999999994"/>
    <n v="310.74000000000012"/>
  </r>
  <r>
    <n v="1550"/>
    <d v="2024-02-16T00:00:00"/>
    <x v="0"/>
    <x v="0"/>
    <s v="Desk Chair"/>
    <x v="1"/>
    <n v="4"/>
    <n v="49.78"/>
    <n v="35.29"/>
    <n v="199.12"/>
    <n v="141.16"/>
    <n v="57.960000000000008"/>
  </r>
  <r>
    <n v="2019"/>
    <d v="2024-02-16T00:00:00"/>
    <x v="3"/>
    <x v="3"/>
    <s v="Whiteboard"/>
    <x v="6"/>
    <n v="29"/>
    <n v="398.22"/>
    <n v="272.13"/>
    <n v="11548.380000000001"/>
    <n v="7891.7699999999995"/>
    <n v="3656.6100000000015"/>
  </r>
  <r>
    <n v="2474"/>
    <d v="2024-02-17T00:00:00"/>
    <x v="0"/>
    <x v="0"/>
    <s v="Printer Paper"/>
    <x v="3"/>
    <n v="4"/>
    <n v="24.12"/>
    <n v="17.02"/>
    <n v="96.48"/>
    <n v="68.08"/>
    <n v="28.400000000000006"/>
  </r>
  <r>
    <n v="1848"/>
    <d v="2024-02-18T00:00:00"/>
    <x v="0"/>
    <x v="1"/>
    <s v="Laptop"/>
    <x v="2"/>
    <n v="21"/>
    <n v="238.06"/>
    <n v="130.03"/>
    <n v="4999.26"/>
    <n v="2730.63"/>
    <n v="2268.63"/>
  </r>
  <r>
    <n v="2390"/>
    <d v="2024-02-18T00:00:00"/>
    <x v="3"/>
    <x v="3"/>
    <s v="Whiteboard"/>
    <x v="2"/>
    <n v="33"/>
    <n v="402.05"/>
    <n v="278.31"/>
    <n v="13267.65"/>
    <n v="9184.23"/>
    <n v="4083.42"/>
  </r>
  <r>
    <n v="2789"/>
    <d v="2024-02-18T00:00:00"/>
    <x v="3"/>
    <x v="2"/>
    <s v="Antivirus License"/>
    <x v="7"/>
    <n v="23"/>
    <n v="227.97"/>
    <n v="116.83"/>
    <n v="5243.31"/>
    <n v="2687.09"/>
    <n v="2556.2200000000003"/>
  </r>
  <r>
    <n v="1658"/>
    <d v="2024-02-19T00:00:00"/>
    <x v="4"/>
    <x v="3"/>
    <s v="Office Desk"/>
    <x v="3"/>
    <n v="36"/>
    <n v="247.52"/>
    <n v="183.48"/>
    <n v="8910.7200000000012"/>
    <n v="6605.28"/>
    <n v="2305.4400000000014"/>
  </r>
  <r>
    <n v="1886"/>
    <d v="2024-02-19T00:00:00"/>
    <x v="4"/>
    <x v="1"/>
    <s v="Headphones"/>
    <x v="2"/>
    <n v="23"/>
    <n v="691.41"/>
    <n v="413.23"/>
    <n v="15902.429999999998"/>
    <n v="9504.2900000000009"/>
    <n v="6398.1399999999976"/>
  </r>
  <r>
    <n v="2678"/>
    <d v="2024-02-19T00:00:00"/>
    <x v="3"/>
    <x v="2"/>
    <s v="Design Tool"/>
    <x v="7"/>
    <n v="20"/>
    <n v="182.11"/>
    <n v="91.19"/>
    <n v="3642.2000000000003"/>
    <n v="1823.8"/>
    <n v="1818.4000000000003"/>
  </r>
  <r>
    <n v="2406"/>
    <d v="2024-02-20T00:00:00"/>
    <x v="4"/>
    <x v="3"/>
    <s v="Office Desk"/>
    <x v="0"/>
    <n v="36"/>
    <n v="249.53"/>
    <n v="144.22"/>
    <n v="8983.08"/>
    <n v="5191.92"/>
    <n v="3791.16"/>
  </r>
  <r>
    <n v="1024"/>
    <d v="2024-02-21T00:00:00"/>
    <x v="1"/>
    <x v="2"/>
    <s v="Office Suite"/>
    <x v="2"/>
    <n v="33"/>
    <n v="209.06"/>
    <n v="116.82"/>
    <n v="6898.9800000000005"/>
    <n v="3855.06"/>
    <n v="3043.9200000000005"/>
  </r>
  <r>
    <n v="1671"/>
    <d v="2024-02-22T00:00:00"/>
    <x v="4"/>
    <x v="1"/>
    <s v="Laptop"/>
    <x v="6"/>
    <n v="27"/>
    <n v="772.84"/>
    <n v="442.6"/>
    <n v="20866.68"/>
    <n v="11950.2"/>
    <n v="8916.48"/>
  </r>
  <r>
    <n v="2129"/>
    <d v="2024-02-22T00:00:00"/>
    <x v="4"/>
    <x v="1"/>
    <s v="Monitor"/>
    <x v="4"/>
    <n v="8"/>
    <n v="431.19"/>
    <n v="280.08999999999997"/>
    <n v="3449.52"/>
    <n v="2240.7199999999998"/>
    <n v="1208.8000000000002"/>
  </r>
  <r>
    <n v="2359"/>
    <d v="2024-02-22T00:00:00"/>
    <x v="0"/>
    <x v="0"/>
    <s v="Desk Chair"/>
    <x v="0"/>
    <n v="24"/>
    <n v="29.51"/>
    <n v="17.95"/>
    <n v="708.24"/>
    <n v="430.79999999999995"/>
    <n v="277.44000000000005"/>
  </r>
  <r>
    <n v="1533"/>
    <d v="2024-02-23T00:00:00"/>
    <x v="0"/>
    <x v="2"/>
    <s v="Cloud Storage"/>
    <x v="4"/>
    <n v="20"/>
    <n v="85.43"/>
    <n v="57.31"/>
    <n v="1708.6000000000001"/>
    <n v="1146.2"/>
    <n v="562.40000000000009"/>
  </r>
  <r>
    <n v="2203"/>
    <d v="2024-02-24T00:00:00"/>
    <x v="4"/>
    <x v="1"/>
    <s v="Laptop"/>
    <x v="3"/>
    <n v="34"/>
    <n v="407.52"/>
    <n v="282.58999999999997"/>
    <n v="13855.68"/>
    <n v="9608.06"/>
    <n v="4247.6200000000008"/>
  </r>
  <r>
    <n v="2498"/>
    <d v="2024-02-24T00:00:00"/>
    <x v="0"/>
    <x v="2"/>
    <s v="Office Suite"/>
    <x v="0"/>
    <n v="7"/>
    <n v="273.41000000000003"/>
    <n v="187.35"/>
    <n v="1913.8700000000001"/>
    <n v="1311.45"/>
    <n v="602.42000000000007"/>
  </r>
  <r>
    <n v="2489"/>
    <d v="2024-02-25T00:00:00"/>
    <x v="2"/>
    <x v="2"/>
    <s v="Office Suite"/>
    <x v="7"/>
    <n v="38"/>
    <n v="34.08"/>
    <n v="20.18"/>
    <n v="1295.04"/>
    <n v="766.84"/>
    <n v="528.19999999999993"/>
  </r>
  <r>
    <n v="1008"/>
    <d v="2024-02-27T00:00:00"/>
    <x v="0"/>
    <x v="1"/>
    <s v="Headphones"/>
    <x v="6"/>
    <n v="18"/>
    <n v="115.6"/>
    <n v="63.94"/>
    <n v="2080.7999999999997"/>
    <n v="1150.92"/>
    <n v="929.87999999999965"/>
  </r>
  <r>
    <n v="1126"/>
    <d v="2024-02-27T00:00:00"/>
    <x v="4"/>
    <x v="1"/>
    <s v="Headphones"/>
    <x v="4"/>
    <n v="29"/>
    <n v="91.59"/>
    <n v="68.17"/>
    <n v="2656.11"/>
    <n v="1976.93"/>
    <n v="679.18000000000006"/>
  </r>
  <r>
    <n v="1315"/>
    <d v="2024-02-27T00:00:00"/>
    <x v="1"/>
    <x v="0"/>
    <s v="Desk Chair"/>
    <x v="0"/>
    <n v="33"/>
    <n v="47.49"/>
    <n v="25.81"/>
    <n v="1567.17"/>
    <n v="851.7299999999999"/>
    <n v="715.44000000000017"/>
  </r>
  <r>
    <n v="1586"/>
    <d v="2024-02-27T00:00:00"/>
    <x v="4"/>
    <x v="2"/>
    <s v="Office Suite"/>
    <x v="6"/>
    <n v="24"/>
    <n v="106.26"/>
    <n v="64.97"/>
    <n v="2550.2400000000002"/>
    <n v="1559.28"/>
    <n v="990.96000000000026"/>
  </r>
  <r>
    <n v="2724"/>
    <d v="2024-02-27T00:00:00"/>
    <x v="2"/>
    <x v="2"/>
    <s v="Office Suite"/>
    <x v="4"/>
    <n v="15"/>
    <n v="28.4"/>
    <n v="18.78"/>
    <n v="426"/>
    <n v="281.70000000000005"/>
    <n v="144.29999999999995"/>
  </r>
  <r>
    <n v="1404"/>
    <d v="2024-02-28T00:00:00"/>
    <x v="0"/>
    <x v="2"/>
    <s v="Cloud Storage"/>
    <x v="2"/>
    <n v="13"/>
    <n v="74.53"/>
    <n v="51.87"/>
    <n v="968.89"/>
    <n v="674.31"/>
    <n v="294.58000000000004"/>
  </r>
  <r>
    <n v="1895"/>
    <d v="2024-02-28T00:00:00"/>
    <x v="0"/>
    <x v="1"/>
    <s v="Monitor"/>
    <x v="3"/>
    <n v="19"/>
    <n v="375.69"/>
    <n v="269.95"/>
    <n v="7138.11"/>
    <n v="5129.05"/>
    <n v="2009.0599999999995"/>
  </r>
  <r>
    <n v="2553"/>
    <d v="2024-02-28T00:00:00"/>
    <x v="1"/>
    <x v="0"/>
    <s v="Desk Chair"/>
    <x v="6"/>
    <n v="31"/>
    <n v="42.15"/>
    <n v="22.29"/>
    <n v="1306.6499999999999"/>
    <n v="690.99"/>
    <n v="615.65999999999985"/>
  </r>
  <r>
    <n v="2675"/>
    <d v="2024-03-01T00:00:00"/>
    <x v="3"/>
    <x v="0"/>
    <s v="Stapler"/>
    <x v="2"/>
    <n v="6"/>
    <n v="22.22"/>
    <n v="16.149999999999999"/>
    <n v="133.32"/>
    <n v="96.899999999999991"/>
    <n v="36.42"/>
  </r>
  <r>
    <n v="1728"/>
    <d v="2024-03-02T00:00:00"/>
    <x v="0"/>
    <x v="3"/>
    <s v="Whiteboard"/>
    <x v="5"/>
    <n v="20"/>
    <n v="141.16"/>
    <n v="91.87"/>
    <n v="2823.2"/>
    <n v="1837.4"/>
    <n v="985.79999999999973"/>
  </r>
  <r>
    <n v="2267"/>
    <d v="2024-03-02T00:00:00"/>
    <x v="4"/>
    <x v="1"/>
    <s v="Laptop"/>
    <x v="5"/>
    <n v="31"/>
    <n v="570.57000000000005"/>
    <n v="316.14999999999998"/>
    <n v="17687.670000000002"/>
    <n v="9800.65"/>
    <n v="7887.0200000000023"/>
  </r>
  <r>
    <n v="2007"/>
    <d v="2024-03-03T00:00:00"/>
    <x v="4"/>
    <x v="3"/>
    <s v="Office Desk"/>
    <x v="5"/>
    <n v="35"/>
    <n v="226.89"/>
    <n v="138.62"/>
    <n v="7941.15"/>
    <n v="4851.7"/>
    <n v="3089.45"/>
  </r>
  <r>
    <n v="1128"/>
    <d v="2024-03-04T00:00:00"/>
    <x v="2"/>
    <x v="1"/>
    <s v="Headphones"/>
    <x v="3"/>
    <n v="33"/>
    <n v="602.75"/>
    <n v="380.35"/>
    <n v="19890.75"/>
    <n v="12551.550000000001"/>
    <n v="7339.1999999999989"/>
  </r>
  <r>
    <n v="1899"/>
    <d v="2024-03-04T00:00:00"/>
    <x v="4"/>
    <x v="2"/>
    <s v="Cloud Storage"/>
    <x v="7"/>
    <n v="4"/>
    <n v="138.41999999999999"/>
    <n v="77.930000000000007"/>
    <n v="553.67999999999995"/>
    <n v="311.72000000000003"/>
    <n v="241.95999999999992"/>
  </r>
  <r>
    <n v="2639"/>
    <d v="2024-03-04T00:00:00"/>
    <x v="0"/>
    <x v="3"/>
    <s v="Filing Cabinet"/>
    <x v="7"/>
    <n v="6"/>
    <n v="410.19"/>
    <n v="285.39"/>
    <n v="2461.14"/>
    <n v="1712.34"/>
    <n v="748.8"/>
  </r>
  <r>
    <n v="1548"/>
    <d v="2024-03-05T00:00:00"/>
    <x v="1"/>
    <x v="3"/>
    <s v="Whiteboard"/>
    <x v="4"/>
    <n v="2"/>
    <n v="410.87"/>
    <n v="217.57"/>
    <n v="821.74"/>
    <n v="435.14"/>
    <n v="386.6"/>
  </r>
  <r>
    <n v="2487"/>
    <d v="2024-03-05T00:00:00"/>
    <x v="3"/>
    <x v="1"/>
    <s v="Keyboard"/>
    <x v="7"/>
    <n v="5"/>
    <n v="128.22"/>
    <n v="90.5"/>
    <n v="641.1"/>
    <n v="452.5"/>
    <n v="188.60000000000002"/>
  </r>
  <r>
    <n v="2602"/>
    <d v="2024-03-05T00:00:00"/>
    <x v="2"/>
    <x v="2"/>
    <s v="Antivirus License"/>
    <x v="1"/>
    <n v="17"/>
    <n v="31.71"/>
    <n v="20.14"/>
    <n v="539.07000000000005"/>
    <n v="342.38"/>
    <n v="196.69000000000005"/>
  </r>
  <r>
    <n v="1551"/>
    <d v="2024-03-06T00:00:00"/>
    <x v="3"/>
    <x v="1"/>
    <s v="Keyboard"/>
    <x v="7"/>
    <n v="5"/>
    <n v="735.74"/>
    <n v="492.65"/>
    <n v="3678.7"/>
    <n v="2463.25"/>
    <n v="1215.4499999999998"/>
  </r>
  <r>
    <n v="2575"/>
    <d v="2024-03-06T00:00:00"/>
    <x v="1"/>
    <x v="0"/>
    <s v="Notebook"/>
    <x v="4"/>
    <n v="2"/>
    <n v="58.85"/>
    <n v="33.99"/>
    <n v="117.7"/>
    <n v="67.98"/>
    <n v="49.72"/>
  </r>
  <r>
    <n v="1494"/>
    <d v="2024-03-07T00:00:00"/>
    <x v="4"/>
    <x v="2"/>
    <s v="Office Suite"/>
    <x v="3"/>
    <n v="18"/>
    <n v="78.53"/>
    <n v="40.409999999999997"/>
    <n v="1413.54"/>
    <n v="727.37999999999988"/>
    <n v="686.16000000000008"/>
  </r>
  <r>
    <n v="2377"/>
    <d v="2024-03-07T00:00:00"/>
    <x v="2"/>
    <x v="3"/>
    <s v="Bookshelf"/>
    <x v="3"/>
    <n v="32"/>
    <n v="93.45"/>
    <n v="62.26"/>
    <n v="2990.4"/>
    <n v="1992.32"/>
    <n v="998.08000000000015"/>
  </r>
  <r>
    <n v="1130"/>
    <d v="2024-03-08T00:00:00"/>
    <x v="4"/>
    <x v="1"/>
    <s v="Webcam"/>
    <x v="6"/>
    <n v="19"/>
    <n v="271.68"/>
    <n v="146.05000000000001"/>
    <n v="5161.92"/>
    <n v="2774.9500000000003"/>
    <n v="2386.9699999999998"/>
  </r>
  <r>
    <n v="1574"/>
    <d v="2024-03-08T00:00:00"/>
    <x v="0"/>
    <x v="2"/>
    <s v="Antivirus License"/>
    <x v="3"/>
    <n v="26"/>
    <n v="50.62"/>
    <n v="28.8"/>
    <n v="1316.12"/>
    <n v="748.80000000000007"/>
    <n v="567.31999999999982"/>
  </r>
  <r>
    <n v="2371"/>
    <d v="2024-03-08T00:00:00"/>
    <x v="4"/>
    <x v="1"/>
    <s v="Keyboard"/>
    <x v="6"/>
    <n v="28"/>
    <n v="189.4"/>
    <n v="100.3"/>
    <n v="5303.2"/>
    <n v="2808.4"/>
    <n v="2494.7999999999997"/>
  </r>
  <r>
    <n v="2509"/>
    <d v="2024-03-08T00:00:00"/>
    <x v="3"/>
    <x v="3"/>
    <s v="Filing Cabinet"/>
    <x v="4"/>
    <n v="35"/>
    <n v="395.49"/>
    <n v="262.49"/>
    <n v="13842.15"/>
    <n v="9187.15"/>
    <n v="4655"/>
  </r>
  <r>
    <n v="1234"/>
    <d v="2024-03-09T00:00:00"/>
    <x v="4"/>
    <x v="1"/>
    <s v="Laptop"/>
    <x v="2"/>
    <n v="22"/>
    <n v="604.29"/>
    <n v="338.99"/>
    <n v="13294.38"/>
    <n v="7457.7800000000007"/>
    <n v="5836.5999999999985"/>
  </r>
  <r>
    <n v="1983"/>
    <d v="2024-03-09T00:00:00"/>
    <x v="2"/>
    <x v="2"/>
    <s v="Cloud Storage"/>
    <x v="3"/>
    <n v="37"/>
    <n v="53.02"/>
    <n v="29.57"/>
    <n v="1961.74"/>
    <n v="1094.0899999999999"/>
    <n v="867.65000000000009"/>
  </r>
  <r>
    <n v="2354"/>
    <d v="2024-03-09T00:00:00"/>
    <x v="2"/>
    <x v="0"/>
    <s v="Desk Chair"/>
    <x v="0"/>
    <n v="30"/>
    <n v="30.93"/>
    <n v="21.08"/>
    <n v="927.9"/>
    <n v="632.4"/>
    <n v="295.5"/>
  </r>
  <r>
    <n v="2629"/>
    <d v="2024-03-09T00:00:00"/>
    <x v="2"/>
    <x v="3"/>
    <s v="Bookshelf"/>
    <x v="0"/>
    <n v="17"/>
    <n v="230.98"/>
    <n v="118.58"/>
    <n v="3926.66"/>
    <n v="2015.86"/>
    <n v="1910.8"/>
  </r>
  <r>
    <n v="2225"/>
    <d v="2024-03-10T00:00:00"/>
    <x v="0"/>
    <x v="2"/>
    <s v="Design Tool"/>
    <x v="4"/>
    <n v="10"/>
    <n v="161.01"/>
    <n v="119.73"/>
    <n v="1610.1"/>
    <n v="1197.3"/>
    <n v="412.79999999999995"/>
  </r>
  <r>
    <n v="1193"/>
    <d v="2024-03-11T00:00:00"/>
    <x v="2"/>
    <x v="1"/>
    <s v="Headphones"/>
    <x v="6"/>
    <n v="12"/>
    <n v="705.94"/>
    <n v="427.16"/>
    <n v="8471.2800000000007"/>
    <n v="5125.92"/>
    <n v="3345.3600000000006"/>
  </r>
  <r>
    <n v="1018"/>
    <d v="2024-03-13T00:00:00"/>
    <x v="1"/>
    <x v="0"/>
    <s v="Printer Paper"/>
    <x v="4"/>
    <n v="14"/>
    <n v="44.23"/>
    <n v="24.8"/>
    <n v="619.21999999999991"/>
    <n v="347.2"/>
    <n v="272.01999999999992"/>
  </r>
  <r>
    <n v="1509"/>
    <d v="2024-03-13T00:00:00"/>
    <x v="4"/>
    <x v="3"/>
    <s v="Whiteboard"/>
    <x v="2"/>
    <n v="9"/>
    <n v="101.19"/>
    <n v="52.77"/>
    <n v="910.71"/>
    <n v="474.93"/>
    <n v="435.78000000000003"/>
  </r>
  <r>
    <n v="2465"/>
    <d v="2024-03-13T00:00:00"/>
    <x v="3"/>
    <x v="3"/>
    <s v="Office Desk"/>
    <x v="0"/>
    <n v="15"/>
    <n v="224.04"/>
    <n v="119.82"/>
    <n v="3360.6"/>
    <n v="1797.3"/>
    <n v="1563.3"/>
  </r>
  <r>
    <n v="1745"/>
    <d v="2024-03-14T00:00:00"/>
    <x v="4"/>
    <x v="1"/>
    <s v="Webcam"/>
    <x v="7"/>
    <n v="22"/>
    <n v="225.18"/>
    <n v="151.07"/>
    <n v="4953.96"/>
    <n v="3323.54"/>
    <n v="1630.42"/>
  </r>
  <r>
    <n v="2218"/>
    <d v="2024-03-15T00:00:00"/>
    <x v="0"/>
    <x v="2"/>
    <s v="Office Suite"/>
    <x v="2"/>
    <n v="3"/>
    <n v="278.81"/>
    <n v="139.74"/>
    <n v="836.43000000000006"/>
    <n v="419.22"/>
    <n v="417.21000000000004"/>
  </r>
  <r>
    <n v="2747"/>
    <d v="2024-03-15T00:00:00"/>
    <x v="0"/>
    <x v="1"/>
    <s v="Headphones"/>
    <x v="3"/>
    <n v="28"/>
    <n v="880.98"/>
    <n v="588.77"/>
    <n v="24667.440000000002"/>
    <n v="16485.559999999998"/>
    <n v="8181.8800000000047"/>
  </r>
  <r>
    <n v="1158"/>
    <d v="2024-03-16T00:00:00"/>
    <x v="0"/>
    <x v="3"/>
    <s v="Office Desk"/>
    <x v="4"/>
    <n v="30"/>
    <n v="448.74"/>
    <n v="296.14999999999998"/>
    <n v="13462.2"/>
    <n v="8884.5"/>
    <n v="4577.7000000000007"/>
  </r>
  <r>
    <n v="1169"/>
    <d v="2024-03-16T00:00:00"/>
    <x v="2"/>
    <x v="2"/>
    <s v="Design Tool"/>
    <x v="3"/>
    <n v="9"/>
    <n v="114.94"/>
    <n v="84.45"/>
    <n v="1034.46"/>
    <n v="760.05000000000007"/>
    <n v="274.40999999999997"/>
  </r>
  <r>
    <n v="2028"/>
    <d v="2024-03-16T00:00:00"/>
    <x v="4"/>
    <x v="1"/>
    <s v="Keyboard"/>
    <x v="3"/>
    <n v="34"/>
    <n v="326.72000000000003"/>
    <n v="166.27"/>
    <n v="11108.480000000001"/>
    <n v="5653.18"/>
    <n v="5455.3000000000011"/>
  </r>
  <r>
    <n v="2356"/>
    <d v="2024-03-16T00:00:00"/>
    <x v="1"/>
    <x v="3"/>
    <s v="Filing Cabinet"/>
    <x v="3"/>
    <n v="39"/>
    <n v="205.8"/>
    <n v="127.97"/>
    <n v="8026.2000000000007"/>
    <n v="4990.83"/>
    <n v="3035.3700000000008"/>
  </r>
  <r>
    <n v="2790"/>
    <d v="2024-03-16T00:00:00"/>
    <x v="2"/>
    <x v="1"/>
    <s v="Keyboard"/>
    <x v="0"/>
    <n v="3"/>
    <n v="730.27"/>
    <n v="472.44"/>
    <n v="2190.81"/>
    <n v="1417.32"/>
    <n v="773.49"/>
  </r>
  <r>
    <n v="1215"/>
    <d v="2024-03-17T00:00:00"/>
    <x v="4"/>
    <x v="1"/>
    <s v="Monitor"/>
    <x v="5"/>
    <n v="2"/>
    <n v="867.63"/>
    <n v="520.21"/>
    <n v="1735.26"/>
    <n v="1040.42"/>
    <n v="694.83999999999992"/>
  </r>
  <r>
    <n v="1939"/>
    <d v="2024-03-17T00:00:00"/>
    <x v="2"/>
    <x v="1"/>
    <s v="Monitor"/>
    <x v="2"/>
    <n v="14"/>
    <n v="453.25"/>
    <n v="318.86"/>
    <n v="6345.5"/>
    <n v="4464.04"/>
    <n v="1881.46"/>
  </r>
  <r>
    <n v="1096"/>
    <d v="2024-03-18T00:00:00"/>
    <x v="0"/>
    <x v="0"/>
    <s v="Stapler"/>
    <x v="5"/>
    <n v="6"/>
    <n v="3.79"/>
    <n v="2.5299999999999998"/>
    <n v="22.740000000000002"/>
    <n v="15.18"/>
    <n v="7.5600000000000023"/>
  </r>
  <r>
    <n v="1621"/>
    <d v="2024-03-18T00:00:00"/>
    <x v="1"/>
    <x v="0"/>
    <s v="Printer Paper"/>
    <x v="0"/>
    <n v="4"/>
    <n v="35.69"/>
    <n v="26.39"/>
    <n v="142.76"/>
    <n v="105.56"/>
    <n v="37.199999999999989"/>
  </r>
  <r>
    <n v="2253"/>
    <d v="2024-03-18T00:00:00"/>
    <x v="3"/>
    <x v="1"/>
    <s v="Headphones"/>
    <x v="3"/>
    <n v="10"/>
    <n v="549.51"/>
    <n v="320.20999999999998"/>
    <n v="5495.1"/>
    <n v="3202.1"/>
    <n v="2293.0000000000005"/>
  </r>
  <r>
    <n v="1216"/>
    <d v="2024-03-19T00:00:00"/>
    <x v="4"/>
    <x v="0"/>
    <s v="Desk Lamp"/>
    <x v="7"/>
    <n v="37"/>
    <n v="25.18"/>
    <n v="17.350000000000001"/>
    <n v="931.66"/>
    <n v="641.95000000000005"/>
    <n v="289.70999999999992"/>
  </r>
  <r>
    <n v="1879"/>
    <d v="2024-03-19T00:00:00"/>
    <x v="3"/>
    <x v="2"/>
    <s v="Office Suite"/>
    <x v="1"/>
    <n v="31"/>
    <n v="103.86"/>
    <n v="62.62"/>
    <n v="3219.66"/>
    <n v="1941.22"/>
    <n v="1278.4399999999998"/>
  </r>
  <r>
    <n v="2315"/>
    <d v="2024-03-19T00:00:00"/>
    <x v="0"/>
    <x v="2"/>
    <s v="Cloud Storage"/>
    <x v="7"/>
    <n v="1"/>
    <n v="69.459999999999994"/>
    <n v="41.27"/>
    <n v="69.459999999999994"/>
    <n v="41.27"/>
    <n v="28.189999999999991"/>
  </r>
  <r>
    <n v="2445"/>
    <d v="2024-03-19T00:00:00"/>
    <x v="0"/>
    <x v="0"/>
    <s v="Printer Paper"/>
    <x v="2"/>
    <n v="21"/>
    <n v="5.3"/>
    <n v="3.44"/>
    <n v="111.3"/>
    <n v="72.239999999999995"/>
    <n v="39.06"/>
  </r>
  <r>
    <n v="2467"/>
    <d v="2024-03-19T00:00:00"/>
    <x v="3"/>
    <x v="3"/>
    <s v="Office Desk"/>
    <x v="0"/>
    <n v="9"/>
    <n v="393.8"/>
    <n v="258.97000000000003"/>
    <n v="3544.2000000000003"/>
    <n v="2330.7300000000005"/>
    <n v="1213.4699999999998"/>
  </r>
  <r>
    <n v="1015"/>
    <d v="2024-03-21T00:00:00"/>
    <x v="3"/>
    <x v="2"/>
    <s v="Antivirus License"/>
    <x v="1"/>
    <n v="9"/>
    <n v="167.75"/>
    <n v="109.31"/>
    <n v="1509.75"/>
    <n v="983.79"/>
    <n v="525.96"/>
  </r>
  <r>
    <n v="1149"/>
    <d v="2024-03-22T00:00:00"/>
    <x v="4"/>
    <x v="3"/>
    <s v="Filing Cabinet"/>
    <x v="4"/>
    <n v="39"/>
    <n v="266.44"/>
    <n v="181.63"/>
    <n v="10391.16"/>
    <n v="7083.57"/>
    <n v="3307.59"/>
  </r>
  <r>
    <n v="1427"/>
    <d v="2024-03-22T00:00:00"/>
    <x v="0"/>
    <x v="0"/>
    <s v="Stapler"/>
    <x v="3"/>
    <n v="7"/>
    <n v="53.09"/>
    <n v="31.81"/>
    <n v="371.63"/>
    <n v="222.67"/>
    <n v="148.96"/>
  </r>
  <r>
    <n v="1434"/>
    <d v="2024-03-22T00:00:00"/>
    <x v="2"/>
    <x v="0"/>
    <s v="Desk Lamp"/>
    <x v="0"/>
    <n v="19"/>
    <n v="33.32"/>
    <n v="17.23"/>
    <n v="633.08000000000004"/>
    <n v="327.37"/>
    <n v="305.71000000000004"/>
  </r>
  <r>
    <n v="1451"/>
    <d v="2024-03-22T00:00:00"/>
    <x v="2"/>
    <x v="1"/>
    <s v="Headphones"/>
    <x v="6"/>
    <n v="24"/>
    <n v="727.17"/>
    <n v="497.08"/>
    <n v="17452.079999999998"/>
    <n v="11929.92"/>
    <n v="5522.159999999998"/>
  </r>
  <r>
    <n v="1773"/>
    <d v="2024-03-22T00:00:00"/>
    <x v="3"/>
    <x v="0"/>
    <s v="Printer Paper"/>
    <x v="4"/>
    <n v="19"/>
    <n v="24.42"/>
    <n v="16.64"/>
    <n v="463.98"/>
    <n v="316.16000000000003"/>
    <n v="147.82"/>
  </r>
  <r>
    <n v="2098"/>
    <d v="2024-03-22T00:00:00"/>
    <x v="2"/>
    <x v="1"/>
    <s v="Monitor"/>
    <x v="0"/>
    <n v="20"/>
    <n v="577.09"/>
    <n v="295.58999999999997"/>
    <n v="11541.800000000001"/>
    <n v="5911.7999999999993"/>
    <n v="5630.0000000000018"/>
  </r>
  <r>
    <n v="2260"/>
    <d v="2024-03-22T00:00:00"/>
    <x v="2"/>
    <x v="1"/>
    <s v="Laptop"/>
    <x v="5"/>
    <n v="38"/>
    <n v="707.96"/>
    <n v="523.77"/>
    <n v="26902.480000000003"/>
    <n v="19903.259999999998"/>
    <n v="6999.2200000000048"/>
  </r>
  <r>
    <n v="1213"/>
    <d v="2024-03-23T00:00:00"/>
    <x v="3"/>
    <x v="1"/>
    <s v="Keyboard"/>
    <x v="6"/>
    <n v="25"/>
    <n v="524.27"/>
    <n v="327.64999999999998"/>
    <n v="13106.75"/>
    <n v="8191.2499999999991"/>
    <n v="4915.5000000000009"/>
  </r>
  <r>
    <n v="1546"/>
    <d v="2024-03-23T00:00:00"/>
    <x v="2"/>
    <x v="3"/>
    <s v="Bookshelf"/>
    <x v="1"/>
    <n v="36"/>
    <n v="160.22"/>
    <n v="116.02"/>
    <n v="5767.92"/>
    <n v="4176.72"/>
    <n v="1591.1999999999998"/>
  </r>
  <r>
    <n v="1069"/>
    <d v="2024-03-24T00:00:00"/>
    <x v="0"/>
    <x v="0"/>
    <s v="Notebook"/>
    <x v="3"/>
    <n v="11"/>
    <n v="28.68"/>
    <n v="16"/>
    <n v="315.48"/>
    <n v="176"/>
    <n v="139.48000000000002"/>
  </r>
  <r>
    <n v="1131"/>
    <d v="2024-03-24T00:00:00"/>
    <x v="1"/>
    <x v="0"/>
    <s v="Printer Paper"/>
    <x v="0"/>
    <n v="26"/>
    <n v="43.4"/>
    <n v="28.68"/>
    <n v="1128.3999999999999"/>
    <n v="745.68"/>
    <n v="382.71999999999991"/>
  </r>
  <r>
    <n v="1139"/>
    <d v="2024-03-24T00:00:00"/>
    <x v="4"/>
    <x v="0"/>
    <s v="Desk Chair"/>
    <x v="5"/>
    <n v="7"/>
    <n v="40.049999999999997"/>
    <n v="22.9"/>
    <n v="280.34999999999997"/>
    <n v="160.29999999999998"/>
    <n v="120.04999999999998"/>
  </r>
  <r>
    <n v="2342"/>
    <d v="2024-03-24T00:00:00"/>
    <x v="2"/>
    <x v="2"/>
    <s v="Cloud Storage"/>
    <x v="1"/>
    <n v="25"/>
    <n v="234.22"/>
    <n v="129.12"/>
    <n v="5855.5"/>
    <n v="3228"/>
    <n v="2627.5"/>
  </r>
  <r>
    <n v="2530"/>
    <d v="2024-03-25T00:00:00"/>
    <x v="2"/>
    <x v="3"/>
    <s v="Office Desk"/>
    <x v="1"/>
    <n v="1"/>
    <n v="416.68"/>
    <n v="232.25"/>
    <n v="416.68"/>
    <n v="232.25"/>
    <n v="184.43"/>
  </r>
  <r>
    <n v="1428"/>
    <d v="2024-03-26T00:00:00"/>
    <x v="3"/>
    <x v="3"/>
    <s v="Bookshelf"/>
    <x v="3"/>
    <n v="25"/>
    <n v="199.35"/>
    <n v="106.22"/>
    <n v="4983.75"/>
    <n v="2655.5"/>
    <n v="2328.25"/>
  </r>
  <r>
    <n v="1618"/>
    <d v="2024-03-27T00:00:00"/>
    <x v="3"/>
    <x v="3"/>
    <s v="Office Desk"/>
    <x v="5"/>
    <n v="11"/>
    <n v="273.58"/>
    <n v="175.64"/>
    <n v="3009.3799999999997"/>
    <n v="1932.04"/>
    <n v="1077.3399999999997"/>
  </r>
  <r>
    <n v="1702"/>
    <d v="2024-03-27T00:00:00"/>
    <x v="1"/>
    <x v="3"/>
    <s v="Whiteboard"/>
    <x v="2"/>
    <n v="32"/>
    <n v="263.55"/>
    <n v="188.42"/>
    <n v="8433.6"/>
    <n v="6029.44"/>
    <n v="2404.1600000000008"/>
  </r>
  <r>
    <n v="1818"/>
    <d v="2024-03-27T00:00:00"/>
    <x v="3"/>
    <x v="3"/>
    <s v="Filing Cabinet"/>
    <x v="1"/>
    <n v="28"/>
    <n v="184.3"/>
    <n v="135.72999999999999"/>
    <n v="5160.4000000000005"/>
    <n v="3800.4399999999996"/>
    <n v="1359.9600000000009"/>
  </r>
  <r>
    <n v="1870"/>
    <d v="2024-03-27T00:00:00"/>
    <x v="3"/>
    <x v="0"/>
    <s v="Notebook"/>
    <x v="6"/>
    <n v="34"/>
    <n v="13.34"/>
    <n v="8.9600000000000009"/>
    <n v="453.56"/>
    <n v="304.64000000000004"/>
    <n v="148.91999999999996"/>
  </r>
  <r>
    <n v="1067"/>
    <d v="2024-03-28T00:00:00"/>
    <x v="0"/>
    <x v="1"/>
    <s v="Webcam"/>
    <x v="6"/>
    <n v="39"/>
    <n v="560.75"/>
    <n v="407.74"/>
    <n v="21869.25"/>
    <n v="15901.86"/>
    <n v="5967.3899999999994"/>
  </r>
  <r>
    <n v="1219"/>
    <d v="2024-03-28T00:00:00"/>
    <x v="1"/>
    <x v="3"/>
    <s v="Bookshelf"/>
    <x v="3"/>
    <n v="6"/>
    <n v="409.23"/>
    <n v="244.48"/>
    <n v="2455.38"/>
    <n v="1466.8799999999999"/>
    <n v="988.50000000000023"/>
  </r>
  <r>
    <n v="2564"/>
    <d v="2024-03-28T00:00:00"/>
    <x v="2"/>
    <x v="2"/>
    <s v="Antivirus License"/>
    <x v="6"/>
    <n v="15"/>
    <n v="284.64"/>
    <n v="149.94"/>
    <n v="4269.5999999999995"/>
    <n v="2249.1"/>
    <n v="2020.4999999999995"/>
  </r>
  <r>
    <n v="1492"/>
    <d v="2024-03-30T00:00:00"/>
    <x v="3"/>
    <x v="1"/>
    <s v="Keyboard"/>
    <x v="1"/>
    <n v="11"/>
    <n v="624.55999999999995"/>
    <n v="435.21"/>
    <n v="6870.16"/>
    <n v="4787.3099999999995"/>
    <n v="2082.8500000000004"/>
  </r>
  <r>
    <n v="1471"/>
    <d v="2024-03-31T00:00:00"/>
    <x v="0"/>
    <x v="0"/>
    <s v="Desk Lamp"/>
    <x v="4"/>
    <n v="36"/>
    <n v="4.22"/>
    <n v="2.46"/>
    <n v="151.91999999999999"/>
    <n v="88.56"/>
    <n v="63.359999999999985"/>
  </r>
  <r>
    <n v="2664"/>
    <d v="2024-03-31T00:00:00"/>
    <x v="1"/>
    <x v="0"/>
    <s v="Stapler"/>
    <x v="7"/>
    <n v="20"/>
    <n v="7.71"/>
    <n v="3.99"/>
    <n v="154.19999999999999"/>
    <n v="79.800000000000011"/>
    <n v="74.399999999999977"/>
  </r>
  <r>
    <n v="1642"/>
    <d v="2024-04-01T00:00:00"/>
    <x v="2"/>
    <x v="0"/>
    <s v="Printer Paper"/>
    <x v="1"/>
    <n v="4"/>
    <n v="27.45"/>
    <n v="16.25"/>
    <n v="109.8"/>
    <n v="65"/>
    <n v="44.8"/>
  </r>
  <r>
    <n v="1892"/>
    <d v="2024-04-01T00:00:00"/>
    <x v="3"/>
    <x v="0"/>
    <s v="Stapler"/>
    <x v="0"/>
    <n v="31"/>
    <n v="46.5"/>
    <n v="34.18"/>
    <n v="1441.5"/>
    <n v="1059.58"/>
    <n v="381.92000000000007"/>
  </r>
  <r>
    <n v="1087"/>
    <d v="2024-04-02T00:00:00"/>
    <x v="2"/>
    <x v="1"/>
    <s v="Laptop"/>
    <x v="4"/>
    <n v="11"/>
    <n v="642.96"/>
    <n v="368.64"/>
    <n v="7072.56"/>
    <n v="4055.04"/>
    <n v="3017.5200000000004"/>
  </r>
  <r>
    <n v="1127"/>
    <d v="2024-04-02T00:00:00"/>
    <x v="1"/>
    <x v="2"/>
    <s v="Cloud Storage"/>
    <x v="2"/>
    <n v="29"/>
    <n v="189.4"/>
    <n v="118.44"/>
    <n v="5492.6"/>
    <n v="3434.7599999999998"/>
    <n v="2057.8400000000006"/>
  </r>
  <r>
    <n v="1631"/>
    <d v="2024-04-02T00:00:00"/>
    <x v="0"/>
    <x v="1"/>
    <s v="Headphones"/>
    <x v="5"/>
    <n v="38"/>
    <n v="679.28"/>
    <n v="376.66"/>
    <n v="25812.639999999999"/>
    <n v="14313.080000000002"/>
    <n v="11499.559999999998"/>
  </r>
  <r>
    <n v="2539"/>
    <d v="2024-04-02T00:00:00"/>
    <x v="1"/>
    <x v="2"/>
    <s v="Cloud Storage"/>
    <x v="7"/>
    <n v="7"/>
    <n v="143.07"/>
    <n v="75.86"/>
    <n v="1001.49"/>
    <n v="531.02"/>
    <n v="470.47"/>
  </r>
  <r>
    <n v="2651"/>
    <d v="2024-04-02T00:00:00"/>
    <x v="0"/>
    <x v="2"/>
    <s v="Design Tool"/>
    <x v="6"/>
    <n v="39"/>
    <n v="243.23"/>
    <n v="160.83000000000001"/>
    <n v="9485.9699999999993"/>
    <n v="6272.3700000000008"/>
    <n v="3213.5999999999985"/>
  </r>
  <r>
    <n v="2510"/>
    <d v="2024-04-03T00:00:00"/>
    <x v="4"/>
    <x v="0"/>
    <s v="Notebook"/>
    <x v="6"/>
    <n v="29"/>
    <n v="14.17"/>
    <n v="7.18"/>
    <n v="410.93"/>
    <n v="208.22"/>
    <n v="202.71"/>
  </r>
  <r>
    <n v="2737"/>
    <d v="2024-04-03T00:00:00"/>
    <x v="3"/>
    <x v="2"/>
    <s v="Antivirus License"/>
    <x v="1"/>
    <n v="25"/>
    <n v="161.59"/>
    <n v="87.19"/>
    <n v="4039.75"/>
    <n v="2179.75"/>
    <n v="1860"/>
  </r>
  <r>
    <n v="1786"/>
    <d v="2024-04-04T00:00:00"/>
    <x v="2"/>
    <x v="2"/>
    <s v="Antivirus License"/>
    <x v="7"/>
    <n v="28"/>
    <n v="160.18"/>
    <n v="101.44"/>
    <n v="4485.04"/>
    <n v="2840.3199999999997"/>
    <n v="1644.7200000000003"/>
  </r>
  <r>
    <n v="1938"/>
    <d v="2024-04-04T00:00:00"/>
    <x v="4"/>
    <x v="3"/>
    <s v="Office Desk"/>
    <x v="5"/>
    <n v="36"/>
    <n v="351.8"/>
    <n v="237.02"/>
    <n v="12664.800000000001"/>
    <n v="8532.7200000000012"/>
    <n v="4132.08"/>
  </r>
  <r>
    <n v="2281"/>
    <d v="2024-04-04T00:00:00"/>
    <x v="4"/>
    <x v="3"/>
    <s v="Filing Cabinet"/>
    <x v="3"/>
    <n v="27"/>
    <n v="248.24"/>
    <n v="149.96"/>
    <n v="6702.4800000000005"/>
    <n v="4048.92"/>
    <n v="2653.5600000000004"/>
  </r>
  <r>
    <n v="2311"/>
    <d v="2024-04-04T00:00:00"/>
    <x v="3"/>
    <x v="0"/>
    <s v="Desk Chair"/>
    <x v="4"/>
    <n v="25"/>
    <n v="16.760000000000002"/>
    <n v="9.68"/>
    <n v="419.00000000000006"/>
    <n v="242"/>
    <n v="177.00000000000006"/>
  </r>
  <r>
    <n v="1932"/>
    <d v="2024-04-07T00:00:00"/>
    <x v="2"/>
    <x v="3"/>
    <s v="Filing Cabinet"/>
    <x v="5"/>
    <n v="23"/>
    <n v="211.53"/>
    <n v="126.57"/>
    <n v="4865.1899999999996"/>
    <n v="2911.1099999999997"/>
    <n v="1954.08"/>
  </r>
  <r>
    <n v="2165"/>
    <d v="2024-04-07T00:00:00"/>
    <x v="2"/>
    <x v="3"/>
    <s v="Office Desk"/>
    <x v="7"/>
    <n v="15"/>
    <n v="206.47"/>
    <n v="127.09"/>
    <n v="3097.05"/>
    <n v="1906.3500000000001"/>
    <n v="1190.7"/>
  </r>
  <r>
    <n v="2265"/>
    <d v="2024-04-07T00:00:00"/>
    <x v="3"/>
    <x v="2"/>
    <s v="Cloud Storage"/>
    <x v="1"/>
    <n v="18"/>
    <n v="104.99"/>
    <n v="77.569999999999993"/>
    <n v="1889.82"/>
    <n v="1396.2599999999998"/>
    <n v="493.56000000000017"/>
  </r>
  <r>
    <n v="1767"/>
    <d v="2024-04-08T00:00:00"/>
    <x v="0"/>
    <x v="0"/>
    <s v="Desk Chair"/>
    <x v="6"/>
    <n v="33"/>
    <n v="21.65"/>
    <n v="11.95"/>
    <n v="714.44999999999993"/>
    <n v="394.34999999999997"/>
    <n v="320.09999999999997"/>
  </r>
  <r>
    <n v="2698"/>
    <d v="2024-04-08T00:00:00"/>
    <x v="1"/>
    <x v="0"/>
    <s v="Notebook"/>
    <x v="4"/>
    <n v="11"/>
    <n v="13.13"/>
    <n v="6.98"/>
    <n v="144.43"/>
    <n v="76.78"/>
    <n v="67.650000000000006"/>
  </r>
  <r>
    <n v="1004"/>
    <d v="2024-04-09T00:00:00"/>
    <x v="4"/>
    <x v="3"/>
    <s v="Filing Cabinet"/>
    <x v="2"/>
    <n v="30"/>
    <n v="238.98"/>
    <n v="169.04"/>
    <n v="7169.4"/>
    <n v="5071.2"/>
    <n v="2098.1999999999998"/>
  </r>
  <r>
    <n v="1165"/>
    <d v="2024-04-09T00:00:00"/>
    <x v="3"/>
    <x v="3"/>
    <s v="Whiteboard"/>
    <x v="6"/>
    <n v="16"/>
    <n v="421.66"/>
    <n v="286.85000000000002"/>
    <n v="6746.56"/>
    <n v="4589.6000000000004"/>
    <n v="2156.96"/>
  </r>
  <r>
    <n v="2101"/>
    <d v="2024-04-09T00:00:00"/>
    <x v="0"/>
    <x v="0"/>
    <s v="Desk Chair"/>
    <x v="5"/>
    <n v="15"/>
    <n v="19.41"/>
    <n v="12.56"/>
    <n v="291.14999999999998"/>
    <n v="188.4"/>
    <n v="102.74999999999997"/>
  </r>
  <r>
    <n v="1206"/>
    <d v="2024-04-10T00:00:00"/>
    <x v="2"/>
    <x v="3"/>
    <s v="Bookshelf"/>
    <x v="5"/>
    <n v="21"/>
    <n v="172.94"/>
    <n v="97.74"/>
    <n v="3631.74"/>
    <n v="2052.54"/>
    <n v="1579.1999999999998"/>
  </r>
  <r>
    <n v="1505"/>
    <d v="2024-04-10T00:00:00"/>
    <x v="1"/>
    <x v="0"/>
    <s v="Notebook"/>
    <x v="2"/>
    <n v="30"/>
    <n v="52.29"/>
    <n v="26.72"/>
    <n v="1568.7"/>
    <n v="801.59999999999991"/>
    <n v="767.10000000000014"/>
  </r>
  <r>
    <n v="1944"/>
    <d v="2024-04-10T00:00:00"/>
    <x v="3"/>
    <x v="2"/>
    <s v="Cloud Storage"/>
    <x v="7"/>
    <n v="19"/>
    <n v="190.09"/>
    <n v="119.69"/>
    <n v="3611.71"/>
    <n v="2274.11"/>
    <n v="1337.6"/>
  </r>
  <r>
    <n v="1820"/>
    <d v="2024-04-11T00:00:00"/>
    <x v="3"/>
    <x v="0"/>
    <s v="Desk Chair"/>
    <x v="7"/>
    <n v="10"/>
    <n v="50.46"/>
    <n v="27.96"/>
    <n v="504.6"/>
    <n v="279.60000000000002"/>
    <n v="225"/>
  </r>
  <r>
    <n v="2157"/>
    <d v="2024-04-12T00:00:00"/>
    <x v="4"/>
    <x v="3"/>
    <s v="Filing Cabinet"/>
    <x v="3"/>
    <n v="28"/>
    <n v="176.33"/>
    <n v="116.84"/>
    <n v="4937.2400000000007"/>
    <n v="3271.52"/>
    <n v="1665.7200000000007"/>
  </r>
  <r>
    <n v="2405"/>
    <d v="2024-04-12T00:00:00"/>
    <x v="4"/>
    <x v="1"/>
    <s v="Laptop"/>
    <x v="0"/>
    <n v="22"/>
    <n v="327.38"/>
    <n v="170.14"/>
    <n v="7202.36"/>
    <n v="3743.08"/>
    <n v="3459.2799999999997"/>
  </r>
  <r>
    <n v="2430"/>
    <d v="2024-04-12T00:00:00"/>
    <x v="3"/>
    <x v="0"/>
    <s v="Desk Lamp"/>
    <x v="0"/>
    <n v="1"/>
    <n v="22.89"/>
    <n v="15.43"/>
    <n v="22.89"/>
    <n v="15.43"/>
    <n v="7.4600000000000009"/>
  </r>
  <r>
    <n v="2617"/>
    <d v="2024-04-12T00:00:00"/>
    <x v="3"/>
    <x v="3"/>
    <s v="Filing Cabinet"/>
    <x v="6"/>
    <n v="4"/>
    <n v="305.48"/>
    <n v="197.71"/>
    <n v="1221.92"/>
    <n v="790.84"/>
    <n v="431.08000000000004"/>
  </r>
  <r>
    <n v="1792"/>
    <d v="2024-04-13T00:00:00"/>
    <x v="3"/>
    <x v="1"/>
    <s v="Headphones"/>
    <x v="2"/>
    <n v="38"/>
    <n v="722.93"/>
    <n v="429.36"/>
    <n v="27471.339999999997"/>
    <n v="16315.68"/>
    <n v="11155.659999999996"/>
  </r>
  <r>
    <n v="2017"/>
    <d v="2024-04-13T00:00:00"/>
    <x v="0"/>
    <x v="1"/>
    <s v="Keyboard"/>
    <x v="2"/>
    <n v="11"/>
    <n v="891.54"/>
    <n v="647.32000000000005"/>
    <n v="9806.9399999999987"/>
    <n v="7120.52"/>
    <n v="2686.4199999999983"/>
  </r>
  <r>
    <n v="2089"/>
    <d v="2024-04-13T00:00:00"/>
    <x v="2"/>
    <x v="1"/>
    <s v="Monitor"/>
    <x v="5"/>
    <n v="9"/>
    <n v="542.73"/>
    <n v="401.61"/>
    <n v="4884.57"/>
    <n v="3614.4900000000002"/>
    <n v="1270.0799999999995"/>
  </r>
  <r>
    <n v="2361"/>
    <d v="2024-04-13T00:00:00"/>
    <x v="0"/>
    <x v="3"/>
    <s v="Office Desk"/>
    <x v="2"/>
    <n v="33"/>
    <n v="90.14"/>
    <n v="63.06"/>
    <n v="2974.62"/>
    <n v="2080.98"/>
    <n v="893.63999999999987"/>
  </r>
  <r>
    <n v="2542"/>
    <d v="2024-04-13T00:00:00"/>
    <x v="2"/>
    <x v="3"/>
    <s v="Office Desk"/>
    <x v="0"/>
    <n v="16"/>
    <n v="456.62"/>
    <n v="269.83"/>
    <n v="7305.92"/>
    <n v="4317.28"/>
    <n v="2988.6400000000003"/>
  </r>
  <r>
    <n v="1245"/>
    <d v="2024-04-14T00:00:00"/>
    <x v="0"/>
    <x v="3"/>
    <s v="Office Desk"/>
    <x v="4"/>
    <n v="17"/>
    <n v="264.41000000000003"/>
    <n v="183.48"/>
    <n v="4494.97"/>
    <n v="3119.16"/>
    <n v="1375.8100000000004"/>
  </r>
  <r>
    <n v="1281"/>
    <d v="2024-04-14T00:00:00"/>
    <x v="0"/>
    <x v="1"/>
    <s v="Laptop"/>
    <x v="2"/>
    <n v="15"/>
    <n v="169.8"/>
    <n v="112.27"/>
    <n v="2547"/>
    <n v="1684.05"/>
    <n v="862.95"/>
  </r>
  <r>
    <n v="1770"/>
    <d v="2024-04-14T00:00:00"/>
    <x v="1"/>
    <x v="0"/>
    <s v="Printer Paper"/>
    <x v="3"/>
    <n v="39"/>
    <n v="38.96"/>
    <n v="26.99"/>
    <n v="1519.44"/>
    <n v="1052.6099999999999"/>
    <n v="466.83000000000015"/>
  </r>
  <r>
    <n v="2459"/>
    <d v="2024-04-14T00:00:00"/>
    <x v="3"/>
    <x v="1"/>
    <s v="Webcam"/>
    <x v="4"/>
    <n v="34"/>
    <n v="451.82"/>
    <n v="336.11"/>
    <n v="15361.88"/>
    <n v="11427.74"/>
    <n v="3934.1399999999994"/>
  </r>
  <r>
    <n v="1514"/>
    <d v="2024-04-15T00:00:00"/>
    <x v="2"/>
    <x v="1"/>
    <s v="Headphones"/>
    <x v="3"/>
    <n v="20"/>
    <n v="507.51"/>
    <n v="323.27999999999997"/>
    <n v="10150.200000000001"/>
    <n v="6465.5999999999995"/>
    <n v="3684.6000000000013"/>
  </r>
  <r>
    <n v="2179"/>
    <d v="2024-04-15T00:00:00"/>
    <x v="1"/>
    <x v="2"/>
    <s v="Office Suite"/>
    <x v="4"/>
    <n v="20"/>
    <n v="63.03"/>
    <n v="45.39"/>
    <n v="1260.5999999999999"/>
    <n v="907.8"/>
    <n v="352.79999999999995"/>
  </r>
  <r>
    <n v="1978"/>
    <d v="2024-04-17T00:00:00"/>
    <x v="0"/>
    <x v="2"/>
    <s v="Cloud Storage"/>
    <x v="3"/>
    <n v="4"/>
    <n v="40.409999999999997"/>
    <n v="27.92"/>
    <n v="161.63999999999999"/>
    <n v="111.68"/>
    <n v="49.95999999999998"/>
  </r>
  <r>
    <n v="2077"/>
    <d v="2024-04-17T00:00:00"/>
    <x v="4"/>
    <x v="1"/>
    <s v="Monitor"/>
    <x v="6"/>
    <n v="31"/>
    <n v="341.16"/>
    <n v="196.7"/>
    <n v="10575.960000000001"/>
    <n v="6097.7"/>
    <n v="4478.2600000000011"/>
  </r>
  <r>
    <n v="1542"/>
    <d v="2024-04-18T00:00:00"/>
    <x v="2"/>
    <x v="3"/>
    <s v="Office Desk"/>
    <x v="2"/>
    <n v="5"/>
    <n v="406.44"/>
    <n v="253.79"/>
    <n v="2032.2"/>
    <n v="1268.95"/>
    <n v="763.25"/>
  </r>
  <r>
    <n v="1866"/>
    <d v="2024-04-18T00:00:00"/>
    <x v="1"/>
    <x v="3"/>
    <s v="Office Desk"/>
    <x v="7"/>
    <n v="9"/>
    <n v="266.62"/>
    <n v="155.41999999999999"/>
    <n v="2399.58"/>
    <n v="1398.78"/>
    <n v="1000.8"/>
  </r>
  <r>
    <n v="1044"/>
    <d v="2024-04-19T00:00:00"/>
    <x v="2"/>
    <x v="0"/>
    <s v="Notebook"/>
    <x v="4"/>
    <n v="4"/>
    <n v="55.3"/>
    <n v="34.07"/>
    <n v="221.2"/>
    <n v="136.28"/>
    <n v="84.919999999999987"/>
  </r>
  <r>
    <n v="1632"/>
    <d v="2024-04-19T00:00:00"/>
    <x v="0"/>
    <x v="0"/>
    <s v="Printer Paper"/>
    <x v="4"/>
    <n v="27"/>
    <n v="36.6"/>
    <n v="26.98"/>
    <n v="988.2"/>
    <n v="728.46"/>
    <n v="259.74"/>
  </r>
  <r>
    <n v="2140"/>
    <d v="2024-04-19T00:00:00"/>
    <x v="3"/>
    <x v="0"/>
    <s v="Notebook"/>
    <x v="5"/>
    <n v="31"/>
    <n v="36.799999999999997"/>
    <n v="25.59"/>
    <n v="1140.8"/>
    <n v="793.29"/>
    <n v="347.51"/>
  </r>
  <r>
    <n v="2523"/>
    <d v="2024-04-19T00:00:00"/>
    <x v="0"/>
    <x v="0"/>
    <s v="Printer Paper"/>
    <x v="7"/>
    <n v="27"/>
    <n v="51.21"/>
    <n v="31.06"/>
    <n v="1382.67"/>
    <n v="838.62"/>
    <n v="544.05000000000007"/>
  </r>
  <r>
    <n v="1168"/>
    <d v="2024-04-20T00:00:00"/>
    <x v="2"/>
    <x v="0"/>
    <s v="Printer Paper"/>
    <x v="5"/>
    <n v="26"/>
    <n v="25.83"/>
    <n v="16.489999999999998"/>
    <n v="671.57999999999993"/>
    <n v="428.73999999999995"/>
    <n v="242.83999999999997"/>
  </r>
  <r>
    <n v="1470"/>
    <d v="2024-04-20T00:00:00"/>
    <x v="3"/>
    <x v="3"/>
    <s v="Whiteboard"/>
    <x v="7"/>
    <n v="25"/>
    <n v="459.63"/>
    <n v="298.43"/>
    <n v="11490.75"/>
    <n v="7460.75"/>
    <n v="4030"/>
  </r>
  <r>
    <n v="2080"/>
    <d v="2024-04-20T00:00:00"/>
    <x v="2"/>
    <x v="2"/>
    <s v="Design Tool"/>
    <x v="6"/>
    <n v="38"/>
    <n v="268.25"/>
    <n v="198.86"/>
    <n v="10193.5"/>
    <n v="7556.68"/>
    <n v="2636.8199999999997"/>
  </r>
  <r>
    <n v="2779"/>
    <d v="2024-04-20T00:00:00"/>
    <x v="0"/>
    <x v="0"/>
    <s v="Desk Chair"/>
    <x v="7"/>
    <n v="2"/>
    <n v="17.46"/>
    <n v="11.75"/>
    <n v="34.92"/>
    <n v="23.5"/>
    <n v="11.420000000000002"/>
  </r>
  <r>
    <n v="1517"/>
    <d v="2024-04-21T00:00:00"/>
    <x v="1"/>
    <x v="2"/>
    <s v="Design Tool"/>
    <x v="4"/>
    <n v="4"/>
    <n v="272.91000000000003"/>
    <n v="179.86"/>
    <n v="1091.6400000000001"/>
    <n v="719.44"/>
    <n v="372.20000000000005"/>
  </r>
  <r>
    <n v="1839"/>
    <d v="2024-04-21T00:00:00"/>
    <x v="2"/>
    <x v="2"/>
    <s v="Office Suite"/>
    <x v="1"/>
    <n v="23"/>
    <n v="218.58"/>
    <n v="115.34"/>
    <n v="5027.34"/>
    <n v="2652.82"/>
    <n v="2374.52"/>
  </r>
  <r>
    <n v="1945"/>
    <d v="2024-04-21T00:00:00"/>
    <x v="3"/>
    <x v="0"/>
    <s v="Desk Chair"/>
    <x v="7"/>
    <n v="8"/>
    <n v="5.03"/>
    <n v="2.64"/>
    <n v="40.24"/>
    <n v="21.12"/>
    <n v="19.12"/>
  </r>
  <r>
    <n v="2660"/>
    <d v="2024-04-21T00:00:00"/>
    <x v="3"/>
    <x v="3"/>
    <s v="Bookshelf"/>
    <x v="6"/>
    <n v="6"/>
    <n v="232.35"/>
    <n v="166.26"/>
    <n v="1394.1"/>
    <n v="997.56"/>
    <n v="396.53999999999996"/>
  </r>
  <r>
    <n v="2551"/>
    <d v="2024-04-22T00:00:00"/>
    <x v="2"/>
    <x v="1"/>
    <s v="Headphones"/>
    <x v="1"/>
    <n v="14"/>
    <n v="792.49"/>
    <n v="550.57000000000005"/>
    <n v="11094.86"/>
    <n v="7707.9800000000005"/>
    <n v="3386.88"/>
  </r>
  <r>
    <n v="1539"/>
    <d v="2024-04-23T00:00:00"/>
    <x v="0"/>
    <x v="3"/>
    <s v="Filing Cabinet"/>
    <x v="4"/>
    <n v="5"/>
    <n v="196.08"/>
    <n v="142.32"/>
    <n v="980.40000000000009"/>
    <n v="711.59999999999991"/>
    <n v="268.80000000000018"/>
  </r>
  <r>
    <n v="2142"/>
    <d v="2024-04-23T00:00:00"/>
    <x v="2"/>
    <x v="0"/>
    <s v="Desk Chair"/>
    <x v="5"/>
    <n v="27"/>
    <n v="52.82"/>
    <n v="33.83"/>
    <n v="1426.14"/>
    <n v="913.41"/>
    <n v="512.73000000000013"/>
  </r>
  <r>
    <n v="2171"/>
    <d v="2024-04-23T00:00:00"/>
    <x v="3"/>
    <x v="3"/>
    <s v="Bookshelf"/>
    <x v="5"/>
    <n v="20"/>
    <n v="474.61"/>
    <n v="352.6"/>
    <n v="9492.2000000000007"/>
    <n v="7052"/>
    <n v="2440.2000000000007"/>
  </r>
  <r>
    <n v="1261"/>
    <d v="2024-04-25T00:00:00"/>
    <x v="0"/>
    <x v="2"/>
    <s v="Antivirus License"/>
    <x v="2"/>
    <n v="24"/>
    <n v="179.15"/>
    <n v="105.94"/>
    <n v="4299.6000000000004"/>
    <n v="2542.56"/>
    <n v="1757.0400000000004"/>
  </r>
  <r>
    <n v="2793"/>
    <d v="2024-04-25T00:00:00"/>
    <x v="2"/>
    <x v="0"/>
    <s v="Stapler"/>
    <x v="5"/>
    <n v="17"/>
    <n v="39.82"/>
    <n v="21.85"/>
    <n v="676.94"/>
    <n v="371.45000000000005"/>
    <n v="305.49"/>
  </r>
  <r>
    <n v="1153"/>
    <d v="2024-04-26T00:00:00"/>
    <x v="3"/>
    <x v="0"/>
    <s v="Stapler"/>
    <x v="6"/>
    <n v="36"/>
    <n v="47.17"/>
    <n v="30.8"/>
    <n v="1698.1200000000001"/>
    <n v="1108.8"/>
    <n v="589.32000000000016"/>
  </r>
  <r>
    <n v="1627"/>
    <d v="2024-04-26T00:00:00"/>
    <x v="0"/>
    <x v="0"/>
    <s v="Desk Chair"/>
    <x v="7"/>
    <n v="20"/>
    <n v="34.909999999999997"/>
    <n v="17.78"/>
    <n v="698.19999999999993"/>
    <n v="355.6"/>
    <n v="342.59999999999991"/>
  </r>
  <r>
    <n v="2582"/>
    <d v="2024-04-26T00:00:00"/>
    <x v="1"/>
    <x v="2"/>
    <s v="Antivirus License"/>
    <x v="3"/>
    <n v="17"/>
    <n v="204.89"/>
    <n v="103.79"/>
    <n v="3483.1299999999997"/>
    <n v="1764.43"/>
    <n v="1718.6999999999996"/>
  </r>
  <r>
    <n v="1508"/>
    <d v="2024-04-27T00:00:00"/>
    <x v="3"/>
    <x v="1"/>
    <s v="Monitor"/>
    <x v="5"/>
    <n v="36"/>
    <n v="327.52999999999997"/>
    <n v="183.81"/>
    <n v="11791.079999999998"/>
    <n v="6617.16"/>
    <n v="5173.9199999999983"/>
  </r>
  <r>
    <n v="1706"/>
    <d v="2024-04-27T00:00:00"/>
    <x v="4"/>
    <x v="1"/>
    <s v="Headphones"/>
    <x v="4"/>
    <n v="36"/>
    <n v="401.94"/>
    <n v="290.02"/>
    <n v="14469.84"/>
    <n v="10440.719999999999"/>
    <n v="4029.1200000000008"/>
  </r>
  <r>
    <n v="2770"/>
    <d v="2024-04-27T00:00:00"/>
    <x v="0"/>
    <x v="2"/>
    <s v="Design Tool"/>
    <x v="6"/>
    <n v="23"/>
    <n v="183.06"/>
    <n v="120.27"/>
    <n v="4210.38"/>
    <n v="2766.21"/>
    <n v="1444.17"/>
  </r>
  <r>
    <n v="1803"/>
    <d v="2024-04-28T00:00:00"/>
    <x v="1"/>
    <x v="3"/>
    <s v="Bookshelf"/>
    <x v="5"/>
    <n v="25"/>
    <n v="105.99"/>
    <n v="75.44"/>
    <n v="2649.75"/>
    <n v="1886"/>
    <n v="763.75"/>
  </r>
  <r>
    <n v="2647"/>
    <d v="2024-05-01T00:00:00"/>
    <x v="2"/>
    <x v="2"/>
    <s v="Antivirus License"/>
    <x v="5"/>
    <n v="2"/>
    <n v="146.99"/>
    <n v="76.34"/>
    <n v="293.98"/>
    <n v="152.68"/>
    <n v="141.30000000000001"/>
  </r>
  <r>
    <n v="1025"/>
    <d v="2024-05-02T00:00:00"/>
    <x v="1"/>
    <x v="0"/>
    <s v="Desk Lamp"/>
    <x v="2"/>
    <n v="40"/>
    <n v="40.47"/>
    <n v="22.87"/>
    <n v="1618.8"/>
    <n v="914.80000000000007"/>
    <n v="703.99999999999989"/>
  </r>
  <r>
    <n v="1279"/>
    <d v="2024-05-02T00:00:00"/>
    <x v="3"/>
    <x v="0"/>
    <s v="Printer Paper"/>
    <x v="2"/>
    <n v="14"/>
    <n v="21.68"/>
    <n v="12.77"/>
    <n v="303.52"/>
    <n v="178.78"/>
    <n v="124.73999999999998"/>
  </r>
  <r>
    <n v="1930"/>
    <d v="2024-05-02T00:00:00"/>
    <x v="3"/>
    <x v="2"/>
    <s v="Office Suite"/>
    <x v="5"/>
    <n v="38"/>
    <n v="200.23"/>
    <n v="142.97"/>
    <n v="7608.74"/>
    <n v="5432.86"/>
    <n v="2175.88"/>
  </r>
  <r>
    <n v="2464"/>
    <d v="2024-05-02T00:00:00"/>
    <x v="2"/>
    <x v="1"/>
    <s v="Webcam"/>
    <x v="7"/>
    <n v="26"/>
    <n v="369.04"/>
    <n v="213.23"/>
    <n v="9595.0400000000009"/>
    <n v="5543.98"/>
    <n v="4051.0600000000013"/>
  </r>
  <r>
    <n v="1308"/>
    <d v="2024-05-03T00:00:00"/>
    <x v="2"/>
    <x v="0"/>
    <s v="Notebook"/>
    <x v="7"/>
    <n v="13"/>
    <n v="27.13"/>
    <n v="20.329999999999998"/>
    <n v="352.69"/>
    <n v="264.28999999999996"/>
    <n v="88.400000000000034"/>
  </r>
  <r>
    <n v="2210"/>
    <d v="2024-05-03T00:00:00"/>
    <x v="4"/>
    <x v="3"/>
    <s v="Office Desk"/>
    <x v="5"/>
    <n v="12"/>
    <n v="121.88"/>
    <n v="65.67"/>
    <n v="1462.56"/>
    <n v="788.04"/>
    <n v="674.52"/>
  </r>
  <r>
    <n v="2485"/>
    <d v="2024-05-03T00:00:00"/>
    <x v="4"/>
    <x v="0"/>
    <s v="Printer Paper"/>
    <x v="6"/>
    <n v="35"/>
    <n v="36.49"/>
    <n v="20.73"/>
    <n v="1277.1500000000001"/>
    <n v="725.55000000000007"/>
    <n v="551.6"/>
  </r>
  <r>
    <n v="1635"/>
    <d v="2024-05-04T00:00:00"/>
    <x v="1"/>
    <x v="0"/>
    <s v="Stapler"/>
    <x v="6"/>
    <n v="1"/>
    <n v="25.4"/>
    <n v="13.27"/>
    <n v="25.4"/>
    <n v="13.27"/>
    <n v="12.129999999999999"/>
  </r>
  <r>
    <n v="2725"/>
    <d v="2024-05-04T00:00:00"/>
    <x v="2"/>
    <x v="3"/>
    <s v="Bookshelf"/>
    <x v="1"/>
    <n v="8"/>
    <n v="267.58999999999997"/>
    <n v="171.06"/>
    <n v="2140.7199999999998"/>
    <n v="1368.48"/>
    <n v="772.23999999999978"/>
  </r>
  <r>
    <n v="2733"/>
    <d v="2024-05-04T00:00:00"/>
    <x v="0"/>
    <x v="2"/>
    <s v="Design Tool"/>
    <x v="5"/>
    <n v="10"/>
    <n v="27.5"/>
    <n v="18.18"/>
    <n v="275"/>
    <n v="181.8"/>
    <n v="93.199999999999989"/>
  </r>
  <r>
    <n v="2447"/>
    <d v="2024-05-05T00:00:00"/>
    <x v="0"/>
    <x v="2"/>
    <s v="Office Suite"/>
    <x v="0"/>
    <n v="33"/>
    <n v="122.54"/>
    <n v="86.44"/>
    <n v="4043.82"/>
    <n v="2852.52"/>
    <n v="1191.3000000000002"/>
  </r>
  <r>
    <n v="1601"/>
    <d v="2024-05-06T00:00:00"/>
    <x v="1"/>
    <x v="0"/>
    <s v="Desk Lamp"/>
    <x v="7"/>
    <n v="12"/>
    <n v="4.67"/>
    <n v="2.66"/>
    <n v="56.04"/>
    <n v="31.92"/>
    <n v="24.119999999999997"/>
  </r>
  <r>
    <n v="2041"/>
    <d v="2024-05-06T00:00:00"/>
    <x v="2"/>
    <x v="2"/>
    <s v="Office Suite"/>
    <x v="0"/>
    <n v="6"/>
    <n v="225.14"/>
    <n v="113.7"/>
    <n v="1350.84"/>
    <n v="682.2"/>
    <n v="668.63999999999987"/>
  </r>
  <r>
    <n v="1824"/>
    <d v="2024-05-07T00:00:00"/>
    <x v="1"/>
    <x v="1"/>
    <s v="Webcam"/>
    <x v="6"/>
    <n v="5"/>
    <n v="336.66"/>
    <n v="180.65"/>
    <n v="1683.3000000000002"/>
    <n v="903.25"/>
    <n v="780.05000000000018"/>
  </r>
  <r>
    <n v="1882"/>
    <d v="2024-05-08T00:00:00"/>
    <x v="0"/>
    <x v="2"/>
    <s v="Antivirus License"/>
    <x v="7"/>
    <n v="26"/>
    <n v="255.68"/>
    <n v="180.03"/>
    <n v="6647.68"/>
    <n v="4680.78"/>
    <n v="1966.9000000000005"/>
  </r>
  <r>
    <n v="1965"/>
    <d v="2024-05-08T00:00:00"/>
    <x v="2"/>
    <x v="1"/>
    <s v="Keyboard"/>
    <x v="4"/>
    <n v="4"/>
    <n v="131.11000000000001"/>
    <n v="85.04"/>
    <n v="524.44000000000005"/>
    <n v="340.16"/>
    <n v="184.28000000000003"/>
  </r>
  <r>
    <n v="2015"/>
    <d v="2024-05-08T00:00:00"/>
    <x v="1"/>
    <x v="0"/>
    <s v="Stapler"/>
    <x v="1"/>
    <n v="39"/>
    <n v="19.350000000000001"/>
    <n v="11.71"/>
    <n v="754.65000000000009"/>
    <n v="456.69000000000005"/>
    <n v="297.96000000000004"/>
  </r>
  <r>
    <n v="2026"/>
    <d v="2024-05-09T00:00:00"/>
    <x v="2"/>
    <x v="3"/>
    <s v="Office Desk"/>
    <x v="3"/>
    <n v="29"/>
    <n v="116.48"/>
    <n v="66.349999999999994"/>
    <n v="3377.92"/>
    <n v="1924.1499999999999"/>
    <n v="1453.7700000000002"/>
  </r>
  <r>
    <n v="2095"/>
    <d v="2024-05-09T00:00:00"/>
    <x v="0"/>
    <x v="2"/>
    <s v="Cloud Storage"/>
    <x v="0"/>
    <n v="23"/>
    <n v="251.16"/>
    <n v="178"/>
    <n v="5776.68"/>
    <n v="4094"/>
    <n v="1682.6800000000003"/>
  </r>
  <r>
    <n v="1195"/>
    <d v="2024-05-10T00:00:00"/>
    <x v="0"/>
    <x v="1"/>
    <s v="Laptop"/>
    <x v="0"/>
    <n v="30"/>
    <n v="625.74"/>
    <n v="351.59"/>
    <n v="18772.2"/>
    <n v="10547.699999999999"/>
    <n v="8224.5000000000018"/>
  </r>
  <r>
    <n v="2152"/>
    <d v="2024-05-10T00:00:00"/>
    <x v="1"/>
    <x v="3"/>
    <s v="Office Desk"/>
    <x v="5"/>
    <n v="21"/>
    <n v="164.71"/>
    <n v="123.16"/>
    <n v="3458.9100000000003"/>
    <n v="2586.36"/>
    <n v="872.55000000000018"/>
  </r>
  <r>
    <n v="2463"/>
    <d v="2024-05-10T00:00:00"/>
    <x v="1"/>
    <x v="1"/>
    <s v="Monitor"/>
    <x v="6"/>
    <n v="22"/>
    <n v="456.71"/>
    <n v="340.13"/>
    <n v="10047.619999999999"/>
    <n v="7482.86"/>
    <n v="2564.7599999999993"/>
  </r>
  <r>
    <n v="1449"/>
    <d v="2024-05-12T00:00:00"/>
    <x v="0"/>
    <x v="1"/>
    <s v="Monitor"/>
    <x v="3"/>
    <n v="32"/>
    <n v="220.96"/>
    <n v="137.54"/>
    <n v="7070.72"/>
    <n v="4401.28"/>
    <n v="2669.4400000000005"/>
  </r>
  <r>
    <n v="1496"/>
    <d v="2024-05-12T00:00:00"/>
    <x v="1"/>
    <x v="2"/>
    <s v="Cloud Storage"/>
    <x v="4"/>
    <n v="12"/>
    <n v="74.2"/>
    <n v="39.29"/>
    <n v="890.40000000000009"/>
    <n v="471.48"/>
    <n v="418.92000000000007"/>
  </r>
  <r>
    <n v="1692"/>
    <d v="2024-05-13T00:00:00"/>
    <x v="2"/>
    <x v="0"/>
    <s v="Stapler"/>
    <x v="3"/>
    <n v="24"/>
    <n v="25.96"/>
    <n v="18.64"/>
    <n v="623.04"/>
    <n v="447.36"/>
    <n v="175.67999999999995"/>
  </r>
  <r>
    <n v="2614"/>
    <d v="2024-05-13T00:00:00"/>
    <x v="0"/>
    <x v="2"/>
    <s v="Design Tool"/>
    <x v="0"/>
    <n v="4"/>
    <n v="117.17"/>
    <n v="85.69"/>
    <n v="468.68"/>
    <n v="342.76"/>
    <n v="125.92000000000002"/>
  </r>
  <r>
    <n v="2066"/>
    <d v="2024-05-14T00:00:00"/>
    <x v="3"/>
    <x v="2"/>
    <s v="Antivirus License"/>
    <x v="2"/>
    <n v="29"/>
    <n v="172.34"/>
    <n v="128.54"/>
    <n v="4997.8599999999997"/>
    <n v="3727.66"/>
    <n v="1270.1999999999998"/>
  </r>
  <r>
    <n v="2072"/>
    <d v="2024-05-15T00:00:00"/>
    <x v="4"/>
    <x v="1"/>
    <s v="Keyboard"/>
    <x v="0"/>
    <n v="12"/>
    <n v="294.33"/>
    <n v="167.24"/>
    <n v="3531.96"/>
    <n v="2006.88"/>
    <n v="1525.08"/>
  </r>
  <r>
    <n v="2128"/>
    <d v="2024-05-15T00:00:00"/>
    <x v="1"/>
    <x v="3"/>
    <s v="Office Desk"/>
    <x v="7"/>
    <n v="15"/>
    <n v="280.45999999999998"/>
    <n v="202.05"/>
    <n v="4206.8999999999996"/>
    <n v="3030.75"/>
    <n v="1176.1499999999996"/>
  </r>
  <r>
    <n v="2317"/>
    <d v="2024-05-15T00:00:00"/>
    <x v="1"/>
    <x v="1"/>
    <s v="Keyboard"/>
    <x v="4"/>
    <n v="24"/>
    <n v="727.24"/>
    <n v="430.58"/>
    <n v="17453.760000000002"/>
    <n v="10333.92"/>
    <n v="7119.840000000002"/>
  </r>
  <r>
    <n v="1771"/>
    <d v="2024-05-16T00:00:00"/>
    <x v="4"/>
    <x v="0"/>
    <s v="Printer Paper"/>
    <x v="4"/>
    <n v="5"/>
    <n v="37.69"/>
    <n v="24.88"/>
    <n v="188.45"/>
    <n v="124.39999999999999"/>
    <n v="64.05"/>
  </r>
  <r>
    <n v="1834"/>
    <d v="2024-05-16T00:00:00"/>
    <x v="1"/>
    <x v="3"/>
    <s v="Office Desk"/>
    <x v="6"/>
    <n v="32"/>
    <n v="127.56"/>
    <n v="71.75"/>
    <n v="4081.92"/>
    <n v="2296"/>
    <n v="1785.92"/>
  </r>
  <r>
    <n v="1858"/>
    <d v="2024-05-16T00:00:00"/>
    <x v="4"/>
    <x v="1"/>
    <s v="Monitor"/>
    <x v="7"/>
    <n v="35"/>
    <n v="157.6"/>
    <n v="91.59"/>
    <n v="5516"/>
    <n v="3205.65"/>
    <n v="2310.35"/>
  </r>
  <r>
    <n v="1876"/>
    <d v="2024-05-16T00:00:00"/>
    <x v="3"/>
    <x v="1"/>
    <s v="Headphones"/>
    <x v="5"/>
    <n v="9"/>
    <n v="307.55"/>
    <n v="223.97"/>
    <n v="2767.9500000000003"/>
    <n v="2015.73"/>
    <n v="752.22000000000025"/>
  </r>
  <r>
    <n v="1202"/>
    <d v="2024-05-17T00:00:00"/>
    <x v="2"/>
    <x v="0"/>
    <s v="Printer Paper"/>
    <x v="7"/>
    <n v="22"/>
    <n v="55.57"/>
    <n v="37.85"/>
    <n v="1222.54"/>
    <n v="832.7"/>
    <n v="389.83999999999992"/>
  </r>
  <r>
    <n v="2198"/>
    <d v="2024-05-17T00:00:00"/>
    <x v="4"/>
    <x v="0"/>
    <s v="Desk Lamp"/>
    <x v="1"/>
    <n v="7"/>
    <n v="47.7"/>
    <n v="27.59"/>
    <n v="333.90000000000003"/>
    <n v="193.13"/>
    <n v="140.77000000000004"/>
  </r>
  <r>
    <n v="2457"/>
    <d v="2024-05-17T00:00:00"/>
    <x v="2"/>
    <x v="1"/>
    <s v="Headphones"/>
    <x v="2"/>
    <n v="19"/>
    <n v="636.94000000000005"/>
    <n v="464.41"/>
    <n v="12101.86"/>
    <n v="8823.7900000000009"/>
    <n v="3278.0699999999997"/>
  </r>
  <r>
    <n v="1248"/>
    <d v="2024-05-18T00:00:00"/>
    <x v="2"/>
    <x v="1"/>
    <s v="Headphones"/>
    <x v="1"/>
    <n v="9"/>
    <n v="269.73"/>
    <n v="180.47"/>
    <n v="2427.5700000000002"/>
    <n v="1624.23"/>
    <n v="803.34000000000015"/>
  </r>
  <r>
    <n v="2427"/>
    <d v="2024-05-18T00:00:00"/>
    <x v="0"/>
    <x v="0"/>
    <s v="Notebook"/>
    <x v="5"/>
    <n v="7"/>
    <n v="3.67"/>
    <n v="2.09"/>
    <n v="25.689999999999998"/>
    <n v="14.629999999999999"/>
    <n v="11.059999999999999"/>
  </r>
  <r>
    <n v="2438"/>
    <d v="2024-05-18T00:00:00"/>
    <x v="3"/>
    <x v="0"/>
    <s v="Desk Lamp"/>
    <x v="7"/>
    <n v="9"/>
    <n v="5.89"/>
    <n v="3.05"/>
    <n v="53.01"/>
    <n v="27.45"/>
    <n v="25.56"/>
  </r>
  <r>
    <n v="1081"/>
    <d v="2024-05-19T00:00:00"/>
    <x v="3"/>
    <x v="3"/>
    <s v="Whiteboard"/>
    <x v="5"/>
    <n v="33"/>
    <n v="384.94"/>
    <n v="248.28"/>
    <n v="12703.02"/>
    <n v="8193.24"/>
    <n v="4509.7800000000007"/>
  </r>
  <r>
    <n v="1435"/>
    <d v="2024-05-19T00:00:00"/>
    <x v="4"/>
    <x v="1"/>
    <s v="Keyboard"/>
    <x v="4"/>
    <n v="18"/>
    <n v="648.4"/>
    <n v="481.39"/>
    <n v="11671.199999999999"/>
    <n v="8665.02"/>
    <n v="3006.1799999999985"/>
  </r>
  <r>
    <n v="1500"/>
    <d v="2024-05-19T00:00:00"/>
    <x v="2"/>
    <x v="0"/>
    <s v="Stapler"/>
    <x v="5"/>
    <n v="30"/>
    <n v="26.6"/>
    <n v="15.29"/>
    <n v="798"/>
    <n v="458.7"/>
    <n v="339.3"/>
  </r>
  <r>
    <n v="1523"/>
    <d v="2024-05-19T00:00:00"/>
    <x v="3"/>
    <x v="0"/>
    <s v="Stapler"/>
    <x v="4"/>
    <n v="39"/>
    <n v="38.53"/>
    <n v="27.16"/>
    <n v="1502.67"/>
    <n v="1059.24"/>
    <n v="443.43000000000006"/>
  </r>
  <r>
    <n v="1563"/>
    <d v="2024-05-19T00:00:00"/>
    <x v="3"/>
    <x v="2"/>
    <s v="Cloud Storage"/>
    <x v="6"/>
    <n v="11"/>
    <n v="63.9"/>
    <n v="44.64"/>
    <n v="702.9"/>
    <n v="491.04"/>
    <n v="211.85999999999996"/>
  </r>
  <r>
    <n v="1762"/>
    <d v="2024-05-19T00:00:00"/>
    <x v="4"/>
    <x v="2"/>
    <s v="Cloud Storage"/>
    <x v="4"/>
    <n v="5"/>
    <n v="142.56"/>
    <n v="88.06"/>
    <n v="712.8"/>
    <n v="440.3"/>
    <n v="272.49999999999994"/>
  </r>
  <r>
    <n v="2689"/>
    <d v="2024-05-19T00:00:00"/>
    <x v="1"/>
    <x v="1"/>
    <s v="Headphones"/>
    <x v="5"/>
    <n v="30"/>
    <n v="340.63"/>
    <n v="216.56"/>
    <n v="10218.9"/>
    <n v="6496.8"/>
    <n v="3722.0999999999995"/>
  </r>
  <r>
    <n v="1337"/>
    <d v="2024-05-20T00:00:00"/>
    <x v="2"/>
    <x v="1"/>
    <s v="Webcam"/>
    <x v="3"/>
    <n v="19"/>
    <n v="155.77000000000001"/>
    <n v="88.13"/>
    <n v="2959.63"/>
    <n v="1674.4699999999998"/>
    <n v="1285.1600000000003"/>
  </r>
  <r>
    <n v="2322"/>
    <d v="2024-05-20T00:00:00"/>
    <x v="4"/>
    <x v="0"/>
    <s v="Stapler"/>
    <x v="7"/>
    <n v="13"/>
    <n v="30.26"/>
    <n v="19.309999999999999"/>
    <n v="393.38"/>
    <n v="251.02999999999997"/>
    <n v="142.35000000000002"/>
  </r>
  <r>
    <n v="2597"/>
    <d v="2024-05-20T00:00:00"/>
    <x v="4"/>
    <x v="2"/>
    <s v="Cloud Storage"/>
    <x v="1"/>
    <n v="34"/>
    <n v="194.51"/>
    <n v="100.34"/>
    <n v="6613.34"/>
    <n v="3411.56"/>
    <n v="3201.78"/>
  </r>
  <r>
    <n v="1047"/>
    <d v="2024-05-21T00:00:00"/>
    <x v="0"/>
    <x v="0"/>
    <s v="Stapler"/>
    <x v="1"/>
    <n v="14"/>
    <n v="26.23"/>
    <n v="14.47"/>
    <n v="367.22"/>
    <n v="202.58"/>
    <n v="164.64000000000001"/>
  </r>
  <r>
    <n v="1959"/>
    <d v="2024-05-21T00:00:00"/>
    <x v="4"/>
    <x v="3"/>
    <s v="Bookshelf"/>
    <x v="3"/>
    <n v="18"/>
    <n v="261.45999999999998"/>
    <n v="149.74"/>
    <n v="4706.28"/>
    <n v="2695.32"/>
    <n v="2010.9599999999996"/>
  </r>
  <r>
    <n v="1588"/>
    <d v="2024-05-22T00:00:00"/>
    <x v="1"/>
    <x v="1"/>
    <s v="Monitor"/>
    <x v="7"/>
    <n v="20"/>
    <n v="458.68"/>
    <n v="339.43"/>
    <n v="9173.6"/>
    <n v="6788.6"/>
    <n v="2385"/>
  </r>
  <r>
    <n v="1598"/>
    <d v="2024-05-22T00:00:00"/>
    <x v="2"/>
    <x v="3"/>
    <s v="Bookshelf"/>
    <x v="0"/>
    <n v="2"/>
    <n v="134.06"/>
    <n v="90.09"/>
    <n v="268.12"/>
    <n v="180.18"/>
    <n v="87.94"/>
  </r>
  <r>
    <n v="1795"/>
    <d v="2024-05-22T00:00:00"/>
    <x v="3"/>
    <x v="1"/>
    <s v="Webcam"/>
    <x v="0"/>
    <n v="16"/>
    <n v="369.48"/>
    <n v="222.9"/>
    <n v="5911.68"/>
    <n v="3566.4"/>
    <n v="2345.2800000000002"/>
  </r>
  <r>
    <n v="1217"/>
    <d v="2024-05-23T00:00:00"/>
    <x v="3"/>
    <x v="3"/>
    <s v="Office Desk"/>
    <x v="3"/>
    <n v="28"/>
    <n v="334.17"/>
    <n v="216.84"/>
    <n v="9356.76"/>
    <n v="6071.52"/>
    <n v="3285.24"/>
  </r>
  <r>
    <n v="1630"/>
    <d v="2024-05-23T00:00:00"/>
    <x v="0"/>
    <x v="1"/>
    <s v="Webcam"/>
    <x v="3"/>
    <n v="34"/>
    <n v="617.94000000000005"/>
    <n v="385.66"/>
    <n v="21009.960000000003"/>
    <n v="13112.44"/>
    <n v="7897.5200000000023"/>
  </r>
  <r>
    <n v="1964"/>
    <d v="2024-05-23T00:00:00"/>
    <x v="1"/>
    <x v="3"/>
    <s v="Bookshelf"/>
    <x v="5"/>
    <n v="9"/>
    <n v="448.68"/>
    <n v="319.14"/>
    <n v="4038.12"/>
    <n v="2872.2599999999998"/>
    <n v="1165.8600000000001"/>
  </r>
  <r>
    <n v="1975"/>
    <d v="2024-05-23T00:00:00"/>
    <x v="4"/>
    <x v="3"/>
    <s v="Whiteboard"/>
    <x v="3"/>
    <n v="31"/>
    <n v="356.77"/>
    <n v="261.10000000000002"/>
    <n v="11059.869999999999"/>
    <n v="8094.1"/>
    <n v="2965.7699999999986"/>
  </r>
  <r>
    <n v="2384"/>
    <d v="2024-05-23T00:00:00"/>
    <x v="0"/>
    <x v="2"/>
    <s v="Design Tool"/>
    <x v="7"/>
    <n v="12"/>
    <n v="219.18"/>
    <n v="153.44"/>
    <n v="2630.16"/>
    <n v="1841.28"/>
    <n v="788.87999999999988"/>
  </r>
  <r>
    <n v="2491"/>
    <d v="2024-05-23T00:00:00"/>
    <x v="2"/>
    <x v="2"/>
    <s v="Office Suite"/>
    <x v="1"/>
    <n v="23"/>
    <n v="157.79"/>
    <n v="103.57"/>
    <n v="3629.1699999999996"/>
    <n v="2382.1099999999997"/>
    <n v="1247.06"/>
  </r>
  <r>
    <n v="1233"/>
    <d v="2024-05-25T00:00:00"/>
    <x v="4"/>
    <x v="3"/>
    <s v="Filing Cabinet"/>
    <x v="4"/>
    <n v="14"/>
    <n v="121"/>
    <n v="74.19"/>
    <n v="1694"/>
    <n v="1038.6599999999999"/>
    <n v="655.34000000000015"/>
  </r>
  <r>
    <n v="1708"/>
    <d v="2024-05-25T00:00:00"/>
    <x v="4"/>
    <x v="0"/>
    <s v="Notebook"/>
    <x v="6"/>
    <n v="36"/>
    <n v="3.06"/>
    <n v="1.75"/>
    <n v="110.16"/>
    <n v="63"/>
    <n v="47.16"/>
  </r>
  <r>
    <n v="2792"/>
    <d v="2024-05-25T00:00:00"/>
    <x v="2"/>
    <x v="2"/>
    <s v="Design Tool"/>
    <x v="7"/>
    <n v="15"/>
    <n v="260"/>
    <n v="139.72999999999999"/>
    <n v="3900"/>
    <n v="2095.9499999999998"/>
    <n v="1804.0500000000002"/>
  </r>
  <r>
    <n v="1393"/>
    <d v="2024-05-26T00:00:00"/>
    <x v="1"/>
    <x v="0"/>
    <s v="Desk Lamp"/>
    <x v="0"/>
    <n v="11"/>
    <n v="22.53"/>
    <n v="12.56"/>
    <n v="247.83"/>
    <n v="138.16"/>
    <n v="109.67000000000002"/>
  </r>
  <r>
    <n v="2009"/>
    <d v="2024-05-26T00:00:00"/>
    <x v="3"/>
    <x v="3"/>
    <s v="Filing Cabinet"/>
    <x v="5"/>
    <n v="27"/>
    <n v="475.84"/>
    <n v="241.63"/>
    <n v="12847.679999999998"/>
    <n v="6524.01"/>
    <n v="6323.6699999999983"/>
  </r>
  <r>
    <n v="2472"/>
    <d v="2024-05-26T00:00:00"/>
    <x v="1"/>
    <x v="0"/>
    <s v="Desk Lamp"/>
    <x v="0"/>
    <n v="19"/>
    <n v="5.3"/>
    <n v="2.66"/>
    <n v="100.7"/>
    <n v="50.540000000000006"/>
    <n v="50.16"/>
  </r>
  <r>
    <n v="1170"/>
    <d v="2024-05-27T00:00:00"/>
    <x v="0"/>
    <x v="2"/>
    <s v="Antivirus License"/>
    <x v="2"/>
    <n v="3"/>
    <n v="147.96"/>
    <n v="96.41"/>
    <n v="443.88"/>
    <n v="289.23"/>
    <n v="154.64999999999998"/>
  </r>
  <r>
    <n v="1312"/>
    <d v="2024-05-27T00:00:00"/>
    <x v="1"/>
    <x v="2"/>
    <s v="Antivirus License"/>
    <x v="6"/>
    <n v="22"/>
    <n v="95.2"/>
    <n v="56.46"/>
    <n v="2094.4"/>
    <n v="1242.1200000000001"/>
    <n v="852.28"/>
  </r>
  <r>
    <n v="1967"/>
    <d v="2024-05-27T00:00:00"/>
    <x v="1"/>
    <x v="2"/>
    <s v="Office Suite"/>
    <x v="7"/>
    <n v="10"/>
    <n v="21.81"/>
    <n v="13.55"/>
    <n v="218.1"/>
    <n v="135.5"/>
    <n v="82.6"/>
  </r>
  <r>
    <n v="2046"/>
    <d v="2024-05-27T00:00:00"/>
    <x v="3"/>
    <x v="1"/>
    <s v="Webcam"/>
    <x v="1"/>
    <n v="14"/>
    <n v="786.46"/>
    <n v="514.44000000000005"/>
    <n v="11010.44"/>
    <n v="7202.1600000000008"/>
    <n v="3808.2799999999997"/>
  </r>
  <r>
    <n v="2415"/>
    <d v="2024-05-27T00:00:00"/>
    <x v="0"/>
    <x v="1"/>
    <s v="Headphones"/>
    <x v="5"/>
    <n v="27"/>
    <n v="378.13"/>
    <n v="270.14999999999998"/>
    <n v="10209.51"/>
    <n v="7294.0499999999993"/>
    <n v="2915.4600000000009"/>
  </r>
  <r>
    <n v="1488"/>
    <d v="2024-05-28T00:00:00"/>
    <x v="0"/>
    <x v="1"/>
    <s v="Keyboard"/>
    <x v="0"/>
    <n v="20"/>
    <n v="673.34"/>
    <n v="487.93"/>
    <n v="13466.800000000001"/>
    <n v="9758.6"/>
    <n v="3708.2000000000007"/>
  </r>
  <r>
    <n v="1903"/>
    <d v="2024-05-28T00:00:00"/>
    <x v="4"/>
    <x v="3"/>
    <s v="Office Desk"/>
    <x v="1"/>
    <n v="30"/>
    <n v="212.89"/>
    <n v="142.31"/>
    <n v="6386.7"/>
    <n v="4269.3"/>
    <n v="2117.3999999999996"/>
  </r>
  <r>
    <n v="2652"/>
    <d v="2024-05-28T00:00:00"/>
    <x v="4"/>
    <x v="1"/>
    <s v="Webcam"/>
    <x v="6"/>
    <n v="9"/>
    <n v="426.02"/>
    <n v="248.61"/>
    <n v="3834.18"/>
    <n v="2237.4900000000002"/>
    <n v="1596.6899999999996"/>
  </r>
  <r>
    <n v="1223"/>
    <d v="2024-05-29T00:00:00"/>
    <x v="3"/>
    <x v="0"/>
    <s v="Stapler"/>
    <x v="0"/>
    <n v="27"/>
    <n v="47.61"/>
    <n v="32.39"/>
    <n v="1285.47"/>
    <n v="874.53"/>
    <n v="410.94000000000005"/>
  </r>
  <r>
    <n v="2274"/>
    <d v="2024-05-29T00:00:00"/>
    <x v="4"/>
    <x v="3"/>
    <s v="Whiteboard"/>
    <x v="5"/>
    <n v="39"/>
    <n v="420.51"/>
    <n v="307.36"/>
    <n v="16399.89"/>
    <n v="11987.04"/>
    <n v="4412.8499999999985"/>
  </r>
  <r>
    <n v="2327"/>
    <d v="2024-05-29T00:00:00"/>
    <x v="3"/>
    <x v="3"/>
    <s v="Filing Cabinet"/>
    <x v="6"/>
    <n v="18"/>
    <n v="465.19"/>
    <n v="294.85000000000002"/>
    <n v="8373.42"/>
    <n v="5307.3"/>
    <n v="3066.12"/>
  </r>
  <r>
    <n v="2416"/>
    <d v="2024-05-29T00:00:00"/>
    <x v="0"/>
    <x v="2"/>
    <s v="Design Tool"/>
    <x v="7"/>
    <n v="16"/>
    <n v="90.59"/>
    <n v="55.11"/>
    <n v="1449.44"/>
    <n v="881.76"/>
    <n v="567.68000000000006"/>
  </r>
  <r>
    <n v="1138"/>
    <d v="2024-05-30T00:00:00"/>
    <x v="2"/>
    <x v="1"/>
    <s v="Monitor"/>
    <x v="4"/>
    <n v="23"/>
    <n v="841.6"/>
    <n v="502.05"/>
    <n v="19356.8"/>
    <n v="11547.15"/>
    <n v="7809.65"/>
  </r>
  <r>
    <n v="1583"/>
    <d v="2024-05-30T00:00:00"/>
    <x v="1"/>
    <x v="2"/>
    <s v="Design Tool"/>
    <x v="3"/>
    <n v="31"/>
    <n v="106.26"/>
    <n v="63.8"/>
    <n v="3294.06"/>
    <n v="1977.8"/>
    <n v="1316.26"/>
  </r>
  <r>
    <n v="1942"/>
    <d v="2024-05-30T00:00:00"/>
    <x v="2"/>
    <x v="1"/>
    <s v="Laptop"/>
    <x v="7"/>
    <n v="2"/>
    <n v="811.04"/>
    <n v="497.3"/>
    <n v="1622.08"/>
    <n v="994.6"/>
    <n v="627.4799999999999"/>
  </r>
  <r>
    <n v="1951"/>
    <d v="2024-05-30T00:00:00"/>
    <x v="3"/>
    <x v="1"/>
    <s v="Headphones"/>
    <x v="5"/>
    <n v="29"/>
    <n v="472.16"/>
    <n v="266.01"/>
    <n v="13692.640000000001"/>
    <n v="7714.29"/>
    <n v="5978.3500000000013"/>
  </r>
  <r>
    <n v="2058"/>
    <d v="2024-05-30T00:00:00"/>
    <x v="0"/>
    <x v="0"/>
    <s v="Stapler"/>
    <x v="2"/>
    <n v="21"/>
    <n v="58.28"/>
    <n v="35.340000000000003"/>
    <n v="1223.8800000000001"/>
    <n v="742.1400000000001"/>
    <n v="481.74"/>
  </r>
  <r>
    <n v="2788"/>
    <d v="2024-05-30T00:00:00"/>
    <x v="0"/>
    <x v="2"/>
    <s v="Office Suite"/>
    <x v="7"/>
    <n v="29"/>
    <n v="47.92"/>
    <n v="24.97"/>
    <n v="1389.68"/>
    <n v="724.13"/>
    <n v="665.55000000000007"/>
  </r>
  <r>
    <n v="1124"/>
    <d v="2024-05-31T00:00:00"/>
    <x v="0"/>
    <x v="1"/>
    <s v="Monitor"/>
    <x v="0"/>
    <n v="13"/>
    <n v="205.74"/>
    <n v="151.80000000000001"/>
    <n v="2674.62"/>
    <n v="1973.4"/>
    <n v="701.2199999999998"/>
  </r>
  <r>
    <n v="1174"/>
    <d v="2024-05-31T00:00:00"/>
    <x v="0"/>
    <x v="1"/>
    <s v="Webcam"/>
    <x v="3"/>
    <n v="13"/>
    <n v="75.91"/>
    <n v="45.74"/>
    <n v="986.82999999999993"/>
    <n v="594.62"/>
    <n v="392.20999999999992"/>
  </r>
  <r>
    <n v="1467"/>
    <d v="2024-05-31T00:00:00"/>
    <x v="4"/>
    <x v="1"/>
    <s v="Headphones"/>
    <x v="3"/>
    <n v="20"/>
    <n v="438.05"/>
    <n v="241.34"/>
    <n v="8761"/>
    <n v="4826.8"/>
    <n v="3934.2"/>
  </r>
  <r>
    <n v="2016"/>
    <d v="2024-05-31T00:00:00"/>
    <x v="1"/>
    <x v="2"/>
    <s v="Office Suite"/>
    <x v="1"/>
    <n v="30"/>
    <n v="175.28"/>
    <n v="128.4"/>
    <n v="5258.4"/>
    <n v="3852"/>
    <n v="1406.3999999999996"/>
  </r>
  <r>
    <n v="2277"/>
    <d v="2024-05-31T00:00:00"/>
    <x v="2"/>
    <x v="2"/>
    <s v="Office Suite"/>
    <x v="4"/>
    <n v="21"/>
    <n v="217.76"/>
    <n v="133.56"/>
    <n v="4572.96"/>
    <n v="2804.76"/>
    <n v="1768.1999999999998"/>
  </r>
  <r>
    <n v="2246"/>
    <d v="2024-06-02T00:00:00"/>
    <x v="3"/>
    <x v="0"/>
    <s v="Printer Paper"/>
    <x v="0"/>
    <n v="6"/>
    <n v="59.06"/>
    <n v="38.25"/>
    <n v="354.36"/>
    <n v="229.5"/>
    <n v="124.86000000000001"/>
  </r>
  <r>
    <n v="2534"/>
    <d v="2024-06-02T00:00:00"/>
    <x v="3"/>
    <x v="0"/>
    <s v="Printer Paper"/>
    <x v="1"/>
    <n v="24"/>
    <n v="57.13"/>
    <n v="40.18"/>
    <n v="1371.1200000000001"/>
    <n v="964.31999999999994"/>
    <n v="406.80000000000018"/>
  </r>
  <r>
    <n v="2160"/>
    <d v="2024-06-04T00:00:00"/>
    <x v="0"/>
    <x v="3"/>
    <s v="Office Desk"/>
    <x v="1"/>
    <n v="2"/>
    <n v="342.63"/>
    <n v="194.03"/>
    <n v="685.26"/>
    <n v="388.06"/>
    <n v="297.2"/>
  </r>
  <r>
    <n v="2800"/>
    <d v="2024-06-04T00:00:00"/>
    <x v="1"/>
    <x v="3"/>
    <s v="Filing Cabinet"/>
    <x v="6"/>
    <n v="15"/>
    <n v="382.48"/>
    <n v="230.31"/>
    <n v="5737.2000000000007"/>
    <n v="3454.65"/>
    <n v="2282.5500000000006"/>
  </r>
  <r>
    <n v="2232"/>
    <d v="2024-06-05T00:00:00"/>
    <x v="2"/>
    <x v="3"/>
    <s v="Bookshelf"/>
    <x v="1"/>
    <n v="19"/>
    <n v="486.3"/>
    <n v="350.37"/>
    <n v="9239.7000000000007"/>
    <n v="6657.03"/>
    <n v="2582.670000000001"/>
  </r>
  <r>
    <n v="2595"/>
    <d v="2024-06-05T00:00:00"/>
    <x v="1"/>
    <x v="3"/>
    <s v="Office Desk"/>
    <x v="6"/>
    <n v="10"/>
    <n v="323.60000000000002"/>
    <n v="212.79"/>
    <n v="3236"/>
    <n v="2127.9"/>
    <n v="1108.0999999999999"/>
  </r>
  <r>
    <n v="1152"/>
    <d v="2024-06-06T00:00:00"/>
    <x v="2"/>
    <x v="3"/>
    <s v="Filing Cabinet"/>
    <x v="4"/>
    <n v="5"/>
    <n v="247.17"/>
    <n v="139.01"/>
    <n v="1235.8499999999999"/>
    <n v="695.05"/>
    <n v="540.79999999999995"/>
  </r>
  <r>
    <n v="1867"/>
    <d v="2024-06-07T00:00:00"/>
    <x v="0"/>
    <x v="1"/>
    <s v="Webcam"/>
    <x v="0"/>
    <n v="35"/>
    <n v="163.38"/>
    <n v="102.58"/>
    <n v="5718.3"/>
    <n v="3590.2999999999997"/>
    <n v="2128.0000000000005"/>
  </r>
  <r>
    <n v="1676"/>
    <d v="2024-06-09T00:00:00"/>
    <x v="1"/>
    <x v="2"/>
    <s v="Antivirus License"/>
    <x v="6"/>
    <n v="32"/>
    <n v="25.08"/>
    <n v="18.059999999999999"/>
    <n v="802.56"/>
    <n v="577.91999999999996"/>
    <n v="224.64"/>
  </r>
  <r>
    <n v="1680"/>
    <d v="2024-06-09T00:00:00"/>
    <x v="4"/>
    <x v="2"/>
    <s v="Cloud Storage"/>
    <x v="3"/>
    <n v="10"/>
    <n v="257.61"/>
    <n v="157.08000000000001"/>
    <n v="2576.1000000000004"/>
    <n v="1570.8000000000002"/>
    <n v="1005.3000000000002"/>
  </r>
  <r>
    <n v="1742"/>
    <d v="2024-06-09T00:00:00"/>
    <x v="4"/>
    <x v="3"/>
    <s v="Office Desk"/>
    <x v="1"/>
    <n v="6"/>
    <n v="176.67"/>
    <n v="110.96"/>
    <n v="1060.02"/>
    <n v="665.76"/>
    <n v="394.26"/>
  </r>
  <r>
    <n v="2136"/>
    <d v="2024-06-09T00:00:00"/>
    <x v="4"/>
    <x v="2"/>
    <s v="Cloud Storage"/>
    <x v="0"/>
    <n v="15"/>
    <n v="105.01"/>
    <n v="56.31"/>
    <n v="1575.15"/>
    <n v="844.65000000000009"/>
    <n v="730.5"/>
  </r>
  <r>
    <n v="1028"/>
    <d v="2024-06-10T00:00:00"/>
    <x v="2"/>
    <x v="3"/>
    <s v="Office Desk"/>
    <x v="0"/>
    <n v="7"/>
    <n v="128.47999999999999"/>
    <n v="82.01"/>
    <n v="899.3599999999999"/>
    <n v="574.07000000000005"/>
    <n v="325.28999999999985"/>
  </r>
  <r>
    <n v="1977"/>
    <d v="2024-06-11T00:00:00"/>
    <x v="0"/>
    <x v="1"/>
    <s v="Laptop"/>
    <x v="4"/>
    <n v="31"/>
    <n v="331.87"/>
    <n v="231.94"/>
    <n v="10287.969999999999"/>
    <n v="7190.14"/>
    <n v="3097.829999999999"/>
  </r>
  <r>
    <n v="2120"/>
    <d v="2024-06-11T00:00:00"/>
    <x v="1"/>
    <x v="3"/>
    <s v="Whiteboard"/>
    <x v="4"/>
    <n v="19"/>
    <n v="133.99"/>
    <n v="95.77"/>
    <n v="2545.8100000000004"/>
    <n v="1819.6299999999999"/>
    <n v="726.18000000000052"/>
  </r>
  <r>
    <n v="2417"/>
    <d v="2024-06-11T00:00:00"/>
    <x v="3"/>
    <x v="1"/>
    <s v="Keyboard"/>
    <x v="0"/>
    <n v="14"/>
    <n v="407.26"/>
    <n v="247.02"/>
    <n v="5701.6399999999994"/>
    <n v="3458.28"/>
    <n v="2243.3599999999992"/>
  </r>
  <r>
    <n v="1034"/>
    <d v="2024-06-12T00:00:00"/>
    <x v="3"/>
    <x v="2"/>
    <s v="Antivirus License"/>
    <x v="4"/>
    <n v="15"/>
    <n v="249.75"/>
    <n v="179.28"/>
    <n v="3746.25"/>
    <n v="2689.2"/>
    <n v="1057.0500000000002"/>
  </r>
  <r>
    <n v="1288"/>
    <d v="2024-06-12T00:00:00"/>
    <x v="3"/>
    <x v="0"/>
    <s v="Notebook"/>
    <x v="0"/>
    <n v="35"/>
    <n v="55.28"/>
    <n v="30.67"/>
    <n v="1934.8"/>
    <n v="1073.45"/>
    <n v="861.34999999999991"/>
  </r>
  <r>
    <n v="1628"/>
    <d v="2024-06-12T00:00:00"/>
    <x v="4"/>
    <x v="0"/>
    <s v="Desk Chair"/>
    <x v="0"/>
    <n v="18"/>
    <n v="13.03"/>
    <n v="8.1"/>
    <n v="234.54"/>
    <n v="145.79999999999998"/>
    <n v="88.740000000000009"/>
  </r>
  <r>
    <n v="1856"/>
    <d v="2024-06-12T00:00:00"/>
    <x v="1"/>
    <x v="0"/>
    <s v="Desk Lamp"/>
    <x v="2"/>
    <n v="33"/>
    <n v="43.34"/>
    <n v="24.06"/>
    <n v="1430.22"/>
    <n v="793.9799999999999"/>
    <n v="636.24000000000012"/>
  </r>
  <r>
    <n v="2293"/>
    <d v="2024-06-12T00:00:00"/>
    <x v="3"/>
    <x v="1"/>
    <s v="Headphones"/>
    <x v="7"/>
    <n v="13"/>
    <n v="875.59"/>
    <n v="580.87"/>
    <n v="11382.67"/>
    <n v="7551.31"/>
    <n v="3831.3599999999997"/>
  </r>
  <r>
    <n v="2778"/>
    <d v="2024-06-12T00:00:00"/>
    <x v="0"/>
    <x v="0"/>
    <s v="Notebook"/>
    <x v="1"/>
    <n v="40"/>
    <n v="3.53"/>
    <n v="2.27"/>
    <n v="141.19999999999999"/>
    <n v="90.8"/>
    <n v="50.399999999999991"/>
  </r>
  <r>
    <n v="2798"/>
    <d v="2024-06-12T00:00:00"/>
    <x v="4"/>
    <x v="0"/>
    <s v="Desk Chair"/>
    <x v="6"/>
    <n v="6"/>
    <n v="22.91"/>
    <n v="12.22"/>
    <n v="137.46"/>
    <n v="73.320000000000007"/>
    <n v="64.14"/>
  </r>
  <r>
    <n v="2189"/>
    <d v="2024-06-13T00:00:00"/>
    <x v="0"/>
    <x v="3"/>
    <s v="Whiteboard"/>
    <x v="5"/>
    <n v="12"/>
    <n v="220.18"/>
    <n v="150.82"/>
    <n v="2642.16"/>
    <n v="1809.84"/>
    <n v="832.31999999999994"/>
  </r>
  <r>
    <n v="2340"/>
    <d v="2024-06-13T00:00:00"/>
    <x v="3"/>
    <x v="3"/>
    <s v="Whiteboard"/>
    <x v="3"/>
    <n v="7"/>
    <n v="181.65"/>
    <n v="131.33000000000001"/>
    <n v="1271.55"/>
    <n v="919.31000000000006"/>
    <n v="352.2399999999999"/>
  </r>
  <r>
    <n v="1568"/>
    <d v="2024-06-14T00:00:00"/>
    <x v="2"/>
    <x v="1"/>
    <s v="Keyboard"/>
    <x v="4"/>
    <n v="9"/>
    <n v="794.33"/>
    <n v="489.37"/>
    <n v="7148.97"/>
    <n v="4404.33"/>
    <n v="2744.6400000000003"/>
  </r>
  <r>
    <n v="2705"/>
    <d v="2024-06-14T00:00:00"/>
    <x v="1"/>
    <x v="1"/>
    <s v="Keyboard"/>
    <x v="3"/>
    <n v="31"/>
    <n v="310.77"/>
    <n v="200.61"/>
    <n v="9633.869999999999"/>
    <n v="6218.9100000000008"/>
    <n v="3414.9599999999982"/>
  </r>
  <r>
    <n v="2741"/>
    <d v="2024-06-14T00:00:00"/>
    <x v="1"/>
    <x v="1"/>
    <s v="Laptop"/>
    <x v="0"/>
    <n v="17"/>
    <n v="897.6"/>
    <n v="575.83000000000004"/>
    <n v="15259.2"/>
    <n v="9789.11"/>
    <n v="5470.09"/>
  </r>
  <r>
    <n v="1033"/>
    <d v="2024-06-15T00:00:00"/>
    <x v="0"/>
    <x v="2"/>
    <s v="Antivirus License"/>
    <x v="1"/>
    <n v="22"/>
    <n v="225.82"/>
    <n v="126.92"/>
    <n v="4968.04"/>
    <n v="2792.2400000000002"/>
    <n v="2175.7999999999997"/>
  </r>
  <r>
    <n v="2278"/>
    <d v="2024-06-15T00:00:00"/>
    <x v="1"/>
    <x v="0"/>
    <s v="Printer Paper"/>
    <x v="2"/>
    <n v="8"/>
    <n v="21.61"/>
    <n v="15.3"/>
    <n v="172.88"/>
    <n v="122.4"/>
    <n v="50.47999999999999"/>
  </r>
  <r>
    <n v="2527"/>
    <d v="2024-06-15T00:00:00"/>
    <x v="0"/>
    <x v="3"/>
    <s v="Whiteboard"/>
    <x v="6"/>
    <n v="4"/>
    <n v="325.10000000000002"/>
    <n v="223.85"/>
    <n v="1300.4000000000001"/>
    <n v="895.4"/>
    <n v="405.00000000000011"/>
  </r>
  <r>
    <n v="2707"/>
    <d v="2024-06-15T00:00:00"/>
    <x v="0"/>
    <x v="1"/>
    <s v="Monitor"/>
    <x v="3"/>
    <n v="27"/>
    <n v="468.95"/>
    <n v="277.69"/>
    <n v="12661.65"/>
    <n v="7497.63"/>
    <n v="5164.0199999999995"/>
  </r>
  <r>
    <n v="1318"/>
    <d v="2024-06-16T00:00:00"/>
    <x v="4"/>
    <x v="1"/>
    <s v="Headphones"/>
    <x v="2"/>
    <n v="25"/>
    <n v="101.71"/>
    <n v="56.48"/>
    <n v="2542.75"/>
    <n v="1412"/>
    <n v="1130.75"/>
  </r>
  <r>
    <n v="2495"/>
    <d v="2024-06-16T00:00:00"/>
    <x v="3"/>
    <x v="2"/>
    <s v="Antivirus License"/>
    <x v="7"/>
    <n v="28"/>
    <n v="57.06"/>
    <n v="35.6"/>
    <n v="1597.68"/>
    <n v="996.80000000000007"/>
    <n v="600.88"/>
  </r>
  <r>
    <n v="1278"/>
    <d v="2024-06-17T00:00:00"/>
    <x v="2"/>
    <x v="2"/>
    <s v="Design Tool"/>
    <x v="6"/>
    <n v="8"/>
    <n v="106.33"/>
    <n v="60.21"/>
    <n v="850.64"/>
    <n v="481.68"/>
    <n v="368.96"/>
  </r>
  <r>
    <n v="1301"/>
    <d v="2024-06-17T00:00:00"/>
    <x v="1"/>
    <x v="2"/>
    <s v="Office Suite"/>
    <x v="2"/>
    <n v="7"/>
    <n v="175.15"/>
    <n v="128.1"/>
    <n v="1226.05"/>
    <n v="896.69999999999993"/>
    <n v="329.35"/>
  </r>
  <r>
    <n v="1684"/>
    <d v="2024-06-17T00:00:00"/>
    <x v="2"/>
    <x v="1"/>
    <s v="Keyboard"/>
    <x v="2"/>
    <n v="10"/>
    <n v="818.11"/>
    <n v="544.12"/>
    <n v="8181.1"/>
    <n v="5441.2"/>
    <n v="2739.9000000000005"/>
  </r>
  <r>
    <n v="2053"/>
    <d v="2024-06-17T00:00:00"/>
    <x v="1"/>
    <x v="2"/>
    <s v="Antivirus License"/>
    <x v="5"/>
    <n v="27"/>
    <n v="21.57"/>
    <n v="14.57"/>
    <n v="582.39"/>
    <n v="393.39"/>
    <n v="189"/>
  </r>
  <r>
    <n v="2286"/>
    <d v="2024-06-17T00:00:00"/>
    <x v="2"/>
    <x v="0"/>
    <s v="Notebook"/>
    <x v="2"/>
    <n v="40"/>
    <n v="34.71"/>
    <n v="19.100000000000001"/>
    <n v="1388.4"/>
    <n v="764"/>
    <n v="624.40000000000009"/>
  </r>
  <r>
    <n v="2304"/>
    <d v="2024-06-17T00:00:00"/>
    <x v="0"/>
    <x v="3"/>
    <s v="Whiteboard"/>
    <x v="3"/>
    <n v="21"/>
    <n v="310.35000000000002"/>
    <n v="206.14"/>
    <n v="6517.35"/>
    <n v="4328.9399999999996"/>
    <n v="2188.4100000000008"/>
  </r>
  <r>
    <n v="2324"/>
    <d v="2024-06-17T00:00:00"/>
    <x v="0"/>
    <x v="2"/>
    <s v="Design Tool"/>
    <x v="7"/>
    <n v="17"/>
    <n v="109.74"/>
    <n v="65.7"/>
    <n v="1865.58"/>
    <n v="1116.9000000000001"/>
    <n v="748.67999999999984"/>
  </r>
  <r>
    <n v="2620"/>
    <d v="2024-06-17T00:00:00"/>
    <x v="3"/>
    <x v="0"/>
    <s v="Desk Lamp"/>
    <x v="0"/>
    <n v="15"/>
    <n v="53.42"/>
    <n v="36.01"/>
    <n v="801.30000000000007"/>
    <n v="540.15"/>
    <n v="261.15000000000009"/>
  </r>
  <r>
    <n v="1050"/>
    <d v="2024-06-18T00:00:00"/>
    <x v="2"/>
    <x v="0"/>
    <s v="Desk Lamp"/>
    <x v="2"/>
    <n v="26"/>
    <n v="40.79"/>
    <n v="29.23"/>
    <n v="1060.54"/>
    <n v="759.98"/>
    <n v="300.55999999999995"/>
  </r>
  <r>
    <n v="1700"/>
    <d v="2024-06-18T00:00:00"/>
    <x v="3"/>
    <x v="3"/>
    <s v="Office Desk"/>
    <x v="3"/>
    <n v="13"/>
    <n v="398.2"/>
    <n v="251.04"/>
    <n v="5176.5999999999995"/>
    <n v="3263.52"/>
    <n v="1913.0799999999995"/>
  </r>
  <r>
    <n v="2082"/>
    <d v="2024-06-18T00:00:00"/>
    <x v="2"/>
    <x v="1"/>
    <s v="Monitor"/>
    <x v="7"/>
    <n v="12"/>
    <n v="313.08"/>
    <n v="163.6"/>
    <n v="3756.96"/>
    <n v="1963.1999999999998"/>
    <n v="1793.7600000000002"/>
  </r>
  <r>
    <n v="2174"/>
    <d v="2024-06-18T00:00:00"/>
    <x v="1"/>
    <x v="0"/>
    <s v="Notebook"/>
    <x v="6"/>
    <n v="13"/>
    <n v="57.67"/>
    <n v="41.82"/>
    <n v="749.71"/>
    <n v="543.66"/>
    <n v="206.05000000000007"/>
  </r>
  <r>
    <n v="2476"/>
    <d v="2024-06-18T00:00:00"/>
    <x v="2"/>
    <x v="2"/>
    <s v="Cloud Storage"/>
    <x v="0"/>
    <n v="36"/>
    <n v="209.25"/>
    <n v="144.44"/>
    <n v="7533"/>
    <n v="5199.84"/>
    <n v="2333.16"/>
  </r>
  <r>
    <n v="1268"/>
    <d v="2024-06-19T00:00:00"/>
    <x v="4"/>
    <x v="0"/>
    <s v="Printer Paper"/>
    <x v="3"/>
    <n v="37"/>
    <n v="9.57"/>
    <n v="6.84"/>
    <n v="354.09000000000003"/>
    <n v="253.07999999999998"/>
    <n v="101.01000000000005"/>
  </r>
  <r>
    <n v="1579"/>
    <d v="2024-06-19T00:00:00"/>
    <x v="1"/>
    <x v="0"/>
    <s v="Desk Lamp"/>
    <x v="0"/>
    <n v="12"/>
    <n v="50.84"/>
    <n v="27.37"/>
    <n v="610.08000000000004"/>
    <n v="328.44"/>
    <n v="281.64000000000004"/>
  </r>
  <r>
    <n v="1670"/>
    <d v="2024-06-19T00:00:00"/>
    <x v="0"/>
    <x v="2"/>
    <s v="Cloud Storage"/>
    <x v="4"/>
    <n v="2"/>
    <n v="179.44"/>
    <n v="127.13"/>
    <n v="358.88"/>
    <n v="254.26"/>
    <n v="104.62"/>
  </r>
  <r>
    <n v="2105"/>
    <d v="2024-06-19T00:00:00"/>
    <x v="1"/>
    <x v="3"/>
    <s v="Whiteboard"/>
    <x v="6"/>
    <n v="2"/>
    <n v="392.5"/>
    <n v="233.07"/>
    <n v="785"/>
    <n v="466.14"/>
    <n v="318.86"/>
  </r>
  <r>
    <n v="1709"/>
    <d v="2024-06-20T00:00:00"/>
    <x v="3"/>
    <x v="1"/>
    <s v="Keyboard"/>
    <x v="0"/>
    <n v="39"/>
    <n v="270.75"/>
    <n v="149.78"/>
    <n v="10559.25"/>
    <n v="5841.42"/>
    <n v="4717.83"/>
  </r>
  <r>
    <n v="2515"/>
    <d v="2024-06-20T00:00:00"/>
    <x v="4"/>
    <x v="0"/>
    <s v="Printer Paper"/>
    <x v="5"/>
    <n v="18"/>
    <n v="56.25"/>
    <n v="30.88"/>
    <n v="1012.5"/>
    <n v="555.84"/>
    <n v="456.65999999999997"/>
  </r>
  <r>
    <n v="2347"/>
    <d v="2024-06-21T00:00:00"/>
    <x v="0"/>
    <x v="0"/>
    <s v="Desk Chair"/>
    <x v="6"/>
    <n v="24"/>
    <n v="16.03"/>
    <n v="10.48"/>
    <n v="384.72"/>
    <n v="251.52"/>
    <n v="133.20000000000002"/>
  </r>
  <r>
    <n v="2497"/>
    <d v="2024-06-21T00:00:00"/>
    <x v="1"/>
    <x v="3"/>
    <s v="Office Desk"/>
    <x v="1"/>
    <n v="26"/>
    <n v="423.33"/>
    <n v="241.8"/>
    <n v="11006.58"/>
    <n v="6286.8"/>
    <n v="4719.78"/>
  </r>
  <r>
    <n v="2711"/>
    <d v="2024-06-21T00:00:00"/>
    <x v="2"/>
    <x v="0"/>
    <s v="Stapler"/>
    <x v="3"/>
    <n v="6"/>
    <n v="11.37"/>
    <n v="6.08"/>
    <n v="68.22"/>
    <n v="36.480000000000004"/>
    <n v="31.739999999999995"/>
  </r>
  <r>
    <n v="2123"/>
    <d v="2024-06-22T00:00:00"/>
    <x v="1"/>
    <x v="2"/>
    <s v="Office Suite"/>
    <x v="4"/>
    <n v="25"/>
    <n v="106.61"/>
    <n v="59.28"/>
    <n v="2665.25"/>
    <n v="1482"/>
    <n v="1183.25"/>
  </r>
  <r>
    <n v="2247"/>
    <d v="2024-06-22T00:00:00"/>
    <x v="4"/>
    <x v="3"/>
    <s v="Bookshelf"/>
    <x v="0"/>
    <n v="34"/>
    <n v="213.8"/>
    <n v="141.61000000000001"/>
    <n v="7269.2000000000007"/>
    <n v="4814.7400000000007"/>
    <n v="2454.46"/>
  </r>
  <r>
    <n v="1325"/>
    <d v="2024-06-23T00:00:00"/>
    <x v="1"/>
    <x v="0"/>
    <s v="Printer Paper"/>
    <x v="3"/>
    <n v="31"/>
    <n v="17.739999999999998"/>
    <n v="9.68"/>
    <n v="549.93999999999994"/>
    <n v="300.08"/>
    <n v="249.85999999999996"/>
  </r>
  <r>
    <n v="1429"/>
    <d v="2024-06-23T00:00:00"/>
    <x v="3"/>
    <x v="1"/>
    <s v="Headphones"/>
    <x v="5"/>
    <n v="31"/>
    <n v="452.44"/>
    <n v="241.5"/>
    <n v="14025.64"/>
    <n v="7486.5"/>
    <n v="6539.1399999999994"/>
  </r>
  <r>
    <n v="2452"/>
    <d v="2024-06-23T00:00:00"/>
    <x v="1"/>
    <x v="3"/>
    <s v="Whiteboard"/>
    <x v="0"/>
    <n v="11"/>
    <n v="397.72"/>
    <n v="270.67"/>
    <n v="4374.92"/>
    <n v="2977.3700000000003"/>
    <n v="1397.5499999999997"/>
  </r>
  <r>
    <n v="2200"/>
    <d v="2024-06-24T00:00:00"/>
    <x v="3"/>
    <x v="2"/>
    <s v="Antivirus License"/>
    <x v="5"/>
    <n v="31"/>
    <n v="38.32"/>
    <n v="26.05"/>
    <n v="1187.92"/>
    <n v="807.55000000000007"/>
    <n v="380.37"/>
  </r>
  <r>
    <n v="2656"/>
    <d v="2024-06-24T00:00:00"/>
    <x v="0"/>
    <x v="0"/>
    <s v="Printer Paper"/>
    <x v="4"/>
    <n v="12"/>
    <n v="55.41"/>
    <n v="39.97"/>
    <n v="664.92"/>
    <n v="479.64"/>
    <n v="185.27999999999997"/>
  </r>
  <r>
    <n v="1516"/>
    <d v="2024-06-26T00:00:00"/>
    <x v="3"/>
    <x v="2"/>
    <s v="Antivirus License"/>
    <x v="4"/>
    <n v="21"/>
    <n v="287.64999999999998"/>
    <n v="148.83000000000001"/>
    <n v="6040.65"/>
    <n v="3125.4300000000003"/>
    <n v="2915.2199999999993"/>
  </r>
  <r>
    <n v="1777"/>
    <d v="2024-06-26T00:00:00"/>
    <x v="1"/>
    <x v="0"/>
    <s v="Notebook"/>
    <x v="3"/>
    <n v="28"/>
    <n v="20.75"/>
    <n v="11.29"/>
    <n v="581"/>
    <n v="316.12"/>
    <n v="264.88"/>
  </r>
  <r>
    <n v="1961"/>
    <d v="2024-06-26T00:00:00"/>
    <x v="1"/>
    <x v="2"/>
    <s v="Design Tool"/>
    <x v="1"/>
    <n v="13"/>
    <n v="105.4"/>
    <n v="60.53"/>
    <n v="1370.2"/>
    <n v="786.89"/>
    <n v="583.31000000000006"/>
  </r>
  <r>
    <n v="1104"/>
    <d v="2024-06-27T00:00:00"/>
    <x v="3"/>
    <x v="1"/>
    <s v="Monitor"/>
    <x v="2"/>
    <n v="23"/>
    <n v="723.59"/>
    <n v="371.27"/>
    <n v="16642.57"/>
    <n v="8539.2099999999991"/>
    <n v="8103.3600000000006"/>
  </r>
  <r>
    <n v="1235"/>
    <d v="2024-06-27T00:00:00"/>
    <x v="1"/>
    <x v="0"/>
    <s v="Printer Paper"/>
    <x v="6"/>
    <n v="30"/>
    <n v="26.09"/>
    <n v="15.86"/>
    <n v="782.7"/>
    <n v="475.79999999999995"/>
    <n v="306.90000000000009"/>
  </r>
  <r>
    <n v="2506"/>
    <d v="2024-06-27T00:00:00"/>
    <x v="3"/>
    <x v="0"/>
    <s v="Printer Paper"/>
    <x v="6"/>
    <n v="30"/>
    <n v="57.43"/>
    <n v="38.5"/>
    <n v="1722.9"/>
    <n v="1155"/>
    <n v="567.90000000000009"/>
  </r>
  <r>
    <n v="1145"/>
    <d v="2024-06-28T00:00:00"/>
    <x v="2"/>
    <x v="2"/>
    <s v="Office Suite"/>
    <x v="1"/>
    <n v="5"/>
    <n v="76.45"/>
    <n v="53.35"/>
    <n v="382.25"/>
    <n v="266.75"/>
    <n v="115.5"/>
  </r>
  <r>
    <n v="1200"/>
    <d v="2024-06-28T00:00:00"/>
    <x v="2"/>
    <x v="2"/>
    <s v="Antivirus License"/>
    <x v="5"/>
    <n v="25"/>
    <n v="61.78"/>
    <n v="36.700000000000003"/>
    <n v="1544.5"/>
    <n v="917.50000000000011"/>
    <n v="626.99999999999989"/>
  </r>
  <r>
    <n v="1381"/>
    <d v="2024-06-28T00:00:00"/>
    <x v="1"/>
    <x v="1"/>
    <s v="Headphones"/>
    <x v="1"/>
    <n v="35"/>
    <n v="225"/>
    <n v="162.68"/>
    <n v="7875"/>
    <n v="5693.8"/>
    <n v="2181.1999999999998"/>
  </r>
  <r>
    <n v="1758"/>
    <d v="2024-06-28T00:00:00"/>
    <x v="2"/>
    <x v="0"/>
    <s v="Notebook"/>
    <x v="6"/>
    <n v="30"/>
    <n v="40.57"/>
    <n v="27.37"/>
    <n v="1217.0999999999999"/>
    <n v="821.1"/>
    <n v="395.99999999999989"/>
  </r>
  <r>
    <n v="1900"/>
    <d v="2024-06-29T00:00:00"/>
    <x v="3"/>
    <x v="0"/>
    <s v="Desk Chair"/>
    <x v="0"/>
    <n v="26"/>
    <n v="52.81"/>
    <n v="29.23"/>
    <n v="1373.06"/>
    <n v="759.98"/>
    <n v="613.07999999999993"/>
  </r>
  <r>
    <n v="2350"/>
    <d v="2024-06-29T00:00:00"/>
    <x v="4"/>
    <x v="2"/>
    <s v="Cloud Storage"/>
    <x v="1"/>
    <n v="16"/>
    <n v="41.57"/>
    <n v="28.82"/>
    <n v="665.12"/>
    <n v="461.12"/>
    <n v="204"/>
  </r>
  <r>
    <n v="1295"/>
    <d v="2024-06-30T00:00:00"/>
    <x v="3"/>
    <x v="2"/>
    <s v="Antivirus License"/>
    <x v="1"/>
    <n v="39"/>
    <n v="199.1"/>
    <n v="104.73"/>
    <n v="7764.9"/>
    <n v="4084.4700000000003"/>
    <n v="3680.4299999999994"/>
  </r>
  <r>
    <n v="1493"/>
    <d v="2024-06-30T00:00:00"/>
    <x v="2"/>
    <x v="3"/>
    <s v="Office Desk"/>
    <x v="3"/>
    <n v="20"/>
    <n v="424.51"/>
    <n v="301.75"/>
    <n v="8490.2000000000007"/>
    <n v="6035"/>
    <n v="2455.2000000000007"/>
  </r>
  <r>
    <n v="1714"/>
    <d v="2024-06-30T00:00:00"/>
    <x v="3"/>
    <x v="1"/>
    <s v="Keyboard"/>
    <x v="5"/>
    <n v="13"/>
    <n v="433.45"/>
    <n v="316.57"/>
    <n v="5634.8499999999995"/>
    <n v="4115.41"/>
    <n v="1519.4399999999996"/>
  </r>
  <r>
    <n v="1013"/>
    <d v="2024-07-01T00:00:00"/>
    <x v="1"/>
    <x v="1"/>
    <s v="Headphones"/>
    <x v="7"/>
    <n v="10"/>
    <n v="374.09"/>
    <n v="272.94"/>
    <n v="3740.8999999999996"/>
    <n v="2729.4"/>
    <n v="1011.4999999999995"/>
  </r>
  <r>
    <n v="1735"/>
    <d v="2024-07-01T00:00:00"/>
    <x v="0"/>
    <x v="1"/>
    <s v="Monitor"/>
    <x v="0"/>
    <n v="7"/>
    <n v="77.63"/>
    <n v="40.97"/>
    <n v="543.41"/>
    <n v="286.78999999999996"/>
    <n v="256.62"/>
  </r>
  <r>
    <n v="2204"/>
    <d v="2024-07-02T00:00:00"/>
    <x v="0"/>
    <x v="1"/>
    <s v="Keyboard"/>
    <x v="3"/>
    <n v="22"/>
    <n v="134.85"/>
    <n v="80.489999999999995"/>
    <n v="2966.7"/>
    <n v="1770.78"/>
    <n v="1195.9199999999998"/>
  </r>
  <r>
    <n v="1287"/>
    <d v="2024-07-03T00:00:00"/>
    <x v="3"/>
    <x v="3"/>
    <s v="Bookshelf"/>
    <x v="2"/>
    <n v="18"/>
    <n v="302.36"/>
    <n v="226.74"/>
    <n v="5442.4800000000005"/>
    <n v="4081.32"/>
    <n v="1361.1600000000003"/>
  </r>
  <r>
    <n v="1863"/>
    <d v="2024-07-03T00:00:00"/>
    <x v="4"/>
    <x v="1"/>
    <s v="Headphones"/>
    <x v="1"/>
    <n v="12"/>
    <n v="746.7"/>
    <n v="452.95"/>
    <n v="8960.4000000000015"/>
    <n v="5435.4"/>
    <n v="3525.0000000000018"/>
  </r>
  <r>
    <n v="2787"/>
    <d v="2024-07-03T00:00:00"/>
    <x v="0"/>
    <x v="3"/>
    <s v="Office Desk"/>
    <x v="5"/>
    <n v="25"/>
    <n v="379.3"/>
    <n v="258.37"/>
    <n v="9482.5"/>
    <n v="6459.25"/>
    <n v="3023.25"/>
  </r>
  <r>
    <n v="2693"/>
    <d v="2024-07-04T00:00:00"/>
    <x v="0"/>
    <x v="2"/>
    <s v="Office Suite"/>
    <x v="3"/>
    <n v="39"/>
    <n v="274.91000000000003"/>
    <n v="191.45"/>
    <n v="10721.490000000002"/>
    <n v="7466.5499999999993"/>
    <n v="3254.9400000000023"/>
  </r>
  <r>
    <n v="1051"/>
    <d v="2024-07-05T00:00:00"/>
    <x v="3"/>
    <x v="3"/>
    <s v="Whiteboard"/>
    <x v="5"/>
    <n v="14"/>
    <n v="449.45"/>
    <n v="331.6"/>
    <n v="6292.3"/>
    <n v="4642.4000000000005"/>
    <n v="1649.8999999999996"/>
  </r>
  <r>
    <n v="1159"/>
    <d v="2024-07-05T00:00:00"/>
    <x v="0"/>
    <x v="2"/>
    <s v="Antivirus License"/>
    <x v="3"/>
    <n v="34"/>
    <n v="218.61"/>
    <n v="128.22"/>
    <n v="7432.7400000000007"/>
    <n v="4359.4799999999996"/>
    <n v="3073.2600000000011"/>
  </r>
  <r>
    <n v="1665"/>
    <d v="2024-07-05T00:00:00"/>
    <x v="2"/>
    <x v="1"/>
    <s v="Laptop"/>
    <x v="6"/>
    <n v="20"/>
    <n v="323.70999999999998"/>
    <n v="227.23"/>
    <n v="6474.2"/>
    <n v="4544.5999999999995"/>
    <n v="1929.6000000000004"/>
  </r>
  <r>
    <n v="2149"/>
    <d v="2024-07-05T00:00:00"/>
    <x v="1"/>
    <x v="3"/>
    <s v="Whiteboard"/>
    <x v="6"/>
    <n v="2"/>
    <n v="341.95"/>
    <n v="171.7"/>
    <n v="683.9"/>
    <n v="343.4"/>
    <n v="340.5"/>
  </r>
  <r>
    <n v="2172"/>
    <d v="2024-07-05T00:00:00"/>
    <x v="2"/>
    <x v="0"/>
    <s v="Notebook"/>
    <x v="7"/>
    <n v="2"/>
    <n v="45.44"/>
    <n v="29.11"/>
    <n v="90.88"/>
    <n v="58.22"/>
    <n v="32.659999999999997"/>
  </r>
  <r>
    <n v="2500"/>
    <d v="2024-07-05T00:00:00"/>
    <x v="3"/>
    <x v="0"/>
    <s v="Printer Paper"/>
    <x v="6"/>
    <n v="11"/>
    <n v="22.39"/>
    <n v="15.04"/>
    <n v="246.29000000000002"/>
    <n v="165.44"/>
    <n v="80.850000000000023"/>
  </r>
  <r>
    <n v="1776"/>
    <d v="2024-07-06T00:00:00"/>
    <x v="2"/>
    <x v="1"/>
    <s v="Laptop"/>
    <x v="4"/>
    <n v="5"/>
    <n v="861.08"/>
    <n v="457.57"/>
    <n v="4305.4000000000005"/>
    <n v="2287.85"/>
    <n v="2017.5500000000006"/>
  </r>
  <r>
    <n v="1366"/>
    <d v="2024-07-07T00:00:00"/>
    <x v="1"/>
    <x v="1"/>
    <s v="Webcam"/>
    <x v="1"/>
    <n v="27"/>
    <n v="516.19000000000005"/>
    <n v="343.7"/>
    <n v="13937.130000000001"/>
    <n v="9279.9"/>
    <n v="4657.2300000000014"/>
  </r>
  <r>
    <n v="2206"/>
    <d v="2024-07-07T00:00:00"/>
    <x v="4"/>
    <x v="2"/>
    <s v="Office Suite"/>
    <x v="7"/>
    <n v="23"/>
    <n v="230.51"/>
    <n v="145.44"/>
    <n v="5301.73"/>
    <n v="3345.12"/>
    <n v="1956.6099999999997"/>
  </r>
  <r>
    <n v="2413"/>
    <d v="2024-07-07T00:00:00"/>
    <x v="1"/>
    <x v="1"/>
    <s v="Monitor"/>
    <x v="1"/>
    <n v="3"/>
    <n v="253.92"/>
    <n v="152.02000000000001"/>
    <n v="761.76"/>
    <n v="456.06000000000006"/>
    <n v="305.69999999999993"/>
  </r>
  <r>
    <n v="1604"/>
    <d v="2024-07-08T00:00:00"/>
    <x v="2"/>
    <x v="1"/>
    <s v="Monitor"/>
    <x v="5"/>
    <n v="25"/>
    <n v="416.24"/>
    <n v="240.82"/>
    <n v="10406"/>
    <n v="6020.5"/>
    <n v="4385.5"/>
  </r>
  <r>
    <n v="1185"/>
    <d v="2024-07-09T00:00:00"/>
    <x v="3"/>
    <x v="3"/>
    <s v="Filing Cabinet"/>
    <x v="7"/>
    <n v="12"/>
    <n v="250.31"/>
    <n v="145.68"/>
    <n v="3003.7200000000003"/>
    <n v="1748.16"/>
    <n v="1255.5600000000002"/>
  </r>
  <r>
    <n v="1790"/>
    <d v="2024-07-09T00:00:00"/>
    <x v="0"/>
    <x v="1"/>
    <s v="Monitor"/>
    <x v="7"/>
    <n v="17"/>
    <n v="885.68"/>
    <n v="467.02"/>
    <n v="15056.56"/>
    <n v="7939.34"/>
    <n v="7117.2199999999993"/>
  </r>
  <r>
    <n v="1837"/>
    <d v="2024-07-09T00:00:00"/>
    <x v="2"/>
    <x v="3"/>
    <s v="Office Desk"/>
    <x v="3"/>
    <n v="28"/>
    <n v="296.01"/>
    <n v="157.16999999999999"/>
    <n v="8288.2799999999988"/>
    <n v="4400.7599999999993"/>
    <n v="3887.5199999999995"/>
  </r>
  <r>
    <n v="2541"/>
    <d v="2024-07-09T00:00:00"/>
    <x v="3"/>
    <x v="3"/>
    <s v="Bookshelf"/>
    <x v="1"/>
    <n v="10"/>
    <n v="338.22"/>
    <n v="243.65"/>
    <n v="3382.2000000000003"/>
    <n v="2436.5"/>
    <n v="945.70000000000027"/>
  </r>
  <r>
    <n v="1844"/>
    <d v="2024-07-10T00:00:00"/>
    <x v="0"/>
    <x v="3"/>
    <s v="Office Desk"/>
    <x v="0"/>
    <n v="16"/>
    <n v="279.02999999999997"/>
    <n v="146.69999999999999"/>
    <n v="4464.4799999999996"/>
    <n v="2347.1999999999998"/>
    <n v="2117.2799999999997"/>
  </r>
  <r>
    <n v="2455"/>
    <d v="2024-07-10T00:00:00"/>
    <x v="4"/>
    <x v="0"/>
    <s v="Desk Chair"/>
    <x v="3"/>
    <n v="31"/>
    <n v="26.44"/>
    <n v="17.03"/>
    <n v="819.64"/>
    <n v="527.93000000000006"/>
    <n v="291.70999999999992"/>
  </r>
  <r>
    <n v="1597"/>
    <d v="2024-07-11T00:00:00"/>
    <x v="1"/>
    <x v="1"/>
    <s v="Keyboard"/>
    <x v="4"/>
    <n v="5"/>
    <n v="157.91999999999999"/>
    <n v="106.24"/>
    <n v="789.59999999999991"/>
    <n v="531.19999999999993"/>
    <n v="258.39999999999998"/>
  </r>
  <r>
    <n v="1796"/>
    <d v="2024-07-11T00:00:00"/>
    <x v="3"/>
    <x v="3"/>
    <s v="Office Desk"/>
    <x v="5"/>
    <n v="3"/>
    <n v="364.73"/>
    <n v="226.55"/>
    <n v="1094.19"/>
    <n v="679.65000000000009"/>
    <n v="414.53999999999996"/>
  </r>
  <r>
    <n v="1885"/>
    <d v="2024-07-11T00:00:00"/>
    <x v="1"/>
    <x v="0"/>
    <s v="Desk Chair"/>
    <x v="7"/>
    <n v="18"/>
    <n v="35.5"/>
    <n v="22.04"/>
    <n v="639"/>
    <n v="396.71999999999997"/>
    <n v="242.28000000000003"/>
  </r>
  <r>
    <n v="2451"/>
    <d v="2024-07-11T00:00:00"/>
    <x v="1"/>
    <x v="1"/>
    <s v="Keyboard"/>
    <x v="0"/>
    <n v="16"/>
    <n v="190.08"/>
    <n v="109.07"/>
    <n v="3041.28"/>
    <n v="1745.12"/>
    <n v="1296.1600000000003"/>
  </r>
  <r>
    <n v="2548"/>
    <d v="2024-07-11T00:00:00"/>
    <x v="0"/>
    <x v="1"/>
    <s v="Laptop"/>
    <x v="0"/>
    <n v="36"/>
    <n v="470.71"/>
    <n v="294.60000000000002"/>
    <n v="16945.559999999998"/>
    <n v="10605.6"/>
    <n v="6339.9599999999973"/>
  </r>
  <r>
    <n v="1166"/>
    <d v="2024-07-13T00:00:00"/>
    <x v="0"/>
    <x v="2"/>
    <s v="Cloud Storage"/>
    <x v="4"/>
    <n v="20"/>
    <n v="148.02000000000001"/>
    <n v="82.92"/>
    <n v="2960.4"/>
    <n v="1658.4"/>
    <n v="1302"/>
  </r>
  <r>
    <n v="1203"/>
    <d v="2024-07-14T00:00:00"/>
    <x v="3"/>
    <x v="3"/>
    <s v="Whiteboard"/>
    <x v="2"/>
    <n v="5"/>
    <n v="384.21"/>
    <n v="238.15"/>
    <n v="1921.05"/>
    <n v="1190.75"/>
    <n v="730.3"/>
  </r>
  <r>
    <n v="2677"/>
    <d v="2024-07-14T00:00:00"/>
    <x v="0"/>
    <x v="2"/>
    <s v="Antivirus License"/>
    <x v="5"/>
    <n v="38"/>
    <n v="206.6"/>
    <n v="146.13"/>
    <n v="7850.8"/>
    <n v="5552.94"/>
    <n v="2297.8600000000006"/>
  </r>
  <r>
    <n v="1603"/>
    <d v="2024-07-15T00:00:00"/>
    <x v="4"/>
    <x v="0"/>
    <s v="Desk Lamp"/>
    <x v="2"/>
    <n v="7"/>
    <n v="55.47"/>
    <n v="37.42"/>
    <n v="388.28999999999996"/>
    <n v="261.94"/>
    <n v="126.34999999999997"/>
  </r>
  <r>
    <n v="2376"/>
    <d v="2024-07-15T00:00:00"/>
    <x v="0"/>
    <x v="2"/>
    <s v="Cloud Storage"/>
    <x v="3"/>
    <n v="18"/>
    <n v="252.9"/>
    <n v="144.43"/>
    <n v="4552.2"/>
    <n v="2599.7400000000002"/>
    <n v="1952.4599999999996"/>
  </r>
  <r>
    <n v="1923"/>
    <d v="2024-07-16T00:00:00"/>
    <x v="4"/>
    <x v="0"/>
    <s v="Notebook"/>
    <x v="0"/>
    <n v="26"/>
    <n v="48.21"/>
    <n v="26.59"/>
    <n v="1253.46"/>
    <n v="691.34"/>
    <n v="562.12"/>
  </r>
  <r>
    <n v="2273"/>
    <d v="2024-07-16T00:00:00"/>
    <x v="4"/>
    <x v="0"/>
    <s v="Printer Paper"/>
    <x v="2"/>
    <n v="31"/>
    <n v="39.08"/>
    <n v="24.25"/>
    <n v="1211.48"/>
    <n v="751.75"/>
    <n v="459.73"/>
  </r>
  <r>
    <n v="2325"/>
    <d v="2024-07-16T00:00:00"/>
    <x v="4"/>
    <x v="2"/>
    <s v="Cloud Storage"/>
    <x v="7"/>
    <n v="9"/>
    <n v="133.83000000000001"/>
    <n v="96.09"/>
    <n v="1204.47"/>
    <n v="864.81000000000006"/>
    <n v="339.65999999999997"/>
  </r>
  <r>
    <n v="1064"/>
    <d v="2024-07-17T00:00:00"/>
    <x v="4"/>
    <x v="0"/>
    <s v="Printer Paper"/>
    <x v="1"/>
    <n v="20"/>
    <n v="33.450000000000003"/>
    <n v="21.35"/>
    <n v="669"/>
    <n v="427"/>
    <n v="242"/>
  </r>
  <r>
    <n v="1136"/>
    <d v="2024-07-17T00:00:00"/>
    <x v="4"/>
    <x v="2"/>
    <s v="Cloud Storage"/>
    <x v="0"/>
    <n v="25"/>
    <n v="75.92"/>
    <n v="49.44"/>
    <n v="1898"/>
    <n v="1236"/>
    <n v="662"/>
  </r>
  <r>
    <n v="2067"/>
    <d v="2024-07-17T00:00:00"/>
    <x v="1"/>
    <x v="1"/>
    <s v="Headphones"/>
    <x v="5"/>
    <n v="11"/>
    <n v="820.81"/>
    <n v="603.41"/>
    <n v="9028.91"/>
    <n v="6637.5099999999993"/>
    <n v="2391.4000000000005"/>
  </r>
  <r>
    <n v="2729"/>
    <d v="2024-07-18T00:00:00"/>
    <x v="2"/>
    <x v="1"/>
    <s v="Laptop"/>
    <x v="0"/>
    <n v="4"/>
    <n v="602.39"/>
    <n v="423.98"/>
    <n v="2409.56"/>
    <n v="1695.92"/>
    <n v="713.63999999999987"/>
  </r>
  <r>
    <n v="1353"/>
    <d v="2024-07-19T00:00:00"/>
    <x v="0"/>
    <x v="1"/>
    <s v="Keyboard"/>
    <x v="7"/>
    <n v="30"/>
    <n v="752.63"/>
    <n v="385.06"/>
    <n v="22578.9"/>
    <n v="11551.8"/>
    <n v="11027.100000000002"/>
  </r>
  <r>
    <n v="1585"/>
    <d v="2024-07-19T00:00:00"/>
    <x v="3"/>
    <x v="1"/>
    <s v="Webcam"/>
    <x v="4"/>
    <n v="6"/>
    <n v="879.71"/>
    <n v="552.36"/>
    <n v="5278.26"/>
    <n v="3314.16"/>
    <n v="1964.1000000000004"/>
  </r>
  <r>
    <n v="2513"/>
    <d v="2024-07-19T00:00:00"/>
    <x v="2"/>
    <x v="1"/>
    <s v="Webcam"/>
    <x v="5"/>
    <n v="34"/>
    <n v="60.55"/>
    <n v="35.86"/>
    <n v="2058.6999999999998"/>
    <n v="1219.24"/>
    <n v="839.45999999999981"/>
  </r>
  <r>
    <n v="2364"/>
    <d v="2024-07-20T00:00:00"/>
    <x v="3"/>
    <x v="2"/>
    <s v="Design Tool"/>
    <x v="6"/>
    <n v="15"/>
    <n v="74.459999999999994"/>
    <n v="47.83"/>
    <n v="1116.8999999999999"/>
    <n v="717.44999999999993"/>
    <n v="399.44999999999993"/>
  </r>
  <r>
    <n v="2239"/>
    <d v="2024-07-21T00:00:00"/>
    <x v="0"/>
    <x v="2"/>
    <s v="Design Tool"/>
    <x v="4"/>
    <n v="16"/>
    <n v="108.54"/>
    <n v="79.59"/>
    <n v="1736.64"/>
    <n v="1273.44"/>
    <n v="463.20000000000005"/>
  </r>
  <r>
    <n v="2432"/>
    <d v="2024-07-21T00:00:00"/>
    <x v="0"/>
    <x v="3"/>
    <s v="Whiteboard"/>
    <x v="2"/>
    <n v="29"/>
    <n v="129.51"/>
    <n v="71.37"/>
    <n v="3755.79"/>
    <n v="2069.73"/>
    <n v="1686.06"/>
  </r>
  <r>
    <n v="2493"/>
    <d v="2024-07-22T00:00:00"/>
    <x v="0"/>
    <x v="2"/>
    <s v="Office Suite"/>
    <x v="3"/>
    <n v="9"/>
    <n v="67.95"/>
    <n v="39.83"/>
    <n v="611.55000000000007"/>
    <n v="358.46999999999997"/>
    <n v="253.0800000000001"/>
  </r>
  <r>
    <n v="2641"/>
    <d v="2024-07-22T00:00:00"/>
    <x v="3"/>
    <x v="2"/>
    <s v="Cloud Storage"/>
    <x v="1"/>
    <n v="1"/>
    <n v="286.7"/>
    <n v="185.52"/>
    <n v="286.7"/>
    <n v="185.52"/>
    <n v="101.17999999999998"/>
  </r>
  <r>
    <n v="1561"/>
    <d v="2024-07-23T00:00:00"/>
    <x v="2"/>
    <x v="0"/>
    <s v="Desk Chair"/>
    <x v="4"/>
    <n v="38"/>
    <n v="53.76"/>
    <n v="33"/>
    <n v="2042.8799999999999"/>
    <n v="1254"/>
    <n v="788.87999999999988"/>
  </r>
  <r>
    <n v="2054"/>
    <d v="2024-07-23T00:00:00"/>
    <x v="3"/>
    <x v="2"/>
    <s v="Design Tool"/>
    <x v="3"/>
    <n v="4"/>
    <n v="198.18"/>
    <n v="142.86000000000001"/>
    <n v="792.72"/>
    <n v="571.44000000000005"/>
    <n v="221.27999999999997"/>
  </r>
  <r>
    <n v="2073"/>
    <d v="2024-07-23T00:00:00"/>
    <x v="0"/>
    <x v="3"/>
    <s v="Filing Cabinet"/>
    <x v="4"/>
    <n v="17"/>
    <n v="232.72"/>
    <n v="146.79"/>
    <n v="3956.24"/>
    <n v="2495.4299999999998"/>
    <n v="1460.81"/>
  </r>
  <r>
    <n v="2738"/>
    <d v="2024-07-23T00:00:00"/>
    <x v="2"/>
    <x v="1"/>
    <s v="Laptop"/>
    <x v="2"/>
    <n v="32"/>
    <n v="164.73"/>
    <n v="116.28"/>
    <n v="5271.36"/>
    <n v="3720.96"/>
    <n v="1550.3999999999996"/>
  </r>
  <r>
    <n v="1316"/>
    <d v="2024-07-24T00:00:00"/>
    <x v="3"/>
    <x v="0"/>
    <s v="Desk Chair"/>
    <x v="4"/>
    <n v="4"/>
    <n v="43.16"/>
    <n v="27.03"/>
    <n v="172.64"/>
    <n v="108.12"/>
    <n v="64.519999999999982"/>
  </r>
  <r>
    <n v="1730"/>
    <d v="2024-07-24T00:00:00"/>
    <x v="0"/>
    <x v="1"/>
    <s v="Headphones"/>
    <x v="7"/>
    <n v="31"/>
    <n v="643.62"/>
    <n v="414.88"/>
    <n v="19952.22"/>
    <n v="12861.28"/>
    <n v="7090.9400000000005"/>
  </r>
  <r>
    <n v="2224"/>
    <d v="2024-07-24T00:00:00"/>
    <x v="0"/>
    <x v="1"/>
    <s v="Keyboard"/>
    <x v="4"/>
    <n v="7"/>
    <n v="153.58000000000001"/>
    <n v="103.42"/>
    <n v="1075.0600000000002"/>
    <n v="723.94"/>
    <n v="351.12000000000012"/>
  </r>
  <r>
    <n v="2740"/>
    <d v="2024-07-24T00:00:00"/>
    <x v="4"/>
    <x v="2"/>
    <s v="Design Tool"/>
    <x v="1"/>
    <n v="10"/>
    <n v="213.44"/>
    <n v="114.87"/>
    <n v="2134.4"/>
    <n v="1148.7"/>
    <n v="985.7"/>
  </r>
  <r>
    <n v="1756"/>
    <d v="2024-07-25T00:00:00"/>
    <x v="3"/>
    <x v="0"/>
    <s v="Stapler"/>
    <x v="3"/>
    <n v="26"/>
    <n v="17.07"/>
    <n v="10.63"/>
    <n v="443.82"/>
    <n v="276.38"/>
    <n v="167.44"/>
  </r>
  <r>
    <n v="1852"/>
    <d v="2024-07-25T00:00:00"/>
    <x v="1"/>
    <x v="0"/>
    <s v="Desk Chair"/>
    <x v="1"/>
    <n v="13"/>
    <n v="43.56"/>
    <n v="30.99"/>
    <n v="566.28"/>
    <n v="402.87"/>
    <n v="163.40999999999997"/>
  </r>
  <r>
    <n v="1489"/>
    <d v="2024-07-26T00:00:00"/>
    <x v="3"/>
    <x v="3"/>
    <s v="Office Desk"/>
    <x v="4"/>
    <n v="32"/>
    <n v="82.42"/>
    <n v="46.11"/>
    <n v="2637.44"/>
    <n v="1475.52"/>
    <n v="1161.92"/>
  </r>
  <r>
    <n v="1264"/>
    <d v="2024-07-27T00:00:00"/>
    <x v="0"/>
    <x v="3"/>
    <s v="Whiteboard"/>
    <x v="3"/>
    <n v="20"/>
    <n v="435.52"/>
    <n v="227.15"/>
    <n v="8710.4"/>
    <n v="4543"/>
    <n v="4167.3999999999996"/>
  </r>
  <r>
    <n v="1947"/>
    <d v="2024-07-27T00:00:00"/>
    <x v="4"/>
    <x v="3"/>
    <s v="Filing Cabinet"/>
    <x v="2"/>
    <n v="7"/>
    <n v="341.29"/>
    <n v="243.39"/>
    <n v="2389.0300000000002"/>
    <n v="1703.73"/>
    <n v="685.30000000000018"/>
  </r>
  <r>
    <n v="2599"/>
    <d v="2024-07-28T00:00:00"/>
    <x v="2"/>
    <x v="1"/>
    <s v="Monitor"/>
    <x v="7"/>
    <n v="31"/>
    <n v="664.56"/>
    <n v="339.56"/>
    <n v="20601.359999999997"/>
    <n v="10526.36"/>
    <n v="10074.999999999996"/>
  </r>
  <r>
    <n v="1755"/>
    <d v="2024-07-29T00:00:00"/>
    <x v="4"/>
    <x v="2"/>
    <s v="Cloud Storage"/>
    <x v="1"/>
    <n v="39"/>
    <n v="220.7"/>
    <n v="135.66999999999999"/>
    <n v="8607.2999999999993"/>
    <n v="5291.1299999999992"/>
    <n v="3316.17"/>
  </r>
  <r>
    <n v="2303"/>
    <d v="2024-07-29T00:00:00"/>
    <x v="2"/>
    <x v="1"/>
    <s v="Keyboard"/>
    <x v="3"/>
    <n v="33"/>
    <n v="516.96"/>
    <n v="329.62"/>
    <n v="17059.68"/>
    <n v="10877.460000000001"/>
    <n v="6182.2199999999993"/>
  </r>
  <r>
    <n v="2440"/>
    <d v="2024-07-29T00:00:00"/>
    <x v="0"/>
    <x v="0"/>
    <s v="Desk Chair"/>
    <x v="1"/>
    <n v="40"/>
    <n v="27.06"/>
    <n v="18.670000000000002"/>
    <n v="1082.3999999999999"/>
    <n v="746.80000000000007"/>
    <n v="335.5999999999998"/>
  </r>
  <r>
    <n v="1197"/>
    <d v="2024-07-30T00:00:00"/>
    <x v="3"/>
    <x v="1"/>
    <s v="Webcam"/>
    <x v="2"/>
    <n v="29"/>
    <n v="562.14"/>
    <n v="337.6"/>
    <n v="16302.06"/>
    <n v="9790.4000000000015"/>
    <n v="6511.659999999998"/>
  </r>
  <r>
    <n v="1475"/>
    <d v="2024-07-30T00:00:00"/>
    <x v="0"/>
    <x v="0"/>
    <s v="Notebook"/>
    <x v="0"/>
    <n v="34"/>
    <n v="27.51"/>
    <n v="18.27"/>
    <n v="935.34"/>
    <n v="621.17999999999995"/>
    <n v="314.16000000000008"/>
  </r>
  <r>
    <n v="1491"/>
    <d v="2024-07-31T00:00:00"/>
    <x v="3"/>
    <x v="0"/>
    <s v="Notebook"/>
    <x v="2"/>
    <n v="23"/>
    <n v="51.67"/>
    <n v="29.69"/>
    <n v="1188.4100000000001"/>
    <n v="682.87"/>
    <n v="505.54000000000008"/>
  </r>
  <r>
    <n v="1570"/>
    <d v="2024-07-31T00:00:00"/>
    <x v="3"/>
    <x v="3"/>
    <s v="Office Desk"/>
    <x v="5"/>
    <n v="4"/>
    <n v="340.04"/>
    <n v="184.92"/>
    <n v="1360.16"/>
    <n v="739.68"/>
    <n v="620.48000000000013"/>
  </r>
  <r>
    <n v="2154"/>
    <d v="2024-08-01T00:00:00"/>
    <x v="2"/>
    <x v="1"/>
    <s v="Keyboard"/>
    <x v="4"/>
    <n v="26"/>
    <n v="226.86"/>
    <n v="168.4"/>
    <n v="5898.3600000000006"/>
    <n v="4378.4000000000005"/>
    <n v="1519.96"/>
  </r>
  <r>
    <n v="2458"/>
    <d v="2024-08-01T00:00:00"/>
    <x v="4"/>
    <x v="0"/>
    <s v="Desk Lamp"/>
    <x v="0"/>
    <n v="38"/>
    <n v="43.41"/>
    <n v="23.24"/>
    <n v="1649.58"/>
    <n v="883.11999999999989"/>
    <n v="766.46"/>
  </r>
  <r>
    <n v="1330"/>
    <d v="2024-08-02T00:00:00"/>
    <x v="0"/>
    <x v="0"/>
    <s v="Stapler"/>
    <x v="3"/>
    <n v="9"/>
    <n v="39.11"/>
    <n v="23.3"/>
    <n v="351.99"/>
    <n v="209.70000000000002"/>
    <n v="142.29"/>
  </r>
  <r>
    <n v="1507"/>
    <d v="2024-08-02T00:00:00"/>
    <x v="4"/>
    <x v="0"/>
    <s v="Notebook"/>
    <x v="0"/>
    <n v="18"/>
    <n v="47.05"/>
    <n v="25.38"/>
    <n v="846.9"/>
    <n v="456.84"/>
    <n v="390.06"/>
  </r>
  <r>
    <n v="1669"/>
    <d v="2024-08-02T00:00:00"/>
    <x v="2"/>
    <x v="0"/>
    <s v="Notebook"/>
    <x v="6"/>
    <n v="35"/>
    <n v="20.149999999999999"/>
    <n v="10.18"/>
    <n v="705.25"/>
    <n v="356.3"/>
    <n v="348.95"/>
  </r>
  <r>
    <n v="1417"/>
    <d v="2024-08-03T00:00:00"/>
    <x v="2"/>
    <x v="1"/>
    <s v="Headphones"/>
    <x v="5"/>
    <n v="40"/>
    <n v="783.95"/>
    <n v="579.83000000000004"/>
    <n v="31358"/>
    <n v="23193.200000000001"/>
    <n v="8164.7999999999993"/>
  </r>
  <r>
    <n v="1736"/>
    <d v="2024-08-03T00:00:00"/>
    <x v="4"/>
    <x v="2"/>
    <s v="Office Suite"/>
    <x v="5"/>
    <n v="24"/>
    <n v="299.35000000000002"/>
    <n v="215.66"/>
    <n v="7184.4000000000005"/>
    <n v="5175.84"/>
    <n v="2008.5600000000004"/>
  </r>
  <r>
    <n v="1807"/>
    <d v="2024-08-03T00:00:00"/>
    <x v="0"/>
    <x v="1"/>
    <s v="Monitor"/>
    <x v="4"/>
    <n v="26"/>
    <n v="311.25"/>
    <n v="157.30000000000001"/>
    <n v="8092.5"/>
    <n v="4089.8"/>
    <n v="4002.7"/>
  </r>
  <r>
    <n v="2156"/>
    <d v="2024-08-03T00:00:00"/>
    <x v="3"/>
    <x v="3"/>
    <s v="Whiteboard"/>
    <x v="0"/>
    <n v="33"/>
    <n v="83.05"/>
    <n v="49.84"/>
    <n v="2740.65"/>
    <n v="1644.72"/>
    <n v="1095.93"/>
  </r>
  <r>
    <n v="2226"/>
    <d v="2024-08-03T00:00:00"/>
    <x v="4"/>
    <x v="1"/>
    <s v="Webcam"/>
    <x v="2"/>
    <n v="10"/>
    <n v="346.73"/>
    <n v="190.76"/>
    <n v="3467.3"/>
    <n v="1907.6"/>
    <n v="1559.7000000000003"/>
  </r>
  <r>
    <n v="1016"/>
    <d v="2024-08-04T00:00:00"/>
    <x v="1"/>
    <x v="0"/>
    <s v="Printer Paper"/>
    <x v="6"/>
    <n v="24"/>
    <n v="32.5"/>
    <n v="19"/>
    <n v="780"/>
    <n v="456"/>
    <n v="324"/>
  </r>
  <r>
    <n v="2411"/>
    <d v="2024-08-04T00:00:00"/>
    <x v="1"/>
    <x v="2"/>
    <s v="Office Suite"/>
    <x v="0"/>
    <n v="23"/>
    <n v="181.93"/>
    <n v="103.22"/>
    <n v="4184.3900000000003"/>
    <n v="2374.06"/>
    <n v="1810.3300000000004"/>
  </r>
  <r>
    <n v="1769"/>
    <d v="2024-08-05T00:00:00"/>
    <x v="2"/>
    <x v="0"/>
    <s v="Desk Chair"/>
    <x v="0"/>
    <n v="40"/>
    <n v="6.84"/>
    <n v="4.4400000000000004"/>
    <n v="273.60000000000002"/>
    <n v="177.60000000000002"/>
    <n v="96"/>
  </r>
  <r>
    <n v="2666"/>
    <d v="2024-08-06T00:00:00"/>
    <x v="4"/>
    <x v="2"/>
    <s v="Design Tool"/>
    <x v="7"/>
    <n v="22"/>
    <n v="133.58000000000001"/>
    <n v="75.91"/>
    <n v="2938.76"/>
    <n v="1670.02"/>
    <n v="1268.7400000000002"/>
  </r>
  <r>
    <n v="1109"/>
    <d v="2024-08-08T00:00:00"/>
    <x v="2"/>
    <x v="2"/>
    <s v="Office Suite"/>
    <x v="6"/>
    <n v="22"/>
    <n v="107.51"/>
    <n v="62.15"/>
    <n v="2365.2200000000003"/>
    <n v="1367.3"/>
    <n v="997.9200000000003"/>
  </r>
  <r>
    <n v="1538"/>
    <d v="2024-08-10T00:00:00"/>
    <x v="1"/>
    <x v="1"/>
    <s v="Laptop"/>
    <x v="3"/>
    <n v="39"/>
    <n v="169.12"/>
    <n v="125.45"/>
    <n v="6595.68"/>
    <n v="4892.55"/>
    <n v="1703.13"/>
  </r>
  <r>
    <n v="2290"/>
    <d v="2024-08-10T00:00:00"/>
    <x v="1"/>
    <x v="1"/>
    <s v="Headphones"/>
    <x v="2"/>
    <n v="14"/>
    <n v="756.85"/>
    <n v="451.95"/>
    <n v="10595.9"/>
    <n v="6327.3"/>
    <n v="4268.5999999999995"/>
  </r>
  <r>
    <n v="2414"/>
    <d v="2024-08-11T00:00:00"/>
    <x v="4"/>
    <x v="1"/>
    <s v="Webcam"/>
    <x v="2"/>
    <n v="14"/>
    <n v="662.48"/>
    <n v="365.41"/>
    <n v="9274.7200000000012"/>
    <n v="5115.7400000000007"/>
    <n v="4158.9800000000005"/>
  </r>
  <r>
    <n v="2766"/>
    <d v="2024-08-11T00:00:00"/>
    <x v="1"/>
    <x v="3"/>
    <s v="Office Desk"/>
    <x v="7"/>
    <n v="11"/>
    <n v="455.57"/>
    <n v="242.49"/>
    <n v="5011.2699999999995"/>
    <n v="2667.3900000000003"/>
    <n v="2343.8799999999992"/>
  </r>
  <r>
    <n v="1805"/>
    <d v="2024-08-12T00:00:00"/>
    <x v="2"/>
    <x v="2"/>
    <s v="Office Suite"/>
    <x v="0"/>
    <n v="10"/>
    <n v="29.62"/>
    <n v="17.18"/>
    <n v="296.2"/>
    <n v="171.8"/>
    <n v="124.39999999999998"/>
  </r>
  <r>
    <n v="2036"/>
    <d v="2024-08-12T00:00:00"/>
    <x v="4"/>
    <x v="1"/>
    <s v="Headphones"/>
    <x v="4"/>
    <n v="27"/>
    <n v="245.9"/>
    <n v="129.72999999999999"/>
    <n v="6639.3"/>
    <n v="3502.7099999999996"/>
    <n v="3136.5900000000006"/>
  </r>
  <r>
    <n v="2366"/>
    <d v="2024-08-12T00:00:00"/>
    <x v="2"/>
    <x v="0"/>
    <s v="Stapler"/>
    <x v="3"/>
    <n v="6"/>
    <n v="49.27"/>
    <n v="29.22"/>
    <n v="295.62"/>
    <n v="175.32"/>
    <n v="120.30000000000001"/>
  </r>
  <r>
    <n v="2544"/>
    <d v="2024-08-12T00:00:00"/>
    <x v="0"/>
    <x v="2"/>
    <s v="Design Tool"/>
    <x v="7"/>
    <n v="2"/>
    <n v="247.01"/>
    <n v="171.36"/>
    <n v="494.02"/>
    <n v="342.72"/>
    <n v="151.29999999999995"/>
  </r>
  <r>
    <n v="1243"/>
    <d v="2024-08-13T00:00:00"/>
    <x v="4"/>
    <x v="1"/>
    <s v="Headphones"/>
    <x v="7"/>
    <n v="35"/>
    <n v="302.48"/>
    <n v="188.7"/>
    <n v="10586.800000000001"/>
    <n v="6604.5"/>
    <n v="3982.3000000000011"/>
  </r>
  <r>
    <n v="1584"/>
    <d v="2024-08-13T00:00:00"/>
    <x v="2"/>
    <x v="3"/>
    <s v="Office Desk"/>
    <x v="5"/>
    <n v="4"/>
    <n v="301.10000000000002"/>
    <n v="208.29"/>
    <n v="1204.4000000000001"/>
    <n v="833.16"/>
    <n v="371.24000000000012"/>
  </r>
  <r>
    <n v="2341"/>
    <d v="2024-08-13T00:00:00"/>
    <x v="4"/>
    <x v="1"/>
    <s v="Laptop"/>
    <x v="7"/>
    <n v="20"/>
    <n v="425.56"/>
    <n v="237.48"/>
    <n v="8511.2000000000007"/>
    <n v="4749.5999999999995"/>
    <n v="3761.6000000000013"/>
  </r>
  <r>
    <n v="2759"/>
    <d v="2024-08-13T00:00:00"/>
    <x v="2"/>
    <x v="0"/>
    <s v="Desk Chair"/>
    <x v="6"/>
    <n v="18"/>
    <n v="38.14"/>
    <n v="20.12"/>
    <n v="686.52"/>
    <n v="362.16"/>
    <n v="324.35999999999996"/>
  </r>
  <r>
    <n v="2517"/>
    <d v="2024-08-15T00:00:00"/>
    <x v="0"/>
    <x v="1"/>
    <s v="Headphones"/>
    <x v="6"/>
    <n v="11"/>
    <n v="279.01"/>
    <n v="192.62"/>
    <n v="3069.1099999999997"/>
    <n v="2118.8200000000002"/>
    <n v="950.28999999999951"/>
  </r>
  <r>
    <n v="1035"/>
    <d v="2024-08-16T00:00:00"/>
    <x v="3"/>
    <x v="0"/>
    <s v="Stapler"/>
    <x v="5"/>
    <n v="18"/>
    <n v="58.11"/>
    <n v="34.86"/>
    <n v="1045.98"/>
    <n v="627.48"/>
    <n v="418.5"/>
  </r>
  <r>
    <n v="1351"/>
    <d v="2024-08-16T00:00:00"/>
    <x v="2"/>
    <x v="3"/>
    <s v="Whiteboard"/>
    <x v="5"/>
    <n v="29"/>
    <n v="173.13"/>
    <n v="122.48"/>
    <n v="5020.7699999999995"/>
    <n v="3551.92"/>
    <n v="1468.8499999999995"/>
  </r>
  <r>
    <n v="1388"/>
    <d v="2024-08-16T00:00:00"/>
    <x v="1"/>
    <x v="2"/>
    <s v="Design Tool"/>
    <x v="5"/>
    <n v="32"/>
    <n v="266.97000000000003"/>
    <n v="162.84"/>
    <n v="8543.0400000000009"/>
    <n v="5210.88"/>
    <n v="3332.1600000000008"/>
  </r>
  <r>
    <n v="1512"/>
    <d v="2024-08-17T00:00:00"/>
    <x v="0"/>
    <x v="3"/>
    <s v="Filing Cabinet"/>
    <x v="6"/>
    <n v="12"/>
    <n v="411.29"/>
    <n v="252.25"/>
    <n v="4935.4800000000005"/>
    <n v="3027"/>
    <n v="1908.4800000000005"/>
  </r>
  <r>
    <n v="2012"/>
    <d v="2024-08-17T00:00:00"/>
    <x v="1"/>
    <x v="2"/>
    <s v="Antivirus License"/>
    <x v="2"/>
    <n v="39"/>
    <n v="95.37"/>
    <n v="67.62"/>
    <n v="3719.4300000000003"/>
    <n v="2637.1800000000003"/>
    <n v="1082.25"/>
  </r>
  <r>
    <n v="2195"/>
    <d v="2024-08-17T00:00:00"/>
    <x v="0"/>
    <x v="0"/>
    <s v="Notebook"/>
    <x v="4"/>
    <n v="14"/>
    <n v="19.920000000000002"/>
    <n v="12.37"/>
    <n v="278.88"/>
    <n v="173.17999999999998"/>
    <n v="105.70000000000002"/>
  </r>
  <r>
    <n v="1319"/>
    <d v="2024-08-18T00:00:00"/>
    <x v="0"/>
    <x v="3"/>
    <s v="Whiteboard"/>
    <x v="2"/>
    <n v="1"/>
    <n v="152.74"/>
    <n v="84.91"/>
    <n v="152.74"/>
    <n v="84.91"/>
    <n v="67.830000000000013"/>
  </r>
  <r>
    <n v="2684"/>
    <d v="2024-08-18T00:00:00"/>
    <x v="3"/>
    <x v="1"/>
    <s v="Keyboard"/>
    <x v="4"/>
    <n v="30"/>
    <n v="376.66"/>
    <n v="208.85"/>
    <n v="11299.800000000001"/>
    <n v="6265.5"/>
    <n v="5034.3000000000011"/>
  </r>
  <r>
    <n v="1133"/>
    <d v="2024-08-19T00:00:00"/>
    <x v="0"/>
    <x v="0"/>
    <s v="Desk Chair"/>
    <x v="0"/>
    <n v="7"/>
    <n v="33.770000000000003"/>
    <n v="22.47"/>
    <n v="236.39000000000001"/>
    <n v="157.29"/>
    <n v="79.100000000000023"/>
  </r>
  <r>
    <n v="1332"/>
    <d v="2024-08-19T00:00:00"/>
    <x v="4"/>
    <x v="3"/>
    <s v="Bookshelf"/>
    <x v="3"/>
    <n v="25"/>
    <n v="107.42"/>
    <n v="79.180000000000007"/>
    <n v="2685.5"/>
    <n v="1979.5000000000002"/>
    <n v="705.99999999999977"/>
  </r>
  <r>
    <n v="1825"/>
    <d v="2024-08-19T00:00:00"/>
    <x v="4"/>
    <x v="1"/>
    <s v="Laptop"/>
    <x v="6"/>
    <n v="15"/>
    <n v="378.05"/>
    <n v="257.86"/>
    <n v="5670.75"/>
    <n v="3867.9"/>
    <n v="1802.85"/>
  </r>
  <r>
    <n v="1946"/>
    <d v="2024-08-19T00:00:00"/>
    <x v="1"/>
    <x v="2"/>
    <s v="Cloud Storage"/>
    <x v="6"/>
    <n v="7"/>
    <n v="158.65"/>
    <n v="86.11"/>
    <n v="1110.55"/>
    <n v="602.77"/>
    <n v="507.78"/>
  </r>
  <r>
    <n v="1431"/>
    <d v="2024-08-20T00:00:00"/>
    <x v="3"/>
    <x v="2"/>
    <s v="Design Tool"/>
    <x v="5"/>
    <n v="27"/>
    <n v="248.31"/>
    <n v="176.79"/>
    <n v="6704.37"/>
    <n v="4773.33"/>
    <n v="1931.04"/>
  </r>
  <r>
    <n v="1372"/>
    <d v="2024-08-21T00:00:00"/>
    <x v="4"/>
    <x v="2"/>
    <s v="Cloud Storage"/>
    <x v="4"/>
    <n v="26"/>
    <n v="169.75"/>
    <n v="112.1"/>
    <n v="4413.5"/>
    <n v="2914.6"/>
    <n v="1498.9"/>
  </r>
  <r>
    <n v="1425"/>
    <d v="2024-08-21T00:00:00"/>
    <x v="4"/>
    <x v="3"/>
    <s v="Filing Cabinet"/>
    <x v="0"/>
    <n v="39"/>
    <n v="266.86"/>
    <n v="157.66"/>
    <n v="10407.540000000001"/>
    <n v="6148.74"/>
    <n v="4258.8000000000011"/>
  </r>
  <r>
    <n v="2190"/>
    <d v="2024-08-21T00:00:00"/>
    <x v="4"/>
    <x v="3"/>
    <s v="Office Desk"/>
    <x v="3"/>
    <n v="26"/>
    <n v="158.19999999999999"/>
    <n v="89.57"/>
    <n v="4113.2"/>
    <n v="2328.8199999999997"/>
    <n v="1784.38"/>
  </r>
  <r>
    <n v="2262"/>
    <d v="2024-08-21T00:00:00"/>
    <x v="1"/>
    <x v="0"/>
    <s v="Desk Chair"/>
    <x v="5"/>
    <n v="27"/>
    <n v="29.31"/>
    <n v="21.78"/>
    <n v="791.37"/>
    <n v="588.06000000000006"/>
    <n v="203.30999999999995"/>
  </r>
  <r>
    <n v="2502"/>
    <d v="2024-08-22T00:00:00"/>
    <x v="1"/>
    <x v="2"/>
    <s v="Antivirus License"/>
    <x v="4"/>
    <n v="38"/>
    <n v="279.58999999999997"/>
    <n v="148.11000000000001"/>
    <n v="10624.419999999998"/>
    <n v="5628.18"/>
    <n v="4996.239999999998"/>
  </r>
  <r>
    <n v="2699"/>
    <d v="2024-08-22T00:00:00"/>
    <x v="0"/>
    <x v="0"/>
    <s v="Desk Chair"/>
    <x v="0"/>
    <n v="6"/>
    <n v="30.77"/>
    <n v="16.399999999999999"/>
    <n v="184.62"/>
    <n v="98.399999999999991"/>
    <n v="86.220000000000013"/>
  </r>
  <r>
    <n v="1389"/>
    <d v="2024-08-23T00:00:00"/>
    <x v="3"/>
    <x v="3"/>
    <s v="Bookshelf"/>
    <x v="1"/>
    <n v="12"/>
    <n v="423.12"/>
    <n v="255.42"/>
    <n v="5077.4400000000005"/>
    <n v="3065.04"/>
    <n v="2012.4000000000005"/>
  </r>
  <r>
    <n v="2508"/>
    <d v="2024-08-23T00:00:00"/>
    <x v="1"/>
    <x v="2"/>
    <s v="Design Tool"/>
    <x v="0"/>
    <n v="9"/>
    <n v="190.72"/>
    <n v="121.75"/>
    <n v="1716.48"/>
    <n v="1095.75"/>
    <n v="620.73"/>
  </r>
  <r>
    <n v="2628"/>
    <d v="2024-08-23T00:00:00"/>
    <x v="4"/>
    <x v="1"/>
    <s v="Laptop"/>
    <x v="3"/>
    <n v="33"/>
    <n v="118.06"/>
    <n v="74.209999999999994"/>
    <n v="3895.98"/>
    <n v="2448.9299999999998"/>
    <n v="1447.0500000000002"/>
  </r>
  <r>
    <n v="1674"/>
    <d v="2024-08-25T00:00:00"/>
    <x v="1"/>
    <x v="0"/>
    <s v="Desk Lamp"/>
    <x v="5"/>
    <n v="39"/>
    <n v="43.77"/>
    <n v="29.8"/>
    <n v="1707.0300000000002"/>
    <n v="1162.2"/>
    <n v="544.83000000000015"/>
  </r>
  <r>
    <n v="1772"/>
    <d v="2024-08-26T00:00:00"/>
    <x v="1"/>
    <x v="1"/>
    <s v="Monitor"/>
    <x v="2"/>
    <n v="40"/>
    <n v="697.51"/>
    <n v="391.22"/>
    <n v="27900.400000000001"/>
    <n v="15648.800000000001"/>
    <n v="12251.6"/>
  </r>
  <r>
    <n v="1928"/>
    <d v="2024-08-26T00:00:00"/>
    <x v="1"/>
    <x v="1"/>
    <s v="Keyboard"/>
    <x v="0"/>
    <n v="39"/>
    <n v="238.23"/>
    <n v="175.47"/>
    <n v="9290.9699999999993"/>
    <n v="6843.33"/>
    <n v="2447.6399999999994"/>
  </r>
  <r>
    <n v="2153"/>
    <d v="2024-08-26T00:00:00"/>
    <x v="0"/>
    <x v="3"/>
    <s v="Office Desk"/>
    <x v="1"/>
    <n v="29"/>
    <n v="90.68"/>
    <n v="64.7"/>
    <n v="2629.7200000000003"/>
    <n v="1876.3000000000002"/>
    <n v="753.42000000000007"/>
  </r>
  <r>
    <n v="2581"/>
    <d v="2024-08-26T00:00:00"/>
    <x v="0"/>
    <x v="3"/>
    <s v="Whiteboard"/>
    <x v="1"/>
    <n v="14"/>
    <n v="361.29"/>
    <n v="233.29"/>
    <n v="5058.0600000000004"/>
    <n v="3266.06"/>
    <n v="1792.0000000000005"/>
  </r>
  <r>
    <n v="1198"/>
    <d v="2024-08-27T00:00:00"/>
    <x v="1"/>
    <x v="0"/>
    <s v="Desk Chair"/>
    <x v="1"/>
    <n v="33"/>
    <n v="16.350000000000001"/>
    <n v="10.54"/>
    <n v="539.55000000000007"/>
    <n v="347.82"/>
    <n v="191.73000000000008"/>
  </r>
  <r>
    <n v="2672"/>
    <d v="2024-08-27T00:00:00"/>
    <x v="3"/>
    <x v="1"/>
    <s v="Laptop"/>
    <x v="4"/>
    <n v="33"/>
    <n v="850.78"/>
    <n v="495.27"/>
    <n v="28075.739999999998"/>
    <n v="16343.91"/>
    <n v="11731.829999999998"/>
  </r>
  <r>
    <n v="2086"/>
    <d v="2024-08-28T00:00:00"/>
    <x v="4"/>
    <x v="3"/>
    <s v="Filing Cabinet"/>
    <x v="2"/>
    <n v="40"/>
    <n v="112.45"/>
    <n v="70.28"/>
    <n v="4498"/>
    <n v="2811.2"/>
    <n v="1686.8000000000002"/>
  </r>
  <r>
    <n v="2507"/>
    <d v="2024-08-28T00:00:00"/>
    <x v="2"/>
    <x v="3"/>
    <s v="Office Desk"/>
    <x v="1"/>
    <n v="9"/>
    <n v="218.97"/>
    <n v="142.61000000000001"/>
    <n v="1970.73"/>
    <n v="1283.4900000000002"/>
    <n v="687.23999999999978"/>
  </r>
  <r>
    <n v="2735"/>
    <d v="2024-08-28T00:00:00"/>
    <x v="0"/>
    <x v="0"/>
    <s v="Notebook"/>
    <x v="4"/>
    <n v="15"/>
    <n v="13.84"/>
    <n v="6.92"/>
    <n v="207.6"/>
    <n v="103.8"/>
    <n v="103.8"/>
  </r>
  <r>
    <n v="1307"/>
    <d v="2024-08-29T00:00:00"/>
    <x v="2"/>
    <x v="3"/>
    <s v="Office Desk"/>
    <x v="6"/>
    <n v="3"/>
    <n v="416.19"/>
    <n v="272.63"/>
    <n v="1248.57"/>
    <n v="817.89"/>
    <n v="430.67999999999995"/>
  </r>
  <r>
    <n v="1531"/>
    <d v="2024-08-29T00:00:00"/>
    <x v="2"/>
    <x v="0"/>
    <s v="Desk Lamp"/>
    <x v="2"/>
    <n v="22"/>
    <n v="58.14"/>
    <n v="41.24"/>
    <n v="1279.08"/>
    <n v="907.28000000000009"/>
    <n v="371.79999999999984"/>
  </r>
  <r>
    <n v="1636"/>
    <d v="2024-08-29T00:00:00"/>
    <x v="4"/>
    <x v="0"/>
    <s v="Notebook"/>
    <x v="4"/>
    <n v="21"/>
    <n v="46.7"/>
    <n v="33.47"/>
    <n v="980.7"/>
    <n v="702.87"/>
    <n v="277.83000000000004"/>
  </r>
  <r>
    <n v="2372"/>
    <d v="2024-08-29T00:00:00"/>
    <x v="2"/>
    <x v="2"/>
    <s v="Cloud Storage"/>
    <x v="7"/>
    <n v="26"/>
    <n v="245.27"/>
    <n v="143.24"/>
    <n v="6377.02"/>
    <n v="3724.2400000000002"/>
    <n v="2652.78"/>
  </r>
  <r>
    <n v="1246"/>
    <d v="2024-08-30T00:00:00"/>
    <x v="0"/>
    <x v="3"/>
    <s v="Whiteboard"/>
    <x v="1"/>
    <n v="40"/>
    <n v="166.92"/>
    <n v="98.1"/>
    <n v="6676.7999999999993"/>
    <n v="3924"/>
    <n v="2752.7999999999993"/>
  </r>
  <r>
    <n v="1723"/>
    <d v="2024-08-30T00:00:00"/>
    <x v="3"/>
    <x v="2"/>
    <s v="Antivirus License"/>
    <x v="4"/>
    <n v="38"/>
    <n v="125.67"/>
    <n v="90.8"/>
    <n v="4775.46"/>
    <n v="3450.4"/>
    <n v="1325.06"/>
  </r>
  <r>
    <n v="2339"/>
    <d v="2024-08-30T00:00:00"/>
    <x v="0"/>
    <x v="1"/>
    <s v="Webcam"/>
    <x v="5"/>
    <n v="15"/>
    <n v="204.35"/>
    <n v="103.07"/>
    <n v="3065.25"/>
    <n v="1546.05"/>
    <n v="1519.2"/>
  </r>
  <r>
    <n v="1503"/>
    <d v="2024-08-31T00:00:00"/>
    <x v="4"/>
    <x v="2"/>
    <s v="Design Tool"/>
    <x v="7"/>
    <n v="34"/>
    <n v="237.78"/>
    <n v="173.18"/>
    <n v="8084.52"/>
    <n v="5888.12"/>
    <n v="2196.4000000000005"/>
  </r>
  <r>
    <n v="1580"/>
    <d v="2024-08-31T00:00:00"/>
    <x v="3"/>
    <x v="1"/>
    <s v="Headphones"/>
    <x v="1"/>
    <n v="29"/>
    <n v="278.74"/>
    <n v="161.46"/>
    <n v="8083.46"/>
    <n v="4682.34"/>
    <n v="3401.12"/>
  </r>
  <r>
    <n v="2410"/>
    <d v="2024-09-01T00:00:00"/>
    <x v="2"/>
    <x v="1"/>
    <s v="Webcam"/>
    <x v="0"/>
    <n v="37"/>
    <n v="727.52"/>
    <n v="374.56"/>
    <n v="26918.239999999998"/>
    <n v="13858.72"/>
    <n v="13059.519999999999"/>
  </r>
  <r>
    <n v="1916"/>
    <d v="2024-09-02T00:00:00"/>
    <x v="0"/>
    <x v="3"/>
    <s v="Bookshelf"/>
    <x v="7"/>
    <n v="25"/>
    <n v="195.49"/>
    <n v="128.41"/>
    <n v="4887.25"/>
    <n v="3210.25"/>
    <n v="1677"/>
  </r>
  <r>
    <n v="1348"/>
    <d v="2024-09-03T00:00:00"/>
    <x v="4"/>
    <x v="3"/>
    <s v="Office Desk"/>
    <x v="7"/>
    <n v="36"/>
    <n v="178.7"/>
    <n v="125.15"/>
    <n v="6433.2"/>
    <n v="4505.4000000000005"/>
    <n v="1927.7999999999993"/>
  </r>
  <r>
    <n v="1567"/>
    <d v="2024-09-03T00:00:00"/>
    <x v="3"/>
    <x v="1"/>
    <s v="Keyboard"/>
    <x v="7"/>
    <n v="9"/>
    <n v="361.06"/>
    <n v="240.92"/>
    <n v="3249.54"/>
    <n v="2168.2799999999997"/>
    <n v="1081.2600000000002"/>
  </r>
  <r>
    <n v="2219"/>
    <d v="2024-09-03T00:00:00"/>
    <x v="4"/>
    <x v="0"/>
    <s v="Stapler"/>
    <x v="7"/>
    <n v="24"/>
    <n v="25.91"/>
    <n v="16.98"/>
    <n v="621.84"/>
    <n v="407.52"/>
    <n v="214.32000000000005"/>
  </r>
  <r>
    <n v="2425"/>
    <d v="2024-09-03T00:00:00"/>
    <x v="1"/>
    <x v="3"/>
    <s v="Whiteboard"/>
    <x v="7"/>
    <n v="28"/>
    <n v="112.03"/>
    <n v="59.85"/>
    <n v="3136.84"/>
    <n v="1675.8"/>
    <n v="1461.0400000000002"/>
  </r>
  <r>
    <n v="2429"/>
    <d v="2024-09-03T00:00:00"/>
    <x v="3"/>
    <x v="2"/>
    <s v="Design Tool"/>
    <x v="1"/>
    <n v="1"/>
    <n v="242.8"/>
    <n v="175.27"/>
    <n v="242.8"/>
    <n v="175.27"/>
    <n v="67.53"/>
  </r>
  <r>
    <n v="2460"/>
    <d v="2024-09-03T00:00:00"/>
    <x v="1"/>
    <x v="1"/>
    <s v="Monitor"/>
    <x v="4"/>
    <n v="14"/>
    <n v="173.15"/>
    <n v="104.18"/>
    <n v="2424.1"/>
    <n v="1458.52"/>
    <n v="965.57999999999993"/>
  </r>
  <r>
    <n v="2691"/>
    <d v="2024-09-03T00:00:00"/>
    <x v="2"/>
    <x v="0"/>
    <s v="Desk Chair"/>
    <x v="1"/>
    <n v="30"/>
    <n v="32.68"/>
    <n v="20.13"/>
    <n v="980.4"/>
    <n v="603.9"/>
    <n v="376.5"/>
  </r>
  <r>
    <n v="1413"/>
    <d v="2024-09-04T00:00:00"/>
    <x v="4"/>
    <x v="0"/>
    <s v="Notebook"/>
    <x v="7"/>
    <n v="16"/>
    <n v="23.29"/>
    <n v="12.1"/>
    <n v="372.64"/>
    <n v="193.6"/>
    <n v="179.04"/>
  </r>
  <r>
    <n v="2683"/>
    <d v="2024-09-04T00:00:00"/>
    <x v="2"/>
    <x v="3"/>
    <s v="Bookshelf"/>
    <x v="7"/>
    <n v="13"/>
    <n v="324.04000000000002"/>
    <n v="192.4"/>
    <n v="4212.5200000000004"/>
    <n v="2501.2000000000003"/>
    <n v="1711.3200000000002"/>
  </r>
  <r>
    <n v="1877"/>
    <d v="2024-09-05T00:00:00"/>
    <x v="0"/>
    <x v="0"/>
    <s v="Desk Chair"/>
    <x v="1"/>
    <n v="8"/>
    <n v="43.13"/>
    <n v="31.97"/>
    <n v="345.04"/>
    <n v="255.76"/>
    <n v="89.28000000000003"/>
  </r>
  <r>
    <n v="2177"/>
    <d v="2024-09-05T00:00:00"/>
    <x v="2"/>
    <x v="0"/>
    <s v="Stapler"/>
    <x v="6"/>
    <n v="38"/>
    <n v="50.56"/>
    <n v="28.77"/>
    <n v="1921.2800000000002"/>
    <n v="1093.26"/>
    <n v="828.02000000000021"/>
  </r>
  <r>
    <n v="2764"/>
    <d v="2024-09-05T00:00:00"/>
    <x v="4"/>
    <x v="3"/>
    <s v="Whiteboard"/>
    <x v="0"/>
    <n v="15"/>
    <n v="252.17"/>
    <n v="173.94"/>
    <n v="3782.5499999999997"/>
    <n v="2609.1"/>
    <n v="1173.4499999999998"/>
  </r>
  <r>
    <n v="1738"/>
    <d v="2024-09-07T00:00:00"/>
    <x v="3"/>
    <x v="0"/>
    <s v="Desk Lamp"/>
    <x v="0"/>
    <n v="10"/>
    <n v="6.04"/>
    <n v="4.3099999999999996"/>
    <n v="60.4"/>
    <n v="43.099999999999994"/>
    <n v="17.300000000000004"/>
  </r>
  <r>
    <n v="2083"/>
    <d v="2024-09-07T00:00:00"/>
    <x v="0"/>
    <x v="3"/>
    <s v="Office Desk"/>
    <x v="4"/>
    <n v="11"/>
    <n v="368.45"/>
    <n v="268.31"/>
    <n v="4052.95"/>
    <n v="2951.41"/>
    <n v="1101.54"/>
  </r>
  <r>
    <n v="2543"/>
    <d v="2024-09-07T00:00:00"/>
    <x v="1"/>
    <x v="0"/>
    <s v="Printer Paper"/>
    <x v="0"/>
    <n v="18"/>
    <n v="30.88"/>
    <n v="22.25"/>
    <n v="555.84"/>
    <n v="400.5"/>
    <n v="155.34000000000003"/>
  </r>
  <r>
    <n v="1691"/>
    <d v="2024-09-10T00:00:00"/>
    <x v="3"/>
    <x v="3"/>
    <s v="Bookshelf"/>
    <x v="5"/>
    <n v="30"/>
    <n v="427.94"/>
    <n v="220.62"/>
    <n v="12838.2"/>
    <n v="6618.6"/>
    <n v="6219.6"/>
  </r>
  <r>
    <n v="1230"/>
    <d v="2024-09-11T00:00:00"/>
    <x v="4"/>
    <x v="0"/>
    <s v="Desk Lamp"/>
    <x v="2"/>
    <n v="37"/>
    <n v="41.62"/>
    <n v="30.86"/>
    <n v="1539.9399999999998"/>
    <n v="1141.82"/>
    <n v="398.11999999999989"/>
  </r>
  <r>
    <n v="1439"/>
    <d v="2024-09-11T00:00:00"/>
    <x v="2"/>
    <x v="2"/>
    <s v="Office Suite"/>
    <x v="2"/>
    <n v="13"/>
    <n v="294.99"/>
    <n v="182.36"/>
    <n v="3834.87"/>
    <n v="2370.6800000000003"/>
    <n v="1464.1899999999996"/>
  </r>
  <r>
    <n v="1778"/>
    <d v="2024-09-11T00:00:00"/>
    <x v="4"/>
    <x v="3"/>
    <s v="Whiteboard"/>
    <x v="7"/>
    <n v="18"/>
    <n v="479.43"/>
    <n v="284.99"/>
    <n v="8629.74"/>
    <n v="5129.82"/>
    <n v="3499.92"/>
  </r>
  <r>
    <n v="1021"/>
    <d v="2024-09-12T00:00:00"/>
    <x v="3"/>
    <x v="2"/>
    <s v="Antivirus License"/>
    <x v="2"/>
    <n v="35"/>
    <n v="257.63"/>
    <n v="139.53"/>
    <n v="9017.0499999999993"/>
    <n v="4883.55"/>
    <n v="4133.4999999999991"/>
  </r>
  <r>
    <n v="2578"/>
    <d v="2024-09-12T00:00:00"/>
    <x v="3"/>
    <x v="3"/>
    <s v="Bookshelf"/>
    <x v="2"/>
    <n v="17"/>
    <n v="419.29"/>
    <n v="296.66000000000003"/>
    <n v="7127.93"/>
    <n v="5043.22"/>
    <n v="2084.71"/>
  </r>
  <r>
    <n v="1137"/>
    <d v="2024-09-13T00:00:00"/>
    <x v="3"/>
    <x v="2"/>
    <s v="Design Tool"/>
    <x v="3"/>
    <n v="34"/>
    <n v="96.38"/>
    <n v="70"/>
    <n v="3276.92"/>
    <n v="2380"/>
    <n v="896.92000000000007"/>
  </r>
  <r>
    <n v="1377"/>
    <d v="2024-09-15T00:00:00"/>
    <x v="0"/>
    <x v="1"/>
    <s v="Monitor"/>
    <x v="2"/>
    <n v="36"/>
    <n v="447.46"/>
    <n v="234.72"/>
    <n v="16108.56"/>
    <n v="8449.92"/>
    <n v="7658.6399999999994"/>
  </r>
  <r>
    <n v="2079"/>
    <d v="2024-09-15T00:00:00"/>
    <x v="4"/>
    <x v="3"/>
    <s v="Whiteboard"/>
    <x v="6"/>
    <n v="20"/>
    <n v="178.41"/>
    <n v="130.55000000000001"/>
    <n v="3568.2"/>
    <n v="2611"/>
    <n v="957.19999999999982"/>
  </r>
  <r>
    <n v="2382"/>
    <d v="2024-09-15T00:00:00"/>
    <x v="2"/>
    <x v="0"/>
    <s v="Stapler"/>
    <x v="4"/>
    <n v="26"/>
    <n v="52.17"/>
    <n v="35.81"/>
    <n v="1356.42"/>
    <n v="931.06000000000006"/>
    <n v="425.36"/>
  </r>
  <r>
    <n v="1822"/>
    <d v="2024-09-17T00:00:00"/>
    <x v="2"/>
    <x v="0"/>
    <s v="Desk Lamp"/>
    <x v="7"/>
    <n v="5"/>
    <n v="18.36"/>
    <n v="12.46"/>
    <n v="91.8"/>
    <n v="62.300000000000004"/>
    <n v="29.499999999999993"/>
  </r>
  <r>
    <n v="2334"/>
    <d v="2024-09-17T00:00:00"/>
    <x v="1"/>
    <x v="1"/>
    <s v="Headphones"/>
    <x v="3"/>
    <n v="25"/>
    <n v="743.02"/>
    <n v="545.03"/>
    <n v="18575.5"/>
    <n v="13625.75"/>
    <n v="4949.75"/>
  </r>
  <r>
    <n v="2600"/>
    <d v="2024-09-17T00:00:00"/>
    <x v="4"/>
    <x v="1"/>
    <s v="Keyboard"/>
    <x v="5"/>
    <n v="2"/>
    <n v="824.41"/>
    <n v="514.35"/>
    <n v="1648.82"/>
    <n v="1028.7"/>
    <n v="620.11999999999989"/>
  </r>
  <r>
    <n v="1110"/>
    <d v="2024-09-18T00:00:00"/>
    <x v="4"/>
    <x v="0"/>
    <s v="Stapler"/>
    <x v="3"/>
    <n v="6"/>
    <n v="8.31"/>
    <n v="5.84"/>
    <n v="49.86"/>
    <n v="35.04"/>
    <n v="14.82"/>
  </r>
  <r>
    <n v="1458"/>
    <d v="2024-09-19T00:00:00"/>
    <x v="4"/>
    <x v="1"/>
    <s v="Webcam"/>
    <x v="6"/>
    <n v="37"/>
    <n v="831.02"/>
    <n v="451.43"/>
    <n v="30747.739999999998"/>
    <n v="16702.91"/>
    <n v="14044.829999999998"/>
  </r>
  <r>
    <n v="2121"/>
    <d v="2024-09-20T00:00:00"/>
    <x v="0"/>
    <x v="1"/>
    <s v="Monitor"/>
    <x v="0"/>
    <n v="10"/>
    <n v="550.76"/>
    <n v="412.54"/>
    <n v="5507.6"/>
    <n v="4125.4000000000005"/>
    <n v="1382.1999999999998"/>
  </r>
  <r>
    <n v="2369"/>
    <d v="2024-09-20T00:00:00"/>
    <x v="3"/>
    <x v="0"/>
    <s v="Desk Lamp"/>
    <x v="7"/>
    <n v="15"/>
    <n v="17.18"/>
    <n v="11.59"/>
    <n v="257.7"/>
    <n v="173.85"/>
    <n v="83.85"/>
  </r>
  <r>
    <n v="2220"/>
    <d v="2024-09-21T00:00:00"/>
    <x v="2"/>
    <x v="3"/>
    <s v="Bookshelf"/>
    <x v="0"/>
    <n v="27"/>
    <n v="253.73"/>
    <n v="184.02"/>
    <n v="6850.71"/>
    <n v="4968.54"/>
    <n v="1882.17"/>
  </r>
  <r>
    <n v="2393"/>
    <d v="2024-09-21T00:00:00"/>
    <x v="0"/>
    <x v="3"/>
    <s v="Filing Cabinet"/>
    <x v="6"/>
    <n v="11"/>
    <n v="148.84"/>
    <n v="109.09"/>
    <n v="1637.24"/>
    <n v="1199.99"/>
    <n v="437.25"/>
  </r>
  <r>
    <n v="2665"/>
    <d v="2024-09-21T00:00:00"/>
    <x v="4"/>
    <x v="1"/>
    <s v="Monitor"/>
    <x v="5"/>
    <n v="36"/>
    <n v="617.75"/>
    <n v="446.7"/>
    <n v="22239"/>
    <n v="16081.199999999999"/>
    <n v="6157.8000000000011"/>
  </r>
  <r>
    <n v="1901"/>
    <d v="2024-09-22T00:00:00"/>
    <x v="0"/>
    <x v="1"/>
    <s v="Laptop"/>
    <x v="6"/>
    <n v="22"/>
    <n v="869.23"/>
    <n v="539.28"/>
    <n v="19123.060000000001"/>
    <n v="11864.16"/>
    <n v="7258.9000000000015"/>
  </r>
  <r>
    <n v="2251"/>
    <d v="2024-09-24T00:00:00"/>
    <x v="1"/>
    <x v="0"/>
    <s v="Stapler"/>
    <x v="0"/>
    <n v="18"/>
    <n v="28.64"/>
    <n v="20.86"/>
    <n v="515.52"/>
    <n v="375.48"/>
    <n v="140.03999999999996"/>
  </r>
  <r>
    <n v="1463"/>
    <d v="2024-09-25T00:00:00"/>
    <x v="3"/>
    <x v="2"/>
    <s v="Cloud Storage"/>
    <x v="1"/>
    <n v="9"/>
    <n v="179.97"/>
    <n v="115.23"/>
    <n v="1619.73"/>
    <n v="1037.07"/>
    <n v="582.66000000000008"/>
  </r>
  <r>
    <n v="1591"/>
    <d v="2024-09-25T00:00:00"/>
    <x v="4"/>
    <x v="2"/>
    <s v="Antivirus License"/>
    <x v="0"/>
    <n v="27"/>
    <n v="27.96"/>
    <n v="19.329999999999998"/>
    <n v="754.92000000000007"/>
    <n v="521.91"/>
    <n v="233.0100000000001"/>
  </r>
  <r>
    <n v="2601"/>
    <d v="2024-09-25T00:00:00"/>
    <x v="3"/>
    <x v="1"/>
    <s v="Keyboard"/>
    <x v="5"/>
    <n v="3"/>
    <n v="793.36"/>
    <n v="479.27"/>
    <n v="2380.08"/>
    <n v="1437.81"/>
    <n v="942.27"/>
  </r>
  <r>
    <n v="1403"/>
    <d v="2024-09-26T00:00:00"/>
    <x v="0"/>
    <x v="3"/>
    <s v="Office Desk"/>
    <x v="2"/>
    <n v="25"/>
    <n v="355.59"/>
    <n v="263.45"/>
    <n v="8889.75"/>
    <n v="6586.25"/>
    <n v="2303.5"/>
  </r>
  <r>
    <n v="1904"/>
    <d v="2024-09-26T00:00:00"/>
    <x v="1"/>
    <x v="1"/>
    <s v="Keyboard"/>
    <x v="1"/>
    <n v="29"/>
    <n v="596.69000000000005"/>
    <n v="326.33999999999997"/>
    <n v="17304.010000000002"/>
    <n v="9463.8599999999988"/>
    <n v="7840.1500000000033"/>
  </r>
  <r>
    <n v="1986"/>
    <d v="2024-09-26T00:00:00"/>
    <x v="3"/>
    <x v="1"/>
    <s v="Headphones"/>
    <x v="6"/>
    <n v="17"/>
    <n v="228.43"/>
    <n v="160.86000000000001"/>
    <n v="3883.31"/>
    <n v="2734.6200000000003"/>
    <n v="1148.6899999999996"/>
  </r>
  <r>
    <n v="1911"/>
    <d v="2024-09-27T00:00:00"/>
    <x v="4"/>
    <x v="2"/>
    <s v="Office Suite"/>
    <x v="2"/>
    <n v="27"/>
    <n v="255.42"/>
    <n v="160.85"/>
    <n v="6896.3399999999992"/>
    <n v="4342.95"/>
    <n v="2553.3899999999994"/>
  </r>
  <r>
    <n v="2132"/>
    <d v="2024-09-27T00:00:00"/>
    <x v="1"/>
    <x v="0"/>
    <s v="Printer Paper"/>
    <x v="0"/>
    <n v="36"/>
    <n v="38.68"/>
    <n v="21.1"/>
    <n v="1392.48"/>
    <n v="759.6"/>
    <n v="632.88"/>
  </r>
  <r>
    <n v="1162"/>
    <d v="2024-09-28T00:00:00"/>
    <x v="0"/>
    <x v="2"/>
    <s v="Antivirus License"/>
    <x v="4"/>
    <n v="35"/>
    <n v="245.31"/>
    <n v="164.66"/>
    <n v="8585.85"/>
    <n v="5763.0999999999995"/>
    <n v="2822.7500000000009"/>
  </r>
  <r>
    <n v="1744"/>
    <d v="2024-09-28T00:00:00"/>
    <x v="3"/>
    <x v="3"/>
    <s v="Office Desk"/>
    <x v="0"/>
    <n v="33"/>
    <n v="410.07"/>
    <n v="215.12"/>
    <n v="13532.31"/>
    <n v="7098.96"/>
    <n v="6433.3499999999995"/>
  </r>
  <r>
    <n v="1943"/>
    <d v="2024-09-28T00:00:00"/>
    <x v="3"/>
    <x v="1"/>
    <s v="Headphones"/>
    <x v="6"/>
    <n v="14"/>
    <n v="186.52"/>
    <n v="105.97"/>
    <n v="2611.2800000000002"/>
    <n v="1483.58"/>
    <n v="1127.7000000000003"/>
  </r>
  <r>
    <n v="1438"/>
    <d v="2024-09-29T00:00:00"/>
    <x v="2"/>
    <x v="1"/>
    <s v="Webcam"/>
    <x v="4"/>
    <n v="12"/>
    <n v="221.44"/>
    <n v="117.47"/>
    <n v="2657.2799999999997"/>
    <n v="1409.6399999999999"/>
    <n v="1247.6399999999999"/>
  </r>
  <r>
    <n v="1644"/>
    <d v="2024-09-29T00:00:00"/>
    <x v="4"/>
    <x v="2"/>
    <s v="Cloud Storage"/>
    <x v="1"/>
    <n v="28"/>
    <n v="99.23"/>
    <n v="66.41"/>
    <n v="2778.44"/>
    <n v="1859.48"/>
    <n v="918.96"/>
  </r>
  <r>
    <n v="1841"/>
    <d v="2024-09-29T00:00:00"/>
    <x v="3"/>
    <x v="2"/>
    <s v="Cloud Storage"/>
    <x v="4"/>
    <n v="9"/>
    <n v="160.52000000000001"/>
    <n v="117.32"/>
    <n v="1444.68"/>
    <n v="1055.8799999999999"/>
    <n v="388.80000000000018"/>
  </r>
  <r>
    <n v="1078"/>
    <d v="2024-09-30T00:00:00"/>
    <x v="1"/>
    <x v="0"/>
    <s v="Printer Paper"/>
    <x v="4"/>
    <n v="32"/>
    <n v="58.47"/>
    <n v="31.55"/>
    <n v="1871.04"/>
    <n v="1009.6"/>
    <n v="861.43999999999994"/>
  </r>
  <r>
    <n v="1478"/>
    <d v="2024-09-30T00:00:00"/>
    <x v="1"/>
    <x v="0"/>
    <s v="Desk Lamp"/>
    <x v="7"/>
    <n v="15"/>
    <n v="23.48"/>
    <n v="14.69"/>
    <n v="352.2"/>
    <n v="220.35"/>
    <n v="131.85"/>
  </r>
  <r>
    <n v="2298"/>
    <d v="2024-09-30T00:00:00"/>
    <x v="3"/>
    <x v="3"/>
    <s v="Bookshelf"/>
    <x v="7"/>
    <n v="29"/>
    <n v="98.53"/>
    <n v="70.38"/>
    <n v="2857.37"/>
    <n v="2041.02"/>
    <n v="816.34999999999991"/>
  </r>
  <r>
    <n v="2674"/>
    <d v="2024-10-01T00:00:00"/>
    <x v="3"/>
    <x v="0"/>
    <s v="Desk Chair"/>
    <x v="3"/>
    <n v="9"/>
    <n v="54.36"/>
    <n v="32.04"/>
    <n v="489.24"/>
    <n v="288.36"/>
    <n v="200.88"/>
  </r>
  <r>
    <n v="1707"/>
    <d v="2024-10-02T00:00:00"/>
    <x v="1"/>
    <x v="1"/>
    <s v="Monitor"/>
    <x v="1"/>
    <n v="20"/>
    <n v="537.33000000000004"/>
    <n v="373.83"/>
    <n v="10746.6"/>
    <n v="7476.5999999999995"/>
    <n v="3270.0000000000009"/>
  </r>
  <r>
    <n v="2351"/>
    <d v="2024-10-02T00:00:00"/>
    <x v="0"/>
    <x v="1"/>
    <s v="Keyboard"/>
    <x v="5"/>
    <n v="12"/>
    <n v="188.28"/>
    <n v="134.4"/>
    <n v="2259.36"/>
    <n v="1612.8000000000002"/>
    <n v="646.55999999999995"/>
  </r>
  <r>
    <n v="2522"/>
    <d v="2024-10-02T00:00:00"/>
    <x v="3"/>
    <x v="1"/>
    <s v="Headphones"/>
    <x v="7"/>
    <n v="26"/>
    <n v="318.37"/>
    <n v="185.27"/>
    <n v="8277.6200000000008"/>
    <n v="4817.0200000000004"/>
    <n v="3460.6000000000004"/>
  </r>
  <r>
    <n v="1480"/>
    <d v="2024-10-03T00:00:00"/>
    <x v="2"/>
    <x v="0"/>
    <s v="Notebook"/>
    <x v="7"/>
    <n v="5"/>
    <n v="57.42"/>
    <n v="38.58"/>
    <n v="287.10000000000002"/>
    <n v="192.89999999999998"/>
    <n v="94.200000000000045"/>
  </r>
  <r>
    <n v="1936"/>
    <d v="2024-10-03T00:00:00"/>
    <x v="0"/>
    <x v="0"/>
    <s v="Desk Lamp"/>
    <x v="4"/>
    <n v="8"/>
    <n v="52.13"/>
    <n v="38.65"/>
    <n v="417.04"/>
    <n v="309.2"/>
    <n v="107.84000000000003"/>
  </r>
  <r>
    <n v="2296"/>
    <d v="2024-10-03T00:00:00"/>
    <x v="3"/>
    <x v="2"/>
    <s v="Antivirus License"/>
    <x v="1"/>
    <n v="14"/>
    <n v="159.28"/>
    <n v="112.71"/>
    <n v="2229.92"/>
    <n v="1577.9399999999998"/>
    <n v="651.98000000000025"/>
  </r>
  <r>
    <n v="2395"/>
    <d v="2024-10-03T00:00:00"/>
    <x v="0"/>
    <x v="1"/>
    <s v="Keyboard"/>
    <x v="5"/>
    <n v="8"/>
    <n v="480.39"/>
    <n v="297.99"/>
    <n v="3843.12"/>
    <n v="2383.92"/>
    <n v="1459.1999999999998"/>
  </r>
  <r>
    <n v="1029"/>
    <d v="2024-10-05T00:00:00"/>
    <x v="4"/>
    <x v="0"/>
    <s v="Printer Paper"/>
    <x v="7"/>
    <n v="17"/>
    <n v="17.309999999999999"/>
    <n v="11.4"/>
    <n v="294.27"/>
    <n v="193.8"/>
    <n v="100.46999999999997"/>
  </r>
  <r>
    <n v="2352"/>
    <d v="2024-10-05T00:00:00"/>
    <x v="1"/>
    <x v="1"/>
    <s v="Webcam"/>
    <x v="2"/>
    <n v="26"/>
    <n v="173.36"/>
    <n v="124.03"/>
    <n v="4507.3600000000006"/>
    <n v="3224.78"/>
    <n v="1282.5800000000004"/>
  </r>
  <r>
    <n v="2100"/>
    <d v="2024-10-06T00:00:00"/>
    <x v="3"/>
    <x v="2"/>
    <s v="Office Suite"/>
    <x v="2"/>
    <n v="27"/>
    <n v="241.27"/>
    <n v="158.93"/>
    <n v="6514.29"/>
    <n v="4291.1100000000006"/>
    <n v="2223.1799999999994"/>
  </r>
  <r>
    <n v="1718"/>
    <d v="2024-10-07T00:00:00"/>
    <x v="0"/>
    <x v="1"/>
    <s v="Webcam"/>
    <x v="0"/>
    <n v="36"/>
    <n v="801.81"/>
    <n v="531.21"/>
    <n v="28865.159999999996"/>
    <n v="19123.560000000001"/>
    <n v="9741.5999999999949"/>
  </r>
  <r>
    <n v="1922"/>
    <d v="2024-10-07T00:00:00"/>
    <x v="2"/>
    <x v="0"/>
    <s v="Desk Chair"/>
    <x v="5"/>
    <n v="36"/>
    <n v="29.62"/>
    <n v="21.82"/>
    <n v="1066.32"/>
    <n v="785.52"/>
    <n v="280.79999999999995"/>
  </r>
  <r>
    <n v="2386"/>
    <d v="2024-10-07T00:00:00"/>
    <x v="1"/>
    <x v="2"/>
    <s v="Office Suite"/>
    <x v="6"/>
    <n v="3"/>
    <n v="170.86"/>
    <n v="117.71"/>
    <n v="512.58000000000004"/>
    <n v="353.13"/>
    <n v="159.45000000000005"/>
  </r>
  <r>
    <n v="2633"/>
    <d v="2024-10-07T00:00:00"/>
    <x v="2"/>
    <x v="0"/>
    <s v="Printer Paper"/>
    <x v="6"/>
    <n v="15"/>
    <n v="8.1"/>
    <n v="5.56"/>
    <n v="121.5"/>
    <n v="83.399999999999991"/>
    <n v="38.100000000000009"/>
  </r>
  <r>
    <n v="1415"/>
    <d v="2024-10-08T00:00:00"/>
    <x v="2"/>
    <x v="0"/>
    <s v="Desk Lamp"/>
    <x v="0"/>
    <n v="26"/>
    <n v="35.869999999999997"/>
    <n v="22.22"/>
    <n v="932.61999999999989"/>
    <n v="577.72"/>
    <n v="354.89999999999986"/>
  </r>
  <r>
    <n v="1530"/>
    <d v="2024-10-08T00:00:00"/>
    <x v="4"/>
    <x v="1"/>
    <s v="Laptop"/>
    <x v="1"/>
    <n v="38"/>
    <n v="680.73"/>
    <n v="473.54"/>
    <n v="25867.74"/>
    <n v="17994.52"/>
    <n v="7873.2200000000012"/>
  </r>
  <r>
    <n v="1746"/>
    <d v="2024-10-08T00:00:00"/>
    <x v="0"/>
    <x v="0"/>
    <s v="Desk Lamp"/>
    <x v="0"/>
    <n v="1"/>
    <n v="19.07"/>
    <n v="14.04"/>
    <n v="19.07"/>
    <n v="14.04"/>
    <n v="5.0300000000000011"/>
  </r>
  <r>
    <n v="2119"/>
    <d v="2024-10-08T00:00:00"/>
    <x v="1"/>
    <x v="1"/>
    <s v="Monitor"/>
    <x v="1"/>
    <n v="34"/>
    <n v="302.27999999999997"/>
    <n v="173.15"/>
    <n v="10277.519999999999"/>
    <n v="5887.1"/>
    <n v="4390.4199999999983"/>
  </r>
  <r>
    <n v="2596"/>
    <d v="2024-10-08T00:00:00"/>
    <x v="1"/>
    <x v="0"/>
    <s v="Desk Chair"/>
    <x v="7"/>
    <n v="18"/>
    <n v="33.36"/>
    <n v="24.02"/>
    <n v="600.48"/>
    <n v="432.36"/>
    <n v="168.12"/>
  </r>
  <r>
    <n v="1060"/>
    <d v="2024-10-09T00:00:00"/>
    <x v="1"/>
    <x v="1"/>
    <s v="Webcam"/>
    <x v="7"/>
    <n v="6"/>
    <n v="262.74"/>
    <n v="162.63999999999999"/>
    <n v="1576.44"/>
    <n v="975.83999999999992"/>
    <n v="600.60000000000014"/>
  </r>
  <r>
    <n v="2572"/>
    <d v="2024-10-09T00:00:00"/>
    <x v="2"/>
    <x v="3"/>
    <s v="Bookshelf"/>
    <x v="6"/>
    <n v="12"/>
    <n v="87.32"/>
    <n v="51.28"/>
    <n v="1047.8399999999999"/>
    <n v="615.36"/>
    <n v="432.4799999999999"/>
  </r>
  <r>
    <n v="1030"/>
    <d v="2024-10-10T00:00:00"/>
    <x v="3"/>
    <x v="1"/>
    <s v="Headphones"/>
    <x v="1"/>
    <n v="17"/>
    <n v="195.73"/>
    <n v="103.34"/>
    <n v="3327.41"/>
    <n v="1756.78"/>
    <n v="1570.6299999999999"/>
  </r>
  <r>
    <n v="1322"/>
    <d v="2024-10-10T00:00:00"/>
    <x v="4"/>
    <x v="3"/>
    <s v="Filing Cabinet"/>
    <x v="0"/>
    <n v="13"/>
    <n v="457.87"/>
    <n v="320.77999999999997"/>
    <n v="5952.31"/>
    <n v="4170.1399999999994"/>
    <n v="1782.170000000001"/>
  </r>
  <r>
    <n v="1720"/>
    <d v="2024-10-11T00:00:00"/>
    <x v="2"/>
    <x v="2"/>
    <s v="Design Tool"/>
    <x v="2"/>
    <n v="26"/>
    <n v="27.1"/>
    <n v="18.55"/>
    <n v="704.6"/>
    <n v="482.3"/>
    <n v="222.3"/>
  </r>
  <r>
    <n v="2124"/>
    <d v="2024-10-11T00:00:00"/>
    <x v="1"/>
    <x v="1"/>
    <s v="Monitor"/>
    <x v="5"/>
    <n v="32"/>
    <n v="445.83"/>
    <n v="317.18"/>
    <n v="14266.56"/>
    <n v="10149.76"/>
    <n v="4116.7999999999993"/>
  </r>
  <r>
    <n v="1763"/>
    <d v="2024-10-12T00:00:00"/>
    <x v="0"/>
    <x v="0"/>
    <s v="Desk Chair"/>
    <x v="3"/>
    <n v="12"/>
    <n v="33.479999999999997"/>
    <n v="23.13"/>
    <n v="401.76"/>
    <n v="277.56"/>
    <n v="124.19999999999999"/>
  </r>
  <r>
    <n v="1898"/>
    <d v="2024-10-12T00:00:00"/>
    <x v="2"/>
    <x v="1"/>
    <s v="Webcam"/>
    <x v="1"/>
    <n v="31"/>
    <n v="182.23"/>
    <n v="126.39"/>
    <n v="5649.13"/>
    <n v="3918.09"/>
    <n v="1731.04"/>
  </r>
  <r>
    <n v="1860"/>
    <d v="2024-10-13T00:00:00"/>
    <x v="0"/>
    <x v="3"/>
    <s v="Office Desk"/>
    <x v="3"/>
    <n v="25"/>
    <n v="343.02"/>
    <n v="189.19"/>
    <n v="8575.5"/>
    <n v="4729.75"/>
    <n v="3845.75"/>
  </r>
  <r>
    <n v="2657"/>
    <d v="2024-10-13T00:00:00"/>
    <x v="3"/>
    <x v="1"/>
    <s v="Laptop"/>
    <x v="4"/>
    <n v="34"/>
    <n v="607.64"/>
    <n v="343.59"/>
    <n v="20659.759999999998"/>
    <n v="11682.06"/>
    <n v="8977.6999999999989"/>
  </r>
  <r>
    <n v="1247"/>
    <d v="2024-10-14T00:00:00"/>
    <x v="1"/>
    <x v="0"/>
    <s v="Printer Paper"/>
    <x v="0"/>
    <n v="19"/>
    <n v="57.29"/>
    <n v="40.32"/>
    <n v="1088.51"/>
    <n v="766.08"/>
    <n v="322.42999999999995"/>
  </r>
  <r>
    <n v="2002"/>
    <d v="2024-10-14T00:00:00"/>
    <x v="4"/>
    <x v="1"/>
    <s v="Monitor"/>
    <x v="0"/>
    <n v="22"/>
    <n v="539.71"/>
    <n v="303.66000000000003"/>
    <n v="11873.62"/>
    <n v="6680.52"/>
    <n v="5193.1000000000004"/>
  </r>
  <r>
    <n v="2558"/>
    <d v="2024-10-15T00:00:00"/>
    <x v="0"/>
    <x v="1"/>
    <s v="Laptop"/>
    <x v="0"/>
    <n v="2"/>
    <n v="723.46"/>
    <n v="422.71"/>
    <n v="1446.92"/>
    <n v="845.42"/>
    <n v="601.50000000000011"/>
  </r>
  <r>
    <n v="2030"/>
    <d v="2024-10-16T00:00:00"/>
    <x v="0"/>
    <x v="0"/>
    <s v="Desk Chair"/>
    <x v="7"/>
    <n v="1"/>
    <n v="30.97"/>
    <n v="15.79"/>
    <n v="30.97"/>
    <n v="15.79"/>
    <n v="15.18"/>
  </r>
  <r>
    <n v="1654"/>
    <d v="2024-10-17T00:00:00"/>
    <x v="0"/>
    <x v="0"/>
    <s v="Desk Lamp"/>
    <x v="0"/>
    <n v="37"/>
    <n v="36.380000000000003"/>
    <n v="22.97"/>
    <n v="1346.0600000000002"/>
    <n v="849.89"/>
    <n v="496.17000000000019"/>
  </r>
  <r>
    <n v="1616"/>
    <d v="2024-10-18T00:00:00"/>
    <x v="4"/>
    <x v="1"/>
    <s v="Laptop"/>
    <x v="2"/>
    <n v="9"/>
    <n v="763.02"/>
    <n v="551.54"/>
    <n v="6867.18"/>
    <n v="4963.8599999999997"/>
    <n v="1903.3200000000006"/>
  </r>
  <r>
    <n v="1840"/>
    <d v="2024-10-18T00:00:00"/>
    <x v="3"/>
    <x v="0"/>
    <s v="Stapler"/>
    <x v="6"/>
    <n v="22"/>
    <n v="12.14"/>
    <n v="8.09"/>
    <n v="267.08000000000004"/>
    <n v="177.98"/>
    <n v="89.100000000000051"/>
  </r>
  <r>
    <n v="2567"/>
    <d v="2024-10-18T00:00:00"/>
    <x v="2"/>
    <x v="0"/>
    <s v="Notebook"/>
    <x v="0"/>
    <n v="31"/>
    <n v="10.8"/>
    <n v="5.41"/>
    <n v="334.8"/>
    <n v="167.71"/>
    <n v="167.09"/>
  </r>
  <r>
    <n v="2776"/>
    <d v="2024-10-19T00:00:00"/>
    <x v="3"/>
    <x v="2"/>
    <s v="Design Tool"/>
    <x v="7"/>
    <n v="3"/>
    <n v="83.95"/>
    <n v="58.64"/>
    <n v="251.85000000000002"/>
    <n v="175.92000000000002"/>
    <n v="75.930000000000007"/>
  </r>
  <r>
    <n v="1360"/>
    <d v="2024-10-20T00:00:00"/>
    <x v="4"/>
    <x v="0"/>
    <s v="Desk Chair"/>
    <x v="0"/>
    <n v="14"/>
    <n v="4.84"/>
    <n v="3.47"/>
    <n v="67.759999999999991"/>
    <n v="48.580000000000005"/>
    <n v="19.179999999999986"/>
  </r>
  <r>
    <n v="1424"/>
    <d v="2024-10-20T00:00:00"/>
    <x v="2"/>
    <x v="0"/>
    <s v="Notebook"/>
    <x v="5"/>
    <n v="27"/>
    <n v="35.58"/>
    <n v="19.23"/>
    <n v="960.66"/>
    <n v="519.21"/>
    <n v="441.44999999999993"/>
  </r>
  <r>
    <n v="1090"/>
    <d v="2024-10-21T00:00:00"/>
    <x v="1"/>
    <x v="0"/>
    <s v="Desk Chair"/>
    <x v="4"/>
    <n v="23"/>
    <n v="20.05"/>
    <n v="12.31"/>
    <n v="461.15000000000003"/>
    <n v="283.13"/>
    <n v="178.02000000000004"/>
  </r>
  <r>
    <n v="1112"/>
    <d v="2024-10-21T00:00:00"/>
    <x v="1"/>
    <x v="3"/>
    <s v="Filing Cabinet"/>
    <x v="3"/>
    <n v="37"/>
    <n v="282.52"/>
    <n v="165.99"/>
    <n v="10453.24"/>
    <n v="6141.63"/>
    <n v="4311.6099999999997"/>
  </r>
  <r>
    <n v="1985"/>
    <d v="2024-10-21T00:00:00"/>
    <x v="3"/>
    <x v="0"/>
    <s v="Desk Lamp"/>
    <x v="0"/>
    <n v="26"/>
    <n v="34.119999999999997"/>
    <n v="25.05"/>
    <n v="887.11999999999989"/>
    <n v="651.30000000000007"/>
    <n v="235.81999999999982"/>
  </r>
  <r>
    <n v="2033"/>
    <d v="2024-10-21T00:00:00"/>
    <x v="2"/>
    <x v="2"/>
    <s v="Design Tool"/>
    <x v="7"/>
    <n v="28"/>
    <n v="51.79"/>
    <n v="34.92"/>
    <n v="1450.12"/>
    <n v="977.76"/>
    <n v="472.3599999999999"/>
  </r>
  <r>
    <n v="1177"/>
    <d v="2024-10-22T00:00:00"/>
    <x v="0"/>
    <x v="2"/>
    <s v="Design Tool"/>
    <x v="4"/>
    <n v="23"/>
    <n v="100.58"/>
    <n v="64.709999999999994"/>
    <n v="2313.34"/>
    <n v="1488.33"/>
    <n v="825.01000000000022"/>
  </r>
  <r>
    <n v="2024"/>
    <d v="2024-10-22T00:00:00"/>
    <x v="4"/>
    <x v="1"/>
    <s v="Monitor"/>
    <x v="0"/>
    <n v="10"/>
    <n v="140.62"/>
    <n v="91.35"/>
    <n v="1406.2"/>
    <n v="913.5"/>
    <n v="492.70000000000005"/>
  </r>
  <r>
    <n v="2075"/>
    <d v="2024-10-22T00:00:00"/>
    <x v="0"/>
    <x v="3"/>
    <s v="Filing Cabinet"/>
    <x v="3"/>
    <n v="33"/>
    <n v="276.43"/>
    <n v="146.18"/>
    <n v="9122.19"/>
    <n v="4823.9400000000005"/>
    <n v="4298.25"/>
  </r>
  <r>
    <n v="2330"/>
    <d v="2024-10-22T00:00:00"/>
    <x v="1"/>
    <x v="0"/>
    <s v="Printer Paper"/>
    <x v="5"/>
    <n v="16"/>
    <n v="22.87"/>
    <n v="14.39"/>
    <n v="365.92"/>
    <n v="230.24"/>
    <n v="135.68"/>
  </r>
  <r>
    <n v="1119"/>
    <d v="2024-10-23T00:00:00"/>
    <x v="4"/>
    <x v="1"/>
    <s v="Laptop"/>
    <x v="4"/>
    <n v="28"/>
    <n v="207.58"/>
    <n v="147.04"/>
    <n v="5812.2400000000007"/>
    <n v="4117.12"/>
    <n v="1695.1200000000008"/>
  </r>
  <r>
    <n v="2444"/>
    <d v="2024-10-23T00:00:00"/>
    <x v="4"/>
    <x v="3"/>
    <s v="Bookshelf"/>
    <x v="3"/>
    <n v="35"/>
    <n v="322.08"/>
    <n v="200.59"/>
    <n v="11272.8"/>
    <n v="7020.6500000000005"/>
    <n v="4252.1499999999987"/>
  </r>
  <r>
    <n v="1966"/>
    <d v="2024-10-24T00:00:00"/>
    <x v="1"/>
    <x v="2"/>
    <s v="Design Tool"/>
    <x v="2"/>
    <n v="8"/>
    <n v="34.85"/>
    <n v="19.21"/>
    <n v="278.8"/>
    <n v="153.68"/>
    <n v="125.12"/>
  </r>
  <r>
    <n v="2039"/>
    <d v="2024-10-24T00:00:00"/>
    <x v="0"/>
    <x v="3"/>
    <s v="Filing Cabinet"/>
    <x v="6"/>
    <n v="14"/>
    <n v="85.73"/>
    <n v="59.05"/>
    <n v="1200.22"/>
    <n v="826.69999999999993"/>
    <n v="373.5200000000001"/>
  </r>
  <r>
    <n v="1222"/>
    <d v="2024-10-25T00:00:00"/>
    <x v="2"/>
    <x v="2"/>
    <s v="Antivirus License"/>
    <x v="7"/>
    <n v="37"/>
    <n v="95.3"/>
    <n v="54.04"/>
    <n v="3526.1"/>
    <n v="1999.48"/>
    <n v="1526.62"/>
  </r>
  <r>
    <n v="1352"/>
    <d v="2024-10-25T00:00:00"/>
    <x v="1"/>
    <x v="3"/>
    <s v="Office Desk"/>
    <x v="2"/>
    <n v="11"/>
    <n v="391.85"/>
    <n v="220.84"/>
    <n v="4310.3500000000004"/>
    <n v="2429.2400000000002"/>
    <n v="1881.1100000000001"/>
  </r>
  <r>
    <n v="1529"/>
    <d v="2024-10-25T00:00:00"/>
    <x v="1"/>
    <x v="1"/>
    <s v="Headphones"/>
    <x v="4"/>
    <n v="6"/>
    <n v="166.53"/>
    <n v="108.9"/>
    <n v="999.18000000000006"/>
    <n v="653.40000000000009"/>
    <n v="345.78"/>
  </r>
  <r>
    <n v="1729"/>
    <d v="2024-10-25T00:00:00"/>
    <x v="4"/>
    <x v="1"/>
    <s v="Webcam"/>
    <x v="1"/>
    <n v="4"/>
    <n v="259.41000000000003"/>
    <n v="152"/>
    <n v="1037.6400000000001"/>
    <n v="608"/>
    <n v="429.6400000000001"/>
  </r>
  <r>
    <n v="2116"/>
    <d v="2024-10-26T00:00:00"/>
    <x v="2"/>
    <x v="1"/>
    <s v="Headphones"/>
    <x v="6"/>
    <n v="33"/>
    <n v="588.59"/>
    <n v="418.94"/>
    <n v="19423.47"/>
    <n v="13825.02"/>
    <n v="5598.4500000000007"/>
  </r>
  <r>
    <n v="2580"/>
    <d v="2024-10-26T00:00:00"/>
    <x v="3"/>
    <x v="2"/>
    <s v="Cloud Storage"/>
    <x v="3"/>
    <n v="10"/>
    <n v="154.37"/>
    <n v="87.46"/>
    <n v="1543.7"/>
    <n v="874.59999999999991"/>
    <n v="669.10000000000014"/>
  </r>
  <r>
    <n v="2763"/>
    <d v="2024-10-26T00:00:00"/>
    <x v="0"/>
    <x v="3"/>
    <s v="Filing Cabinet"/>
    <x v="3"/>
    <n v="20"/>
    <n v="469.76"/>
    <n v="323.31"/>
    <n v="9395.2000000000007"/>
    <n v="6466.2"/>
    <n v="2929.0000000000009"/>
  </r>
  <r>
    <n v="1819"/>
    <d v="2024-10-27T00:00:00"/>
    <x v="1"/>
    <x v="2"/>
    <s v="Office Suite"/>
    <x v="4"/>
    <n v="21"/>
    <n v="170.7"/>
    <n v="94.3"/>
    <n v="3584.7"/>
    <n v="1980.3"/>
    <n v="1604.3999999999999"/>
  </r>
  <r>
    <n v="2013"/>
    <d v="2024-10-27T00:00:00"/>
    <x v="0"/>
    <x v="3"/>
    <s v="Bookshelf"/>
    <x v="5"/>
    <n v="15"/>
    <n v="128.47999999999999"/>
    <n v="87.78"/>
    <n v="1927.1999999999998"/>
    <n v="1316.7"/>
    <n v="610.49999999999977"/>
  </r>
  <r>
    <n v="2194"/>
    <d v="2024-10-27T00:00:00"/>
    <x v="1"/>
    <x v="1"/>
    <s v="Headphones"/>
    <x v="7"/>
    <n v="29"/>
    <n v="753.95"/>
    <n v="381.94"/>
    <n v="21864.550000000003"/>
    <n v="11076.26"/>
    <n v="10788.290000000003"/>
  </r>
  <r>
    <n v="1327"/>
    <d v="2024-10-28T00:00:00"/>
    <x v="2"/>
    <x v="1"/>
    <s v="Keyboard"/>
    <x v="2"/>
    <n v="38"/>
    <n v="547.46"/>
    <n v="290.13"/>
    <n v="20803.480000000003"/>
    <n v="11024.94"/>
    <n v="9778.5400000000027"/>
  </r>
  <r>
    <n v="1484"/>
    <d v="2024-10-28T00:00:00"/>
    <x v="1"/>
    <x v="1"/>
    <s v="Webcam"/>
    <x v="1"/>
    <n v="30"/>
    <n v="757.11"/>
    <n v="525.95000000000005"/>
    <n v="22713.3"/>
    <n v="15778.500000000002"/>
    <n v="6934.7999999999975"/>
  </r>
  <r>
    <n v="1528"/>
    <d v="2024-10-28T00:00:00"/>
    <x v="4"/>
    <x v="0"/>
    <s v="Desk Chair"/>
    <x v="0"/>
    <n v="37"/>
    <n v="38.869999999999997"/>
    <n v="25.81"/>
    <n v="1438.1899999999998"/>
    <n v="954.96999999999991"/>
    <n v="483.21999999999991"/>
  </r>
  <r>
    <n v="1725"/>
    <d v="2024-10-28T00:00:00"/>
    <x v="2"/>
    <x v="2"/>
    <s v="Antivirus License"/>
    <x v="6"/>
    <n v="15"/>
    <n v="146.96"/>
    <n v="90.54"/>
    <n v="2204.4"/>
    <n v="1358.1000000000001"/>
    <n v="846.3"/>
  </r>
  <r>
    <n v="1285"/>
    <d v="2024-10-29T00:00:00"/>
    <x v="2"/>
    <x v="2"/>
    <s v="Cloud Storage"/>
    <x v="2"/>
    <n v="6"/>
    <n v="267.7"/>
    <n v="169.04"/>
    <n v="1606.1999999999998"/>
    <n v="1014.24"/>
    <n v="591.95999999999981"/>
  </r>
  <r>
    <n v="2673"/>
    <d v="2024-10-29T00:00:00"/>
    <x v="2"/>
    <x v="2"/>
    <s v="Antivirus License"/>
    <x v="1"/>
    <n v="11"/>
    <n v="277.43"/>
    <n v="160.57"/>
    <n v="3051.73"/>
    <n v="1766.27"/>
    <n v="1285.46"/>
  </r>
  <r>
    <n v="2783"/>
    <d v="2024-10-30T00:00:00"/>
    <x v="2"/>
    <x v="1"/>
    <s v="Webcam"/>
    <x v="2"/>
    <n v="6"/>
    <n v="441.54"/>
    <n v="253.08"/>
    <n v="2649.2400000000002"/>
    <n v="1518.48"/>
    <n v="1130.7600000000002"/>
  </r>
  <r>
    <n v="1068"/>
    <d v="2024-10-31T00:00:00"/>
    <x v="1"/>
    <x v="2"/>
    <s v="Design Tool"/>
    <x v="2"/>
    <n v="40"/>
    <n v="195.14"/>
    <n v="110.48"/>
    <n v="7805.5999999999995"/>
    <n v="4419.2"/>
    <n v="3386.3999999999996"/>
  </r>
  <r>
    <n v="1163"/>
    <d v="2024-10-31T00:00:00"/>
    <x v="2"/>
    <x v="1"/>
    <s v="Laptop"/>
    <x v="1"/>
    <n v="29"/>
    <n v="409.12"/>
    <n v="292.67"/>
    <n v="11864.48"/>
    <n v="8487.43"/>
    <n v="3377.0499999999993"/>
  </r>
  <r>
    <n v="2294"/>
    <d v="2024-10-31T00:00:00"/>
    <x v="3"/>
    <x v="1"/>
    <s v="Headphones"/>
    <x v="1"/>
    <n v="17"/>
    <n v="443.82"/>
    <n v="235.26"/>
    <n v="7544.94"/>
    <n v="3999.42"/>
    <n v="3545.5199999999995"/>
  </r>
  <r>
    <n v="2669"/>
    <d v="2024-11-01T00:00:00"/>
    <x v="2"/>
    <x v="0"/>
    <s v="Desk Lamp"/>
    <x v="2"/>
    <n v="22"/>
    <n v="28.39"/>
    <n v="14.55"/>
    <n v="624.58000000000004"/>
    <n v="320.10000000000002"/>
    <n v="304.48"/>
  </r>
  <r>
    <n v="1257"/>
    <d v="2024-11-02T00:00:00"/>
    <x v="0"/>
    <x v="2"/>
    <s v="Office Suite"/>
    <x v="1"/>
    <n v="5"/>
    <n v="143.22999999999999"/>
    <n v="97.48"/>
    <n v="716.15"/>
    <n v="487.40000000000003"/>
    <n v="228.74999999999994"/>
  </r>
  <r>
    <n v="2589"/>
    <d v="2024-11-02T00:00:00"/>
    <x v="1"/>
    <x v="2"/>
    <s v="Antivirus License"/>
    <x v="3"/>
    <n v="11"/>
    <n v="95.72"/>
    <n v="51.82"/>
    <n v="1052.92"/>
    <n v="570.02"/>
    <n v="482.90000000000009"/>
  </r>
  <r>
    <n v="1421"/>
    <d v="2024-11-03T00:00:00"/>
    <x v="4"/>
    <x v="1"/>
    <s v="Keyboard"/>
    <x v="3"/>
    <n v="11"/>
    <n v="110.43"/>
    <n v="67.63"/>
    <n v="1214.73"/>
    <n v="743.93"/>
    <n v="470.80000000000007"/>
  </r>
  <r>
    <n v="2130"/>
    <d v="2024-11-03T00:00:00"/>
    <x v="1"/>
    <x v="1"/>
    <s v="Webcam"/>
    <x v="6"/>
    <n v="8"/>
    <n v="664.78"/>
    <n v="437.91"/>
    <n v="5318.24"/>
    <n v="3503.28"/>
    <n v="1814.9599999999996"/>
  </r>
  <r>
    <n v="2135"/>
    <d v="2024-11-03T00:00:00"/>
    <x v="1"/>
    <x v="0"/>
    <s v="Desk Lamp"/>
    <x v="1"/>
    <n v="21"/>
    <n v="46.68"/>
    <n v="30.46"/>
    <n v="980.28"/>
    <n v="639.66"/>
    <n v="340.62"/>
  </r>
  <r>
    <n v="2403"/>
    <d v="2024-11-03T00:00:00"/>
    <x v="0"/>
    <x v="3"/>
    <s v="Whiteboard"/>
    <x v="1"/>
    <n v="18"/>
    <n v="111.25"/>
    <n v="57.71"/>
    <n v="2002.5"/>
    <n v="1038.78"/>
    <n v="963.72"/>
  </r>
  <r>
    <n v="2598"/>
    <d v="2024-11-03T00:00:00"/>
    <x v="3"/>
    <x v="0"/>
    <s v="Desk Chair"/>
    <x v="7"/>
    <n v="23"/>
    <n v="59.27"/>
    <n v="41.8"/>
    <n v="1363.21"/>
    <n v="961.4"/>
    <n v="401.81000000000006"/>
  </r>
  <r>
    <n v="2732"/>
    <d v="2024-11-04T00:00:00"/>
    <x v="0"/>
    <x v="1"/>
    <s v="Monitor"/>
    <x v="6"/>
    <n v="34"/>
    <n v="737.14"/>
    <n v="375.04"/>
    <n v="25062.76"/>
    <n v="12751.36"/>
    <n v="12311.399999999998"/>
  </r>
  <r>
    <n v="2774"/>
    <d v="2024-11-04T00:00:00"/>
    <x v="0"/>
    <x v="2"/>
    <s v="Cloud Storage"/>
    <x v="6"/>
    <n v="35"/>
    <n v="296.8"/>
    <n v="196.71"/>
    <n v="10388"/>
    <n v="6884.85"/>
    <n v="3503.1499999999996"/>
  </r>
  <r>
    <n v="1091"/>
    <d v="2024-11-05T00:00:00"/>
    <x v="0"/>
    <x v="2"/>
    <s v="Cloud Storage"/>
    <x v="3"/>
    <n v="16"/>
    <n v="215.8"/>
    <n v="109.08"/>
    <n v="3452.8"/>
    <n v="1745.28"/>
    <n v="1707.5200000000002"/>
  </r>
  <r>
    <n v="1254"/>
    <d v="2024-11-05T00:00:00"/>
    <x v="0"/>
    <x v="3"/>
    <s v="Office Desk"/>
    <x v="5"/>
    <n v="17"/>
    <n v="352.54"/>
    <n v="231.41"/>
    <n v="5993.18"/>
    <n v="3933.97"/>
    <n v="2059.2100000000005"/>
  </r>
  <r>
    <n v="1623"/>
    <d v="2024-11-05T00:00:00"/>
    <x v="1"/>
    <x v="3"/>
    <s v="Whiteboard"/>
    <x v="5"/>
    <n v="13"/>
    <n v="296.45999999999998"/>
    <n v="188.81"/>
    <n v="3853.9799999999996"/>
    <n v="2454.5300000000002"/>
    <n v="1399.4499999999994"/>
  </r>
  <r>
    <n v="2043"/>
    <d v="2024-11-05T00:00:00"/>
    <x v="4"/>
    <x v="2"/>
    <s v="Office Suite"/>
    <x v="3"/>
    <n v="17"/>
    <n v="140.27000000000001"/>
    <n v="77.930000000000007"/>
    <n v="2384.59"/>
    <n v="1324.8100000000002"/>
    <n v="1059.78"/>
  </r>
  <r>
    <n v="2316"/>
    <d v="2024-11-05T00:00:00"/>
    <x v="0"/>
    <x v="0"/>
    <s v="Printer Paper"/>
    <x v="4"/>
    <n v="15"/>
    <n v="49.08"/>
    <n v="26.56"/>
    <n v="736.19999999999993"/>
    <n v="398.4"/>
    <n v="337.79999999999995"/>
  </r>
  <r>
    <n v="1614"/>
    <d v="2024-11-06T00:00:00"/>
    <x v="0"/>
    <x v="2"/>
    <s v="Cloud Storage"/>
    <x v="1"/>
    <n v="20"/>
    <n v="209.01"/>
    <n v="139"/>
    <n v="4180.2"/>
    <n v="2780"/>
    <n v="1400.1999999999998"/>
  </r>
  <r>
    <n v="1452"/>
    <d v="2024-11-07T00:00:00"/>
    <x v="3"/>
    <x v="0"/>
    <s v="Desk Lamp"/>
    <x v="3"/>
    <n v="7"/>
    <n v="33.299999999999997"/>
    <n v="18.72"/>
    <n v="233.09999999999997"/>
    <n v="131.04"/>
    <n v="102.05999999999997"/>
  </r>
  <r>
    <n v="1830"/>
    <d v="2024-11-08T00:00:00"/>
    <x v="2"/>
    <x v="3"/>
    <s v="Office Desk"/>
    <x v="3"/>
    <n v="5"/>
    <n v="149.35"/>
    <n v="102.43"/>
    <n v="746.75"/>
    <n v="512.15000000000009"/>
    <n v="234.59999999999991"/>
  </r>
  <r>
    <n v="1578"/>
    <d v="2024-11-09T00:00:00"/>
    <x v="0"/>
    <x v="3"/>
    <s v="Bookshelf"/>
    <x v="4"/>
    <n v="24"/>
    <n v="99.87"/>
    <n v="61.32"/>
    <n v="2396.88"/>
    <n v="1471.68"/>
    <n v="925.2"/>
  </r>
  <r>
    <n v="1826"/>
    <d v="2024-11-09T00:00:00"/>
    <x v="1"/>
    <x v="2"/>
    <s v="Antivirus License"/>
    <x v="5"/>
    <n v="37"/>
    <n v="271.04000000000002"/>
    <n v="147.09"/>
    <n v="10028.480000000001"/>
    <n v="5442.33"/>
    <n v="4586.1500000000015"/>
  </r>
  <r>
    <n v="2208"/>
    <d v="2024-11-09T00:00:00"/>
    <x v="3"/>
    <x v="3"/>
    <s v="Office Desk"/>
    <x v="1"/>
    <n v="13"/>
    <n v="304.79000000000002"/>
    <n v="159.78"/>
    <n v="3962.2700000000004"/>
    <n v="2077.14"/>
    <n v="1885.1300000000006"/>
  </r>
  <r>
    <n v="1599"/>
    <d v="2024-11-10T00:00:00"/>
    <x v="0"/>
    <x v="0"/>
    <s v="Notebook"/>
    <x v="3"/>
    <n v="28"/>
    <n v="47.69"/>
    <n v="32.869999999999997"/>
    <n v="1335.32"/>
    <n v="920.3599999999999"/>
    <n v="414.96000000000004"/>
  </r>
  <r>
    <n v="2562"/>
    <d v="2024-11-10T00:00:00"/>
    <x v="0"/>
    <x v="0"/>
    <s v="Desk Chair"/>
    <x v="0"/>
    <n v="5"/>
    <n v="47.38"/>
    <n v="34.71"/>
    <n v="236.9"/>
    <n v="173.55"/>
    <n v="63.349999999999994"/>
  </r>
  <r>
    <n v="1192"/>
    <d v="2024-11-11T00:00:00"/>
    <x v="3"/>
    <x v="2"/>
    <s v="Design Tool"/>
    <x v="2"/>
    <n v="14"/>
    <n v="37.85"/>
    <n v="28.33"/>
    <n v="529.9"/>
    <n v="396.62"/>
    <n v="133.27999999999997"/>
  </r>
  <r>
    <n v="1304"/>
    <d v="2024-11-11T00:00:00"/>
    <x v="2"/>
    <x v="2"/>
    <s v="Cloud Storage"/>
    <x v="0"/>
    <n v="6"/>
    <n v="126.8"/>
    <n v="69.31"/>
    <n v="760.8"/>
    <n v="415.86"/>
    <n v="344.93999999999994"/>
  </r>
  <r>
    <n v="2404"/>
    <d v="2024-11-11T00:00:00"/>
    <x v="4"/>
    <x v="2"/>
    <s v="Antivirus License"/>
    <x v="2"/>
    <n v="19"/>
    <n v="280.79000000000002"/>
    <n v="182.72"/>
    <n v="5335.01"/>
    <n v="3471.68"/>
    <n v="1863.3300000000004"/>
  </r>
  <r>
    <n v="1891"/>
    <d v="2024-11-12T00:00:00"/>
    <x v="1"/>
    <x v="1"/>
    <s v="Keyboard"/>
    <x v="3"/>
    <n v="30"/>
    <n v="323.52"/>
    <n v="191.15"/>
    <n v="9705.5999999999985"/>
    <n v="5734.5"/>
    <n v="3971.0999999999985"/>
  </r>
  <r>
    <n v="2379"/>
    <d v="2024-11-12T00:00:00"/>
    <x v="4"/>
    <x v="0"/>
    <s v="Notebook"/>
    <x v="4"/>
    <n v="10"/>
    <n v="5.0999999999999996"/>
    <n v="2.74"/>
    <n v="51"/>
    <n v="27.400000000000002"/>
    <n v="23.599999999999998"/>
  </r>
  <r>
    <n v="2394"/>
    <d v="2024-11-12T00:00:00"/>
    <x v="1"/>
    <x v="1"/>
    <s v="Laptop"/>
    <x v="1"/>
    <n v="8"/>
    <n v="776.55"/>
    <n v="542.5"/>
    <n v="6212.4"/>
    <n v="4340"/>
    <n v="1872.3999999999996"/>
  </r>
  <r>
    <n v="2612"/>
    <d v="2024-11-14T00:00:00"/>
    <x v="4"/>
    <x v="2"/>
    <s v="Design Tool"/>
    <x v="4"/>
    <n v="29"/>
    <n v="239.1"/>
    <n v="137.99"/>
    <n v="6933.9"/>
    <n v="4001.71"/>
    <n v="2932.1899999999996"/>
  </r>
  <r>
    <n v="2270"/>
    <d v="2024-11-16T00:00:00"/>
    <x v="2"/>
    <x v="3"/>
    <s v="Filing Cabinet"/>
    <x v="5"/>
    <n v="13"/>
    <n v="408.27"/>
    <n v="297.16000000000003"/>
    <n v="5307.51"/>
    <n v="3863.0800000000004"/>
    <n v="1444.4299999999998"/>
  </r>
  <r>
    <n v="1037"/>
    <d v="2024-11-17T00:00:00"/>
    <x v="2"/>
    <x v="1"/>
    <s v="Keyboard"/>
    <x v="7"/>
    <n v="17"/>
    <n v="97.28"/>
    <n v="65.34"/>
    <n v="1653.76"/>
    <n v="1110.78"/>
    <n v="542.98"/>
  </r>
  <r>
    <n v="1639"/>
    <d v="2024-11-17T00:00:00"/>
    <x v="1"/>
    <x v="1"/>
    <s v="Laptop"/>
    <x v="1"/>
    <n v="16"/>
    <n v="493.75"/>
    <n v="351.42"/>
    <n v="7900"/>
    <n v="5622.72"/>
    <n v="2277.2799999999997"/>
  </r>
  <r>
    <n v="1919"/>
    <d v="2024-11-17T00:00:00"/>
    <x v="2"/>
    <x v="0"/>
    <s v="Notebook"/>
    <x v="0"/>
    <n v="1"/>
    <n v="40.6"/>
    <n v="21.49"/>
    <n v="40.6"/>
    <n v="21.49"/>
    <n v="19.110000000000003"/>
  </r>
  <r>
    <n v="2005"/>
    <d v="2024-11-17T00:00:00"/>
    <x v="3"/>
    <x v="2"/>
    <s v="Office Suite"/>
    <x v="0"/>
    <n v="18"/>
    <n v="68.86"/>
    <n v="49.43"/>
    <n v="1239.48"/>
    <n v="889.74"/>
    <n v="349.74"/>
  </r>
  <r>
    <n v="2606"/>
    <d v="2024-11-17T00:00:00"/>
    <x v="3"/>
    <x v="1"/>
    <s v="Laptop"/>
    <x v="1"/>
    <n v="39"/>
    <n v="630.79999999999995"/>
    <n v="372.38"/>
    <n v="24601.199999999997"/>
    <n v="14522.82"/>
    <n v="10078.379999999997"/>
  </r>
  <r>
    <n v="1457"/>
    <d v="2024-11-18T00:00:00"/>
    <x v="3"/>
    <x v="3"/>
    <s v="Bookshelf"/>
    <x v="3"/>
    <n v="3"/>
    <n v="191.3"/>
    <n v="107.6"/>
    <n v="573.90000000000009"/>
    <n v="322.79999999999995"/>
    <n v="251.10000000000014"/>
  </r>
  <r>
    <n v="2401"/>
    <d v="2024-11-18T00:00:00"/>
    <x v="2"/>
    <x v="1"/>
    <s v="Monitor"/>
    <x v="3"/>
    <n v="39"/>
    <n v="497.23"/>
    <n v="317.43"/>
    <n v="19391.97"/>
    <n v="12379.77"/>
    <n v="7012.2000000000007"/>
  </r>
  <r>
    <n v="2781"/>
    <d v="2024-11-18T00:00:00"/>
    <x v="0"/>
    <x v="1"/>
    <s v="Monitor"/>
    <x v="0"/>
    <n v="24"/>
    <n v="236.91"/>
    <n v="161.97"/>
    <n v="5685.84"/>
    <n v="3887.2799999999997"/>
    <n v="1798.5600000000004"/>
  </r>
  <r>
    <n v="1633"/>
    <d v="2024-11-20T00:00:00"/>
    <x v="1"/>
    <x v="2"/>
    <s v="Cloud Storage"/>
    <x v="7"/>
    <n v="18"/>
    <n v="220.39"/>
    <n v="155.44999999999999"/>
    <n v="3967.0199999999995"/>
    <n v="2798.1"/>
    <n v="1168.9199999999996"/>
  </r>
  <r>
    <n v="1703"/>
    <d v="2024-11-20T00:00:00"/>
    <x v="2"/>
    <x v="3"/>
    <s v="Office Desk"/>
    <x v="3"/>
    <n v="7"/>
    <n v="156.72"/>
    <n v="84.4"/>
    <n v="1097.04"/>
    <n v="590.80000000000007"/>
    <n v="506.2399999999999"/>
  </r>
  <r>
    <n v="2060"/>
    <d v="2024-11-20T00:00:00"/>
    <x v="1"/>
    <x v="1"/>
    <s v="Webcam"/>
    <x v="7"/>
    <n v="11"/>
    <n v="854.21"/>
    <n v="546.79999999999995"/>
    <n v="9396.3100000000013"/>
    <n v="6014.7999999999993"/>
    <n v="3381.510000000002"/>
  </r>
  <r>
    <n v="2524"/>
    <d v="2024-11-20T00:00:00"/>
    <x v="3"/>
    <x v="1"/>
    <s v="Webcam"/>
    <x v="0"/>
    <n v="10"/>
    <n v="645.59"/>
    <n v="450.7"/>
    <n v="6455.9000000000005"/>
    <n v="4507"/>
    <n v="1948.9000000000005"/>
  </r>
  <r>
    <n v="1521"/>
    <d v="2024-11-21T00:00:00"/>
    <x v="2"/>
    <x v="2"/>
    <s v="Cloud Storage"/>
    <x v="6"/>
    <n v="35"/>
    <n v="175.52"/>
    <n v="124.77"/>
    <n v="6143.2000000000007"/>
    <n v="4366.95"/>
    <n v="1776.2500000000009"/>
  </r>
  <r>
    <n v="2726"/>
    <d v="2024-11-21T00:00:00"/>
    <x v="0"/>
    <x v="0"/>
    <s v="Printer Paper"/>
    <x v="0"/>
    <n v="12"/>
    <n v="54.63"/>
    <n v="38.840000000000003"/>
    <n v="655.56000000000006"/>
    <n v="466.08000000000004"/>
    <n v="189.48000000000002"/>
  </r>
  <r>
    <n v="1164"/>
    <d v="2024-11-22T00:00:00"/>
    <x v="4"/>
    <x v="2"/>
    <s v="Office Suite"/>
    <x v="5"/>
    <n v="33"/>
    <n v="94.89"/>
    <n v="53.33"/>
    <n v="3131.37"/>
    <n v="1759.8899999999999"/>
    <n v="1371.48"/>
  </r>
  <r>
    <n v="1226"/>
    <d v="2024-11-22T00:00:00"/>
    <x v="4"/>
    <x v="2"/>
    <s v="Office Suite"/>
    <x v="5"/>
    <n v="25"/>
    <n v="280.98"/>
    <n v="154.52000000000001"/>
    <n v="7024.5"/>
    <n v="3863.0000000000005"/>
    <n v="3161.4999999999995"/>
  </r>
  <r>
    <n v="1461"/>
    <d v="2024-11-22T00:00:00"/>
    <x v="1"/>
    <x v="0"/>
    <s v="Printer Paper"/>
    <x v="7"/>
    <n v="10"/>
    <n v="44.7"/>
    <n v="29"/>
    <n v="447"/>
    <n v="290"/>
    <n v="157"/>
  </r>
  <r>
    <n v="2613"/>
    <d v="2024-11-22T00:00:00"/>
    <x v="0"/>
    <x v="0"/>
    <s v="Desk Lamp"/>
    <x v="2"/>
    <n v="28"/>
    <n v="51.85"/>
    <n v="37.28"/>
    <n v="1451.8"/>
    <n v="1043.8400000000001"/>
    <n v="407.95999999999981"/>
  </r>
  <r>
    <n v="1155"/>
    <d v="2024-11-23T00:00:00"/>
    <x v="4"/>
    <x v="1"/>
    <s v="Webcam"/>
    <x v="0"/>
    <n v="20"/>
    <n v="775.14"/>
    <n v="541.38"/>
    <n v="15502.8"/>
    <n v="10827.6"/>
    <n v="4675.1999999999989"/>
  </r>
  <r>
    <n v="2284"/>
    <d v="2024-11-23T00:00:00"/>
    <x v="4"/>
    <x v="2"/>
    <s v="Cloud Storage"/>
    <x v="2"/>
    <n v="33"/>
    <n v="215.19"/>
    <n v="137.19"/>
    <n v="7101.2699999999995"/>
    <n v="4527.2699999999995"/>
    <n v="2574"/>
  </r>
  <r>
    <n v="2565"/>
    <d v="2024-11-23T00:00:00"/>
    <x v="4"/>
    <x v="0"/>
    <s v="Desk Chair"/>
    <x v="7"/>
    <n v="19"/>
    <n v="6.34"/>
    <n v="4.5999999999999996"/>
    <n v="120.46"/>
    <n v="87.399999999999991"/>
    <n v="33.06"/>
  </r>
  <r>
    <n v="1314"/>
    <d v="2024-11-24T00:00:00"/>
    <x v="4"/>
    <x v="2"/>
    <s v="Antivirus License"/>
    <x v="7"/>
    <n v="29"/>
    <n v="232.66"/>
    <n v="166.77"/>
    <n v="6747.14"/>
    <n v="4836.33"/>
    <n v="1910.8100000000004"/>
  </r>
  <r>
    <n v="2161"/>
    <d v="2024-11-24T00:00:00"/>
    <x v="3"/>
    <x v="1"/>
    <s v="Headphones"/>
    <x v="2"/>
    <n v="31"/>
    <n v="88.75"/>
    <n v="52.74"/>
    <n v="2751.25"/>
    <n v="1634.94"/>
    <n v="1116.31"/>
  </r>
  <r>
    <n v="1073"/>
    <d v="2024-11-26T00:00:00"/>
    <x v="1"/>
    <x v="3"/>
    <s v="Office Desk"/>
    <x v="3"/>
    <n v="15"/>
    <n v="321.58"/>
    <n v="241.15"/>
    <n v="4823.7"/>
    <n v="3617.25"/>
    <n v="1206.4499999999998"/>
  </r>
  <r>
    <n v="1719"/>
    <d v="2024-11-26T00:00:00"/>
    <x v="2"/>
    <x v="2"/>
    <s v="Design Tool"/>
    <x v="3"/>
    <n v="34"/>
    <n v="267.45999999999998"/>
    <n v="148.74"/>
    <n v="9093.64"/>
    <n v="5057.16"/>
    <n v="4036.4799999999996"/>
  </r>
  <r>
    <n v="2150"/>
    <d v="2024-11-26T00:00:00"/>
    <x v="2"/>
    <x v="0"/>
    <s v="Printer Paper"/>
    <x v="7"/>
    <n v="38"/>
    <n v="21.62"/>
    <n v="14.97"/>
    <n v="821.56000000000006"/>
    <n v="568.86"/>
    <n v="252.70000000000005"/>
  </r>
  <r>
    <n v="1292"/>
    <d v="2024-11-27T00:00:00"/>
    <x v="3"/>
    <x v="1"/>
    <s v="Monitor"/>
    <x v="1"/>
    <n v="8"/>
    <n v="771.04"/>
    <n v="567.09"/>
    <n v="6168.32"/>
    <n v="4536.72"/>
    <n v="1631.5999999999995"/>
  </r>
  <r>
    <n v="1540"/>
    <d v="2024-11-27T00:00:00"/>
    <x v="4"/>
    <x v="0"/>
    <s v="Desk Chair"/>
    <x v="0"/>
    <n v="4"/>
    <n v="21.96"/>
    <n v="12.43"/>
    <n v="87.84"/>
    <n v="49.72"/>
    <n v="38.120000000000005"/>
  </r>
  <r>
    <n v="1705"/>
    <d v="2024-11-27T00:00:00"/>
    <x v="4"/>
    <x v="2"/>
    <s v="Antivirus License"/>
    <x v="2"/>
    <n v="13"/>
    <n v="162.41"/>
    <n v="101.69"/>
    <n v="2111.33"/>
    <n v="1321.97"/>
    <n v="789.3599999999999"/>
  </r>
  <r>
    <n v="2690"/>
    <d v="2024-11-27T00:00:00"/>
    <x v="1"/>
    <x v="0"/>
    <s v="Desk Chair"/>
    <x v="1"/>
    <n v="38"/>
    <n v="46.95"/>
    <n v="26.19"/>
    <n v="1784.1000000000001"/>
    <n v="995.22"/>
    <n v="788.88000000000011"/>
  </r>
  <r>
    <n v="1116"/>
    <d v="2024-11-28T00:00:00"/>
    <x v="1"/>
    <x v="1"/>
    <s v="Laptop"/>
    <x v="1"/>
    <n v="11"/>
    <n v="693.73"/>
    <n v="420.4"/>
    <n v="7631.0300000000007"/>
    <n v="4624.3999999999996"/>
    <n v="3006.630000000001"/>
  </r>
  <r>
    <n v="1552"/>
    <d v="2024-11-28T00:00:00"/>
    <x v="3"/>
    <x v="0"/>
    <s v="Printer Paper"/>
    <x v="7"/>
    <n v="3"/>
    <n v="22.12"/>
    <n v="13.36"/>
    <n v="66.36"/>
    <n v="40.08"/>
    <n v="26.28"/>
  </r>
  <r>
    <n v="1218"/>
    <d v="2024-11-30T00:00:00"/>
    <x v="3"/>
    <x v="3"/>
    <s v="Whiteboard"/>
    <x v="4"/>
    <n v="15"/>
    <n v="261.38"/>
    <n v="173.86"/>
    <n v="3920.7"/>
    <n v="2607.9"/>
    <n v="1312.7999999999997"/>
  </r>
  <r>
    <n v="2328"/>
    <d v="2024-11-30T00:00:00"/>
    <x v="4"/>
    <x v="2"/>
    <s v="Cloud Storage"/>
    <x v="6"/>
    <n v="38"/>
    <n v="205.08"/>
    <n v="131.97"/>
    <n v="7793.0400000000009"/>
    <n v="5014.8599999999997"/>
    <n v="2778.1800000000012"/>
  </r>
  <r>
    <n v="2604"/>
    <d v="2024-11-30T00:00:00"/>
    <x v="1"/>
    <x v="0"/>
    <s v="Stapler"/>
    <x v="6"/>
    <n v="17"/>
    <n v="38.14"/>
    <n v="21.44"/>
    <n v="648.38"/>
    <n v="364.48"/>
    <n v="283.89999999999998"/>
  </r>
  <r>
    <n v="2291"/>
    <d v="2024-12-01T00:00:00"/>
    <x v="2"/>
    <x v="2"/>
    <s v="Office Suite"/>
    <x v="4"/>
    <n v="31"/>
    <n v="260.06"/>
    <n v="146.19"/>
    <n v="8061.86"/>
    <n v="4531.8900000000003"/>
    <n v="3529.9699999999993"/>
  </r>
  <r>
    <n v="1086"/>
    <d v="2024-12-02T00:00:00"/>
    <x v="1"/>
    <x v="2"/>
    <s v="Design Tool"/>
    <x v="4"/>
    <n v="35"/>
    <n v="277.86"/>
    <n v="208.22"/>
    <n v="9725.1"/>
    <n v="7287.7"/>
    <n v="2437.4000000000005"/>
  </r>
  <r>
    <n v="1132"/>
    <d v="2024-12-02T00:00:00"/>
    <x v="0"/>
    <x v="1"/>
    <s v="Keyboard"/>
    <x v="5"/>
    <n v="2"/>
    <n v="364.58"/>
    <n v="226.61"/>
    <n v="729.16"/>
    <n v="453.22"/>
    <n v="275.93999999999994"/>
  </r>
  <r>
    <n v="1712"/>
    <d v="2024-12-02T00:00:00"/>
    <x v="3"/>
    <x v="0"/>
    <s v="Desk Chair"/>
    <x v="4"/>
    <n v="1"/>
    <n v="41.34"/>
    <n v="27.94"/>
    <n v="41.34"/>
    <n v="27.94"/>
    <n v="13.400000000000002"/>
  </r>
  <r>
    <n v="1187"/>
    <d v="2024-12-03T00:00:00"/>
    <x v="4"/>
    <x v="1"/>
    <s v="Headphones"/>
    <x v="5"/>
    <n v="16"/>
    <n v="112.18"/>
    <n v="70.180000000000007"/>
    <n v="1794.88"/>
    <n v="1122.8800000000001"/>
    <n v="672"/>
  </r>
  <r>
    <n v="1225"/>
    <d v="2024-12-03T00:00:00"/>
    <x v="2"/>
    <x v="3"/>
    <s v="Whiteboard"/>
    <x v="1"/>
    <n v="20"/>
    <n v="164.36"/>
    <n v="121.81"/>
    <n v="3287.2000000000003"/>
    <n v="2436.1999999999998"/>
    <n v="851.00000000000045"/>
  </r>
  <r>
    <n v="1987"/>
    <d v="2024-12-03T00:00:00"/>
    <x v="3"/>
    <x v="0"/>
    <s v="Stapler"/>
    <x v="3"/>
    <n v="37"/>
    <n v="43.08"/>
    <n v="32.11"/>
    <n v="1593.96"/>
    <n v="1188.07"/>
    <n v="405.8900000000001"/>
  </r>
  <r>
    <n v="2748"/>
    <d v="2024-12-03T00:00:00"/>
    <x v="2"/>
    <x v="3"/>
    <s v="Office Desk"/>
    <x v="3"/>
    <n v="37"/>
    <n v="168.84"/>
    <n v="107.51"/>
    <n v="6247.08"/>
    <n v="3977.8700000000003"/>
    <n v="2269.2099999999996"/>
  </r>
  <r>
    <n v="1390"/>
    <d v="2024-12-04T00:00:00"/>
    <x v="3"/>
    <x v="2"/>
    <s v="Cloud Storage"/>
    <x v="4"/>
    <n v="14"/>
    <n v="88.23"/>
    <n v="46.94"/>
    <n v="1235.22"/>
    <n v="657.16"/>
    <n v="578.06000000000006"/>
  </r>
  <r>
    <n v="1751"/>
    <d v="2024-12-04T00:00:00"/>
    <x v="1"/>
    <x v="2"/>
    <s v="Cloud Storage"/>
    <x v="7"/>
    <n v="26"/>
    <n v="112.08"/>
    <n v="82.99"/>
    <n v="2914.08"/>
    <n v="2157.7399999999998"/>
    <n v="756.34000000000015"/>
  </r>
  <r>
    <n v="2576"/>
    <d v="2024-12-04T00:00:00"/>
    <x v="1"/>
    <x v="1"/>
    <s v="Laptop"/>
    <x v="3"/>
    <n v="4"/>
    <n v="435.42"/>
    <n v="221.78"/>
    <n v="1741.68"/>
    <n v="887.12"/>
    <n v="854.56000000000006"/>
  </r>
  <r>
    <n v="2687"/>
    <d v="2024-12-04T00:00:00"/>
    <x v="3"/>
    <x v="1"/>
    <s v="Laptop"/>
    <x v="2"/>
    <n v="37"/>
    <n v="93.46"/>
    <n v="55.05"/>
    <n v="3458.02"/>
    <n v="2036.85"/>
    <n v="1421.17"/>
  </r>
  <r>
    <n v="1283"/>
    <d v="2024-12-05T00:00:00"/>
    <x v="3"/>
    <x v="1"/>
    <s v="Keyboard"/>
    <x v="2"/>
    <n v="11"/>
    <n v="836.27"/>
    <n v="498.15"/>
    <n v="9198.9699999999993"/>
    <n v="5479.65"/>
    <n v="3719.3199999999997"/>
  </r>
  <r>
    <n v="1367"/>
    <d v="2024-12-05T00:00:00"/>
    <x v="4"/>
    <x v="3"/>
    <s v="Bookshelf"/>
    <x v="4"/>
    <n v="36"/>
    <n v="83.7"/>
    <n v="51.18"/>
    <n v="3013.2000000000003"/>
    <n v="1842.48"/>
    <n v="1170.7200000000003"/>
  </r>
  <r>
    <n v="1775"/>
    <d v="2024-12-05T00:00:00"/>
    <x v="4"/>
    <x v="0"/>
    <s v="Notebook"/>
    <x v="2"/>
    <n v="16"/>
    <n v="42.69"/>
    <n v="26.91"/>
    <n v="683.04"/>
    <n v="430.56"/>
    <n v="252.47999999999996"/>
  </r>
  <r>
    <n v="1204"/>
    <d v="2024-12-06T00:00:00"/>
    <x v="4"/>
    <x v="1"/>
    <s v="Monitor"/>
    <x v="7"/>
    <n v="8"/>
    <n v="687.38"/>
    <n v="464.63"/>
    <n v="5499.04"/>
    <n v="3717.04"/>
    <n v="1782"/>
  </r>
  <r>
    <n v="2695"/>
    <d v="2024-12-06T00:00:00"/>
    <x v="1"/>
    <x v="1"/>
    <s v="Webcam"/>
    <x v="5"/>
    <n v="37"/>
    <n v="689.68"/>
    <n v="361.08"/>
    <n v="25518.16"/>
    <n v="13359.96"/>
    <n v="12158.2"/>
  </r>
  <r>
    <n v="1123"/>
    <d v="2024-12-07T00:00:00"/>
    <x v="0"/>
    <x v="1"/>
    <s v="Webcam"/>
    <x v="3"/>
    <n v="34"/>
    <n v="488.36"/>
    <n v="344.17"/>
    <n v="16604.240000000002"/>
    <n v="11701.78"/>
    <n v="4902.4600000000009"/>
  </r>
  <r>
    <n v="1781"/>
    <d v="2024-12-07T00:00:00"/>
    <x v="0"/>
    <x v="2"/>
    <s v="Office Suite"/>
    <x v="1"/>
    <n v="13"/>
    <n v="124.79"/>
    <n v="75.02"/>
    <n v="1622.27"/>
    <n v="975.26"/>
    <n v="647.01"/>
  </r>
  <r>
    <n v="2137"/>
    <d v="2024-12-07T00:00:00"/>
    <x v="4"/>
    <x v="3"/>
    <s v="Whiteboard"/>
    <x v="0"/>
    <n v="28"/>
    <n v="82.38"/>
    <n v="42.33"/>
    <n v="2306.64"/>
    <n v="1185.24"/>
    <n v="1121.3999999999999"/>
  </r>
  <r>
    <n v="2147"/>
    <d v="2024-12-07T00:00:00"/>
    <x v="3"/>
    <x v="1"/>
    <s v="Webcam"/>
    <x v="3"/>
    <n v="36"/>
    <n v="715.69"/>
    <n v="373.54"/>
    <n v="25764.840000000004"/>
    <n v="13447.44"/>
    <n v="12317.400000000003"/>
  </r>
  <r>
    <n v="1422"/>
    <d v="2024-12-08T00:00:00"/>
    <x v="4"/>
    <x v="3"/>
    <s v="Filing Cabinet"/>
    <x v="0"/>
    <n v="23"/>
    <n v="444.29"/>
    <n v="244.24"/>
    <n v="10218.67"/>
    <n v="5617.52"/>
    <n v="4601.1499999999996"/>
  </r>
  <r>
    <n v="1949"/>
    <d v="2024-12-08T00:00:00"/>
    <x v="3"/>
    <x v="0"/>
    <s v="Printer Paper"/>
    <x v="3"/>
    <n v="11"/>
    <n v="51.63"/>
    <n v="33.340000000000003"/>
    <n v="567.93000000000006"/>
    <n v="366.74"/>
    <n v="201.19000000000005"/>
  </r>
  <r>
    <n v="1267"/>
    <d v="2024-12-09T00:00:00"/>
    <x v="2"/>
    <x v="3"/>
    <s v="Office Desk"/>
    <x v="0"/>
    <n v="37"/>
    <n v="294.52999999999997"/>
    <n v="210.54"/>
    <n v="10897.609999999999"/>
    <n v="7789.98"/>
    <n v="3107.6299999999992"/>
  </r>
  <r>
    <n v="1274"/>
    <d v="2024-12-09T00:00:00"/>
    <x v="3"/>
    <x v="2"/>
    <s v="Design Tool"/>
    <x v="3"/>
    <n v="14"/>
    <n v="36.770000000000003"/>
    <n v="27.55"/>
    <n v="514.78000000000009"/>
    <n v="385.7"/>
    <n v="129.0800000000001"/>
  </r>
  <r>
    <n v="1577"/>
    <d v="2024-12-09T00:00:00"/>
    <x v="2"/>
    <x v="3"/>
    <s v="Filing Cabinet"/>
    <x v="4"/>
    <n v="38"/>
    <n v="310.36"/>
    <n v="199.19"/>
    <n v="11793.68"/>
    <n v="7569.22"/>
    <n v="4224.46"/>
  </r>
  <r>
    <n v="1731"/>
    <d v="2024-12-09T00:00:00"/>
    <x v="1"/>
    <x v="3"/>
    <s v="Whiteboard"/>
    <x v="5"/>
    <n v="11"/>
    <n v="462.43"/>
    <n v="337.57"/>
    <n v="5086.7300000000005"/>
    <n v="3713.27"/>
    <n v="1373.4600000000005"/>
  </r>
  <r>
    <n v="2703"/>
    <d v="2024-12-09T00:00:00"/>
    <x v="3"/>
    <x v="2"/>
    <s v="Design Tool"/>
    <x v="6"/>
    <n v="13"/>
    <n v="220.27"/>
    <n v="142.88999999999999"/>
    <n v="2863.51"/>
    <n v="1857.5699999999997"/>
    <n v="1005.9400000000005"/>
  </r>
  <r>
    <n v="1059"/>
    <d v="2024-12-10T00:00:00"/>
    <x v="3"/>
    <x v="2"/>
    <s v="Design Tool"/>
    <x v="1"/>
    <n v="32"/>
    <n v="266.49"/>
    <n v="179.96"/>
    <n v="8527.68"/>
    <n v="5758.72"/>
    <n v="2768.96"/>
  </r>
  <r>
    <n v="1743"/>
    <d v="2024-12-10T00:00:00"/>
    <x v="2"/>
    <x v="2"/>
    <s v="Cloud Storage"/>
    <x v="6"/>
    <n v="27"/>
    <n v="26.92"/>
    <n v="16.43"/>
    <n v="726.84"/>
    <n v="443.61"/>
    <n v="283.23"/>
  </r>
  <r>
    <n v="1313"/>
    <d v="2024-12-11T00:00:00"/>
    <x v="4"/>
    <x v="3"/>
    <s v="Filing Cabinet"/>
    <x v="4"/>
    <n v="7"/>
    <n v="206.2"/>
    <n v="143"/>
    <n v="1443.3999999999999"/>
    <n v="1001"/>
    <n v="442.39999999999986"/>
  </r>
  <r>
    <n v="1880"/>
    <d v="2024-12-11T00:00:00"/>
    <x v="2"/>
    <x v="1"/>
    <s v="Headphones"/>
    <x v="3"/>
    <n v="10"/>
    <n v="110.4"/>
    <n v="59.63"/>
    <n v="1104"/>
    <n v="596.30000000000007"/>
    <n v="507.69999999999993"/>
  </r>
  <r>
    <n v="2468"/>
    <d v="2024-12-11T00:00:00"/>
    <x v="0"/>
    <x v="2"/>
    <s v="Cloud Storage"/>
    <x v="6"/>
    <n v="28"/>
    <n v="46.88"/>
    <n v="32.19"/>
    <n v="1312.64"/>
    <n v="901.31999999999994"/>
    <n v="411.32000000000016"/>
  </r>
  <r>
    <n v="1678"/>
    <d v="2024-12-14T00:00:00"/>
    <x v="4"/>
    <x v="1"/>
    <s v="Webcam"/>
    <x v="0"/>
    <n v="10"/>
    <n v="776.86"/>
    <n v="398.22"/>
    <n v="7768.6"/>
    <n v="3982.2000000000003"/>
    <n v="3786.4"/>
  </r>
  <r>
    <n v="2471"/>
    <d v="2024-12-14T00:00:00"/>
    <x v="4"/>
    <x v="1"/>
    <s v="Keyboard"/>
    <x v="1"/>
    <n v="28"/>
    <n v="540.51"/>
    <n v="346.11"/>
    <n v="15134.279999999999"/>
    <n v="9691.08"/>
    <n v="5443.1999999999989"/>
  </r>
  <r>
    <n v="1617"/>
    <d v="2024-12-15T00:00:00"/>
    <x v="2"/>
    <x v="1"/>
    <s v="Keyboard"/>
    <x v="5"/>
    <n v="23"/>
    <n v="406.02"/>
    <n v="234.69"/>
    <n v="9338.4599999999991"/>
    <n v="5397.87"/>
    <n v="3940.5899999999992"/>
  </r>
  <r>
    <n v="1666"/>
    <d v="2024-12-15T00:00:00"/>
    <x v="0"/>
    <x v="0"/>
    <s v="Notebook"/>
    <x v="3"/>
    <n v="39"/>
    <n v="41.38"/>
    <n v="24.78"/>
    <n v="1613.8200000000002"/>
    <n v="966.42000000000007"/>
    <n v="647.40000000000009"/>
  </r>
  <r>
    <n v="2180"/>
    <d v="2024-12-15T00:00:00"/>
    <x v="4"/>
    <x v="1"/>
    <s v="Keyboard"/>
    <x v="0"/>
    <n v="8"/>
    <n v="586.59"/>
    <n v="420.22"/>
    <n v="4692.72"/>
    <n v="3361.76"/>
    <n v="1330.96"/>
  </r>
  <r>
    <n v="1437"/>
    <d v="2024-12-16T00:00:00"/>
    <x v="2"/>
    <x v="3"/>
    <s v="Whiteboard"/>
    <x v="5"/>
    <n v="30"/>
    <n v="113.69"/>
    <n v="61"/>
    <n v="3410.7"/>
    <n v="1830"/>
    <n v="1580.6999999999998"/>
  </r>
  <r>
    <n v="1843"/>
    <d v="2024-12-16T00:00:00"/>
    <x v="2"/>
    <x v="1"/>
    <s v="Keyboard"/>
    <x v="4"/>
    <n v="19"/>
    <n v="297.07"/>
    <n v="202.69"/>
    <n v="5644.33"/>
    <n v="3851.11"/>
    <n v="1793.2199999999998"/>
  </r>
  <r>
    <n v="2170"/>
    <d v="2024-12-16T00:00:00"/>
    <x v="1"/>
    <x v="3"/>
    <s v="Office Desk"/>
    <x v="5"/>
    <n v="28"/>
    <n v="133.02000000000001"/>
    <n v="81.72"/>
    <n v="3724.5600000000004"/>
    <n v="2288.16"/>
    <n v="1436.4000000000005"/>
  </r>
  <r>
    <n v="1418"/>
    <d v="2024-12-17T00:00:00"/>
    <x v="4"/>
    <x v="0"/>
    <s v="Stapler"/>
    <x v="6"/>
    <n v="14"/>
    <n v="45.88"/>
    <n v="28.11"/>
    <n v="642.32000000000005"/>
    <n v="393.53999999999996"/>
    <n v="248.78000000000009"/>
  </r>
  <r>
    <n v="1920"/>
    <d v="2024-12-17T00:00:00"/>
    <x v="4"/>
    <x v="2"/>
    <s v="Antivirus License"/>
    <x v="1"/>
    <n v="34"/>
    <n v="28.28"/>
    <n v="14.3"/>
    <n v="961.52"/>
    <n v="486.20000000000005"/>
    <n v="475.31999999999994"/>
  </r>
  <r>
    <n v="2712"/>
    <d v="2024-12-17T00:00:00"/>
    <x v="1"/>
    <x v="3"/>
    <s v="Filing Cabinet"/>
    <x v="1"/>
    <n v="7"/>
    <n v="347.22"/>
    <n v="219.95"/>
    <n v="2430.54"/>
    <n v="1539.6499999999999"/>
    <n v="890.8900000000001"/>
  </r>
  <r>
    <n v="1432"/>
    <d v="2024-12-18T00:00:00"/>
    <x v="4"/>
    <x v="2"/>
    <s v="Antivirus License"/>
    <x v="4"/>
    <n v="31"/>
    <n v="187.16"/>
    <n v="130.86000000000001"/>
    <n v="5801.96"/>
    <n v="4056.6600000000003"/>
    <n v="1745.2999999999997"/>
  </r>
  <r>
    <n v="1581"/>
    <d v="2024-12-18T00:00:00"/>
    <x v="0"/>
    <x v="3"/>
    <s v="Whiteboard"/>
    <x v="1"/>
    <n v="35"/>
    <n v="249.92"/>
    <n v="134.04"/>
    <n v="8747.1999999999989"/>
    <n v="4691.3999999999996"/>
    <n v="4055.7999999999993"/>
  </r>
  <r>
    <n v="2055"/>
    <d v="2024-12-19T00:00:00"/>
    <x v="3"/>
    <x v="0"/>
    <s v="Printer Paper"/>
    <x v="0"/>
    <n v="28"/>
    <n v="20.43"/>
    <n v="11.52"/>
    <n v="572.04"/>
    <n v="322.56"/>
    <n v="249.47999999999996"/>
  </r>
  <r>
    <n v="2104"/>
    <d v="2024-12-19T00:00:00"/>
    <x v="3"/>
    <x v="0"/>
    <s v="Desk Lamp"/>
    <x v="5"/>
    <n v="20"/>
    <n v="20.97"/>
    <n v="13.76"/>
    <n v="419.4"/>
    <n v="275.2"/>
    <n v="144.19999999999999"/>
  </r>
  <r>
    <n v="2537"/>
    <d v="2024-12-19T00:00:00"/>
    <x v="3"/>
    <x v="0"/>
    <s v="Stapler"/>
    <x v="6"/>
    <n v="34"/>
    <n v="40.909999999999997"/>
    <n v="24.04"/>
    <n v="1390.9399999999998"/>
    <n v="817.36"/>
    <n v="573.57999999999981"/>
  </r>
  <r>
    <n v="1196"/>
    <d v="2024-12-20T00:00:00"/>
    <x v="0"/>
    <x v="3"/>
    <s v="Bookshelf"/>
    <x v="3"/>
    <n v="3"/>
    <n v="401.74"/>
    <n v="202.44"/>
    <n v="1205.22"/>
    <n v="607.31999999999994"/>
    <n v="597.90000000000009"/>
  </r>
  <r>
    <n v="1444"/>
    <d v="2024-12-21T00:00:00"/>
    <x v="2"/>
    <x v="0"/>
    <s v="Desk Chair"/>
    <x v="6"/>
    <n v="23"/>
    <n v="17.29"/>
    <n v="11.06"/>
    <n v="397.66999999999996"/>
    <n v="254.38000000000002"/>
    <n v="143.28999999999994"/>
  </r>
  <r>
    <n v="2676"/>
    <d v="2024-12-21T00:00:00"/>
    <x v="1"/>
    <x v="3"/>
    <s v="Whiteboard"/>
    <x v="5"/>
    <n v="3"/>
    <n v="430.6"/>
    <n v="262.98"/>
    <n v="1291.8000000000002"/>
    <n v="788.94"/>
    <n v="502.86000000000013"/>
  </r>
  <r>
    <n v="1460"/>
    <d v="2024-12-22T00:00:00"/>
    <x v="2"/>
    <x v="2"/>
    <s v="Antivirus License"/>
    <x v="7"/>
    <n v="39"/>
    <n v="35.159999999999997"/>
    <n v="22.19"/>
    <n v="1371.2399999999998"/>
    <n v="865.41000000000008"/>
    <n v="505.8299999999997"/>
  </r>
  <r>
    <n v="1465"/>
    <d v="2024-12-22T00:00:00"/>
    <x v="0"/>
    <x v="3"/>
    <s v="Filing Cabinet"/>
    <x v="2"/>
    <n v="20"/>
    <n v="425.07"/>
    <n v="278.76"/>
    <n v="8501.4"/>
    <n v="5575.2"/>
    <n v="2926.2"/>
  </r>
  <r>
    <n v="2679"/>
    <d v="2024-12-22T00:00:00"/>
    <x v="0"/>
    <x v="1"/>
    <s v="Monitor"/>
    <x v="6"/>
    <n v="3"/>
    <n v="485.45"/>
    <n v="308.60000000000002"/>
    <n v="1456.35"/>
    <n v="925.80000000000007"/>
    <n v="530.54999999999984"/>
  </r>
  <r>
    <n v="1093"/>
    <d v="2024-12-26T00:00:00"/>
    <x v="0"/>
    <x v="0"/>
    <s v="Desk Lamp"/>
    <x v="0"/>
    <n v="9"/>
    <n v="54.49"/>
    <n v="33.25"/>
    <n v="490.41"/>
    <n v="299.25"/>
    <n v="191.16000000000003"/>
  </r>
  <r>
    <n v="1290"/>
    <d v="2024-12-26T00:00:00"/>
    <x v="1"/>
    <x v="0"/>
    <s v="Desk Lamp"/>
    <x v="7"/>
    <n v="32"/>
    <n v="13.01"/>
    <n v="8.4600000000000009"/>
    <n v="416.32"/>
    <n v="270.72000000000003"/>
    <n v="145.59999999999997"/>
  </r>
  <r>
    <n v="1150"/>
    <d v="2024-12-27T00:00:00"/>
    <x v="1"/>
    <x v="2"/>
    <s v="Design Tool"/>
    <x v="2"/>
    <n v="5"/>
    <n v="229.97"/>
    <n v="124.18"/>
    <n v="1149.8499999999999"/>
    <n v="620.90000000000009"/>
    <n v="528.94999999999982"/>
  </r>
  <r>
    <n v="1411"/>
    <d v="2024-12-27T00:00:00"/>
    <x v="1"/>
    <x v="1"/>
    <s v="Headphones"/>
    <x v="7"/>
    <n v="19"/>
    <n v="138.13"/>
    <n v="101.23"/>
    <n v="2624.47"/>
    <n v="1923.3700000000001"/>
    <n v="701.09999999999968"/>
  </r>
  <r>
    <n v="2516"/>
    <d v="2024-12-27T00:00:00"/>
    <x v="1"/>
    <x v="3"/>
    <s v="Bookshelf"/>
    <x v="7"/>
    <n v="9"/>
    <n v="435.63"/>
    <n v="308.24"/>
    <n v="3920.67"/>
    <n v="2774.16"/>
    <n v="1146.5100000000002"/>
  </r>
  <r>
    <n v="1120"/>
    <d v="2024-12-28T00:00:00"/>
    <x v="3"/>
    <x v="2"/>
    <s v="Antivirus License"/>
    <x v="6"/>
    <n v="2"/>
    <n v="140.19999999999999"/>
    <n v="84.28"/>
    <n v="280.39999999999998"/>
    <n v="168.56"/>
    <n v="111.83999999999997"/>
  </r>
  <r>
    <n v="1212"/>
    <d v="2024-12-28T00:00:00"/>
    <x v="4"/>
    <x v="2"/>
    <s v="Antivirus License"/>
    <x v="5"/>
    <n v="26"/>
    <n v="103.99"/>
    <n v="73.52"/>
    <n v="2703.74"/>
    <n v="1911.52"/>
    <n v="792.2199999999998"/>
  </r>
  <r>
    <n v="2018"/>
    <d v="2024-12-28T00:00:00"/>
    <x v="0"/>
    <x v="2"/>
    <s v="Office Suite"/>
    <x v="0"/>
    <n v="8"/>
    <n v="190.45"/>
    <n v="100.36"/>
    <n v="1523.6"/>
    <n v="802.88"/>
    <n v="720.71999999999991"/>
  </r>
  <r>
    <n v="2593"/>
    <d v="2024-12-28T00:00:00"/>
    <x v="3"/>
    <x v="2"/>
    <s v="Cloud Storage"/>
    <x v="1"/>
    <n v="19"/>
    <n v="216.56"/>
    <n v="123.6"/>
    <n v="4114.6400000000003"/>
    <n v="2348.4"/>
    <n v="1766.2400000000002"/>
  </r>
  <r>
    <n v="1887"/>
    <d v="2024-12-30T00:00:00"/>
    <x v="0"/>
    <x v="1"/>
    <s v="Headphones"/>
    <x v="6"/>
    <n v="33"/>
    <n v="144.84"/>
    <n v="86.26"/>
    <n v="4779.72"/>
    <n v="2846.5800000000004"/>
    <n v="1933.1399999999999"/>
  </r>
  <r>
    <n v="2587"/>
    <d v="2024-12-30T00:00:00"/>
    <x v="1"/>
    <x v="0"/>
    <s v="Desk Lamp"/>
    <x v="4"/>
    <n v="33"/>
    <n v="56.15"/>
    <n v="28.44"/>
    <n v="1852.95"/>
    <n v="938.5200000000001"/>
    <n v="914.43"/>
  </r>
  <r>
    <n v="1144"/>
    <d v="2024-12-31T00:00:00"/>
    <x v="3"/>
    <x v="3"/>
    <s v="Bookshelf"/>
    <x v="3"/>
    <n v="38"/>
    <n v="98.62"/>
    <n v="69.37"/>
    <n v="3747.5600000000004"/>
    <n v="2636.0600000000004"/>
    <n v="1111.5"/>
  </r>
  <r>
    <n v="1677"/>
    <d v="2024-12-31T00:00:00"/>
    <x v="0"/>
    <x v="0"/>
    <s v="Desk Lamp"/>
    <x v="2"/>
    <n v="5"/>
    <n v="9.5"/>
    <n v="5.91"/>
    <n v="47.5"/>
    <n v="29.55"/>
    <n v="17.95"/>
  </r>
  <r>
    <n v="2241"/>
    <d v="2024-12-31T00:00:00"/>
    <x v="0"/>
    <x v="0"/>
    <s v="Notebook"/>
    <x v="0"/>
    <n v="5"/>
    <n v="54.83"/>
    <n v="33.93"/>
    <n v="274.14999999999998"/>
    <n v="169.65"/>
    <n v="104.49999999999997"/>
  </r>
  <r>
    <n v="1032"/>
    <d v="2025-01-01T00:00:00"/>
    <x v="0"/>
    <x v="0"/>
    <s v="Desk Chair"/>
    <x v="5"/>
    <n v="36"/>
    <n v="26.16"/>
    <n v="19.16"/>
    <n v="941.76"/>
    <n v="689.76"/>
    <n v="252"/>
  </r>
  <r>
    <n v="1715"/>
    <d v="2025-01-01T00:00:00"/>
    <x v="0"/>
    <x v="1"/>
    <s v="Webcam"/>
    <x v="0"/>
    <n v="15"/>
    <n v="256.77999999999997"/>
    <n v="186.45"/>
    <n v="3851.7"/>
    <n v="2796.75"/>
    <n v="1054.9499999999998"/>
  </r>
  <r>
    <n v="2749"/>
    <d v="2025-01-01T00:00:00"/>
    <x v="0"/>
    <x v="1"/>
    <s v="Keyboard"/>
    <x v="2"/>
    <n v="9"/>
    <n v="75.25"/>
    <n v="38.96"/>
    <n v="677.25"/>
    <n v="350.64"/>
    <n v="326.61"/>
  </r>
  <r>
    <n v="1385"/>
    <d v="2025-01-02T00:00:00"/>
    <x v="3"/>
    <x v="0"/>
    <s v="Stapler"/>
    <x v="7"/>
    <n v="5"/>
    <n v="16.34"/>
    <n v="11.4"/>
    <n v="81.7"/>
    <n v="57"/>
    <n v="24.700000000000003"/>
  </r>
  <r>
    <n v="1821"/>
    <d v="2025-01-02T00:00:00"/>
    <x v="4"/>
    <x v="0"/>
    <s v="Desk Lamp"/>
    <x v="6"/>
    <n v="5"/>
    <n v="17.86"/>
    <n v="10.97"/>
    <n v="89.3"/>
    <n v="54.85"/>
    <n v="34.449999999999996"/>
  </r>
  <r>
    <n v="1522"/>
    <d v="2025-01-03T00:00:00"/>
    <x v="2"/>
    <x v="0"/>
    <s v="Printer Paper"/>
    <x v="1"/>
    <n v="9"/>
    <n v="39.96"/>
    <n v="26.55"/>
    <n v="359.64"/>
    <n v="238.95000000000002"/>
    <n v="120.68999999999997"/>
  </r>
  <r>
    <n v="1734"/>
    <d v="2025-01-03T00:00:00"/>
    <x v="3"/>
    <x v="1"/>
    <s v="Monitor"/>
    <x v="7"/>
    <n v="19"/>
    <n v="206.28"/>
    <n v="131.74"/>
    <n v="3919.32"/>
    <n v="2503.0600000000004"/>
    <n v="1416.2599999999998"/>
  </r>
  <r>
    <n v="2670"/>
    <d v="2025-01-03T00:00:00"/>
    <x v="2"/>
    <x v="3"/>
    <s v="Filing Cabinet"/>
    <x v="3"/>
    <n v="24"/>
    <n v="317.12"/>
    <n v="159.33000000000001"/>
    <n v="7610.88"/>
    <n v="3823.92"/>
    <n v="3786.96"/>
  </r>
  <r>
    <n v="1220"/>
    <d v="2025-01-04T00:00:00"/>
    <x v="3"/>
    <x v="1"/>
    <s v="Laptop"/>
    <x v="0"/>
    <n v="29"/>
    <n v="362.33"/>
    <n v="221.82"/>
    <n v="10507.57"/>
    <n v="6432.78"/>
    <n v="4074.79"/>
  </r>
  <r>
    <n v="1794"/>
    <d v="2025-01-04T00:00:00"/>
    <x v="2"/>
    <x v="2"/>
    <s v="Antivirus License"/>
    <x v="5"/>
    <n v="22"/>
    <n v="132.51"/>
    <n v="93.93"/>
    <n v="2915.22"/>
    <n v="2066.46"/>
    <n v="848.75999999999976"/>
  </r>
  <r>
    <n v="2144"/>
    <d v="2025-01-04T00:00:00"/>
    <x v="2"/>
    <x v="0"/>
    <s v="Notebook"/>
    <x v="5"/>
    <n v="30"/>
    <n v="23.65"/>
    <n v="13.36"/>
    <n v="709.5"/>
    <n v="400.79999999999995"/>
    <n v="308.70000000000005"/>
  </r>
  <r>
    <n v="1057"/>
    <d v="2025-01-05T00:00:00"/>
    <x v="2"/>
    <x v="0"/>
    <s v="Stapler"/>
    <x v="1"/>
    <n v="34"/>
    <n v="18.39"/>
    <n v="11.42"/>
    <n v="625.26"/>
    <n v="388.28"/>
    <n v="236.98000000000002"/>
  </r>
  <r>
    <n v="1122"/>
    <d v="2025-01-05T00:00:00"/>
    <x v="3"/>
    <x v="2"/>
    <s v="Antivirus License"/>
    <x v="7"/>
    <n v="28"/>
    <n v="106.88"/>
    <n v="62.51"/>
    <n v="2992.64"/>
    <n v="1750.28"/>
    <n v="1242.3599999999999"/>
  </r>
  <r>
    <n v="1557"/>
    <d v="2025-01-05T00:00:00"/>
    <x v="1"/>
    <x v="0"/>
    <s v="Stapler"/>
    <x v="7"/>
    <n v="18"/>
    <n v="9.42"/>
    <n v="6.86"/>
    <n v="169.56"/>
    <n v="123.48"/>
    <n v="46.08"/>
  </r>
  <r>
    <n v="1850"/>
    <d v="2025-01-05T00:00:00"/>
    <x v="1"/>
    <x v="3"/>
    <s v="Bookshelf"/>
    <x v="0"/>
    <n v="14"/>
    <n v="124.67"/>
    <n v="81.09"/>
    <n v="1745.38"/>
    <n v="1135.26"/>
    <n v="610.12000000000012"/>
  </r>
  <r>
    <n v="1918"/>
    <d v="2025-01-05T00:00:00"/>
    <x v="0"/>
    <x v="2"/>
    <s v="Antivirus License"/>
    <x v="4"/>
    <n v="2"/>
    <n v="78.88"/>
    <n v="47.72"/>
    <n v="157.76"/>
    <n v="95.44"/>
    <n v="62.319999999999993"/>
  </r>
  <r>
    <n v="2332"/>
    <d v="2025-01-05T00:00:00"/>
    <x v="1"/>
    <x v="3"/>
    <s v="Bookshelf"/>
    <x v="4"/>
    <n v="38"/>
    <n v="383.55"/>
    <n v="215.46"/>
    <n v="14574.9"/>
    <n v="8187.4800000000005"/>
    <n v="6387.4199999999992"/>
  </r>
  <r>
    <n v="2709"/>
    <d v="2025-01-05T00:00:00"/>
    <x v="3"/>
    <x v="3"/>
    <s v="Filing Cabinet"/>
    <x v="0"/>
    <n v="20"/>
    <n v="261.22000000000003"/>
    <n v="175.33"/>
    <n v="5224.4000000000005"/>
    <n v="3506.6000000000004"/>
    <n v="1717.8000000000002"/>
  </r>
  <r>
    <n v="1884"/>
    <d v="2025-01-06T00:00:00"/>
    <x v="1"/>
    <x v="3"/>
    <s v="Office Desk"/>
    <x v="7"/>
    <n v="19"/>
    <n v="169"/>
    <n v="122.93"/>
    <n v="3211"/>
    <n v="2335.67"/>
    <n v="875.32999999999993"/>
  </r>
  <r>
    <n v="1906"/>
    <d v="2025-01-07T00:00:00"/>
    <x v="3"/>
    <x v="3"/>
    <s v="Filing Cabinet"/>
    <x v="3"/>
    <n v="32"/>
    <n v="252.36"/>
    <n v="160.4"/>
    <n v="8075.52"/>
    <n v="5132.8"/>
    <n v="2942.7200000000003"/>
  </r>
  <r>
    <n v="2736"/>
    <d v="2025-01-07T00:00:00"/>
    <x v="2"/>
    <x v="0"/>
    <s v="Printer Paper"/>
    <x v="7"/>
    <n v="9"/>
    <n v="27.33"/>
    <n v="16.87"/>
    <n v="245.96999999999997"/>
    <n v="151.83000000000001"/>
    <n v="94.139999999999958"/>
  </r>
  <r>
    <n v="2560"/>
    <d v="2025-01-10T00:00:00"/>
    <x v="4"/>
    <x v="2"/>
    <s v="Antivirus License"/>
    <x v="2"/>
    <n v="14"/>
    <n v="238.18"/>
    <n v="153.83000000000001"/>
    <n v="3334.52"/>
    <n v="2153.6200000000003"/>
    <n v="1180.8999999999996"/>
  </r>
  <r>
    <n v="2570"/>
    <d v="2025-01-10T00:00:00"/>
    <x v="2"/>
    <x v="1"/>
    <s v="Monitor"/>
    <x v="2"/>
    <n v="7"/>
    <n v="878.33"/>
    <n v="448.49"/>
    <n v="6148.31"/>
    <n v="3139.4300000000003"/>
    <n v="3008.88"/>
  </r>
  <r>
    <n v="2777"/>
    <d v="2025-01-10T00:00:00"/>
    <x v="3"/>
    <x v="0"/>
    <s v="Notebook"/>
    <x v="0"/>
    <n v="28"/>
    <n v="13.33"/>
    <n v="9.18"/>
    <n v="373.24"/>
    <n v="257.03999999999996"/>
    <n v="116.20000000000005"/>
  </r>
  <r>
    <n v="1101"/>
    <d v="2025-01-11T00:00:00"/>
    <x v="1"/>
    <x v="3"/>
    <s v="Office Desk"/>
    <x v="6"/>
    <n v="18"/>
    <n v="436.17"/>
    <n v="290.35000000000002"/>
    <n v="7851.06"/>
    <n v="5226.3"/>
    <n v="2624.76"/>
  </r>
  <r>
    <n v="2233"/>
    <d v="2025-01-11T00:00:00"/>
    <x v="3"/>
    <x v="2"/>
    <s v="Design Tool"/>
    <x v="1"/>
    <n v="3"/>
    <n v="83.56"/>
    <n v="50.18"/>
    <n v="250.68"/>
    <n v="150.54"/>
    <n v="100.14000000000001"/>
  </r>
  <r>
    <n v="2353"/>
    <d v="2025-01-11T00:00:00"/>
    <x v="1"/>
    <x v="3"/>
    <s v="Whiteboard"/>
    <x v="7"/>
    <n v="30"/>
    <n v="184.25"/>
    <n v="126.88"/>
    <n v="5527.5"/>
    <n v="3806.3999999999996"/>
    <n v="1721.1000000000004"/>
  </r>
  <r>
    <n v="2722"/>
    <d v="2025-01-11T00:00:00"/>
    <x v="1"/>
    <x v="1"/>
    <s v="Headphones"/>
    <x v="1"/>
    <n v="25"/>
    <n v="162.93"/>
    <n v="92.25"/>
    <n v="4073.25"/>
    <n v="2306.25"/>
    <n v="1767"/>
  </r>
  <r>
    <n v="2761"/>
    <d v="2025-01-11T00:00:00"/>
    <x v="4"/>
    <x v="1"/>
    <s v="Monitor"/>
    <x v="1"/>
    <n v="30"/>
    <n v="407.36"/>
    <n v="290.58"/>
    <n v="12220.800000000001"/>
    <n v="8717.4"/>
    <n v="3503.4000000000015"/>
  </r>
  <r>
    <n v="1784"/>
    <d v="2025-01-12T00:00:00"/>
    <x v="3"/>
    <x v="2"/>
    <s v="Cloud Storage"/>
    <x v="7"/>
    <n v="16"/>
    <n v="217.84"/>
    <n v="110.46"/>
    <n v="3485.44"/>
    <n v="1767.36"/>
    <n v="1718.0800000000002"/>
  </r>
  <r>
    <n v="2010"/>
    <d v="2025-01-12T00:00:00"/>
    <x v="3"/>
    <x v="3"/>
    <s v="Bookshelf"/>
    <x v="2"/>
    <n v="7"/>
    <n v="294.52999999999997"/>
    <n v="184.68"/>
    <n v="2061.71"/>
    <n v="1292.76"/>
    <n v="768.95"/>
  </r>
  <r>
    <n v="2650"/>
    <d v="2025-01-12T00:00:00"/>
    <x v="0"/>
    <x v="1"/>
    <s v="Keyboard"/>
    <x v="5"/>
    <n v="22"/>
    <n v="488.82"/>
    <n v="279.95"/>
    <n v="10754.039999999999"/>
    <n v="6158.9"/>
    <n v="4595.1399999999994"/>
  </r>
  <r>
    <n v="1520"/>
    <d v="2025-01-13T00:00:00"/>
    <x v="1"/>
    <x v="1"/>
    <s v="Laptop"/>
    <x v="5"/>
    <n v="8"/>
    <n v="783.45"/>
    <n v="468.95"/>
    <n v="6267.6"/>
    <n v="3751.6"/>
    <n v="2516.0000000000005"/>
  </r>
  <r>
    <n v="1878"/>
    <d v="2025-01-15T00:00:00"/>
    <x v="3"/>
    <x v="1"/>
    <s v="Webcam"/>
    <x v="3"/>
    <n v="31"/>
    <n v="763.45"/>
    <n v="396.8"/>
    <n v="23666.95"/>
    <n v="12300.800000000001"/>
    <n v="11366.15"/>
  </r>
  <r>
    <n v="1927"/>
    <d v="2025-01-15T00:00:00"/>
    <x v="4"/>
    <x v="0"/>
    <s v="Printer Paper"/>
    <x v="3"/>
    <n v="1"/>
    <n v="3.62"/>
    <n v="2.5299999999999998"/>
    <n v="3.62"/>
    <n v="2.5299999999999998"/>
    <n v="1.0900000000000003"/>
  </r>
  <r>
    <n v="2300"/>
    <d v="2025-01-15T00:00:00"/>
    <x v="1"/>
    <x v="0"/>
    <s v="Printer Paper"/>
    <x v="5"/>
    <n v="27"/>
    <n v="25.9"/>
    <n v="14.84"/>
    <n v="699.3"/>
    <n v="400.68"/>
    <n v="298.61999999999995"/>
  </r>
  <r>
    <n v="1689"/>
    <d v="2025-01-16T00:00:00"/>
    <x v="4"/>
    <x v="3"/>
    <s v="Office Desk"/>
    <x v="2"/>
    <n v="8"/>
    <n v="82.19"/>
    <n v="45.95"/>
    <n v="657.52"/>
    <n v="367.6"/>
    <n v="289.91999999999996"/>
  </r>
  <r>
    <n v="2385"/>
    <d v="2025-01-16T00:00:00"/>
    <x v="4"/>
    <x v="1"/>
    <s v="Laptop"/>
    <x v="4"/>
    <n v="33"/>
    <n v="229.44"/>
    <n v="157.4"/>
    <n v="7571.5199999999995"/>
    <n v="5194.2"/>
    <n v="2377.3199999999997"/>
  </r>
  <r>
    <n v="2609"/>
    <d v="2025-01-16T00:00:00"/>
    <x v="1"/>
    <x v="1"/>
    <s v="Keyboard"/>
    <x v="4"/>
    <n v="1"/>
    <n v="101.29"/>
    <n v="54.09"/>
    <n v="101.29"/>
    <n v="54.09"/>
    <n v="47.2"/>
  </r>
  <r>
    <n v="1189"/>
    <d v="2025-01-17T00:00:00"/>
    <x v="2"/>
    <x v="2"/>
    <s v="Office Suite"/>
    <x v="7"/>
    <n v="39"/>
    <n v="217.05"/>
    <n v="112.76"/>
    <n v="8464.9500000000007"/>
    <n v="4397.6400000000003"/>
    <n v="4067.3100000000004"/>
  </r>
  <r>
    <n v="2269"/>
    <d v="2025-01-17T00:00:00"/>
    <x v="0"/>
    <x v="3"/>
    <s v="Whiteboard"/>
    <x v="3"/>
    <n v="2"/>
    <n v="167.97"/>
    <n v="93.79"/>
    <n v="335.94"/>
    <n v="187.58"/>
    <n v="148.35999999999999"/>
  </r>
  <r>
    <n v="2681"/>
    <d v="2025-01-17T00:00:00"/>
    <x v="1"/>
    <x v="3"/>
    <s v="Bookshelf"/>
    <x v="2"/>
    <n v="24"/>
    <n v="251.17"/>
    <n v="184.65"/>
    <n v="6028.08"/>
    <n v="4431.6000000000004"/>
    <n v="1596.4799999999996"/>
  </r>
  <r>
    <n v="2784"/>
    <d v="2025-01-17T00:00:00"/>
    <x v="3"/>
    <x v="2"/>
    <s v="Cloud Storage"/>
    <x v="0"/>
    <n v="35"/>
    <n v="276.86"/>
    <n v="182.88"/>
    <n v="9690.1"/>
    <n v="6400.8"/>
    <n v="3289.3"/>
  </r>
  <r>
    <n v="1088"/>
    <d v="2025-01-18T00:00:00"/>
    <x v="2"/>
    <x v="0"/>
    <s v="Notebook"/>
    <x v="6"/>
    <n v="37"/>
    <n v="13.26"/>
    <n v="7.9"/>
    <n v="490.62"/>
    <n v="292.3"/>
    <n v="198.32"/>
  </r>
  <r>
    <n v="1766"/>
    <d v="2025-01-18T00:00:00"/>
    <x v="0"/>
    <x v="0"/>
    <s v="Desk Chair"/>
    <x v="2"/>
    <n v="27"/>
    <n v="3.83"/>
    <n v="1.98"/>
    <n v="103.41"/>
    <n v="53.46"/>
    <n v="49.949999999999996"/>
  </r>
  <r>
    <n v="1055"/>
    <d v="2025-01-19T00:00:00"/>
    <x v="2"/>
    <x v="0"/>
    <s v="Desk Chair"/>
    <x v="7"/>
    <n v="7"/>
    <n v="20.190000000000001"/>
    <n v="14.11"/>
    <n v="141.33000000000001"/>
    <n v="98.77"/>
    <n v="42.560000000000016"/>
  </r>
  <r>
    <n v="1300"/>
    <d v="2025-01-19T00:00:00"/>
    <x v="0"/>
    <x v="1"/>
    <s v="Webcam"/>
    <x v="3"/>
    <n v="22"/>
    <n v="558.99"/>
    <n v="411.2"/>
    <n v="12297.78"/>
    <n v="9046.4"/>
    <n v="3251.380000000001"/>
  </r>
  <r>
    <n v="1589"/>
    <d v="2025-01-19T00:00:00"/>
    <x v="3"/>
    <x v="1"/>
    <s v="Keyboard"/>
    <x v="0"/>
    <n v="27"/>
    <n v="206.91"/>
    <n v="113.76"/>
    <n v="5586.57"/>
    <n v="3071.52"/>
    <n v="2515.0499999999997"/>
  </r>
  <r>
    <n v="2279"/>
    <d v="2025-01-19T00:00:00"/>
    <x v="1"/>
    <x v="1"/>
    <s v="Keyboard"/>
    <x v="5"/>
    <n v="26"/>
    <n v="209.52"/>
    <n v="121.73"/>
    <n v="5447.52"/>
    <n v="3164.98"/>
    <n v="2282.5400000000004"/>
  </r>
  <r>
    <n v="2697"/>
    <d v="2025-01-19T00:00:00"/>
    <x v="1"/>
    <x v="0"/>
    <s v="Desk Lamp"/>
    <x v="4"/>
    <n v="12"/>
    <n v="18.739999999999998"/>
    <n v="9.6199999999999992"/>
    <n v="224.88"/>
    <n v="115.44"/>
    <n v="109.44"/>
  </r>
  <r>
    <n v="2504"/>
    <d v="2025-01-20T00:00:00"/>
    <x v="1"/>
    <x v="0"/>
    <s v="Desk Chair"/>
    <x v="1"/>
    <n v="12"/>
    <n v="22.91"/>
    <n v="13.71"/>
    <n v="274.92"/>
    <n v="164.52"/>
    <n v="110.4"/>
  </r>
  <r>
    <n v="1364"/>
    <d v="2025-01-21T00:00:00"/>
    <x v="3"/>
    <x v="2"/>
    <s v="Design Tool"/>
    <x v="0"/>
    <n v="9"/>
    <n v="150.57"/>
    <n v="110.57"/>
    <n v="1355.1299999999999"/>
    <n v="995.12999999999988"/>
    <n v="360"/>
  </r>
  <r>
    <n v="1828"/>
    <d v="2025-01-22T00:00:00"/>
    <x v="1"/>
    <x v="3"/>
    <s v="Office Desk"/>
    <x v="5"/>
    <n v="16"/>
    <n v="272.27"/>
    <n v="160.22999999999999"/>
    <n v="4356.32"/>
    <n v="2563.6799999999998"/>
    <n v="1792.6399999999999"/>
  </r>
  <r>
    <n v="1447"/>
    <d v="2025-01-23T00:00:00"/>
    <x v="0"/>
    <x v="1"/>
    <s v="Webcam"/>
    <x v="5"/>
    <n v="40"/>
    <n v="260.58"/>
    <n v="155.53"/>
    <n v="10423.199999999999"/>
    <n v="6221.2"/>
    <n v="4201.9999999999991"/>
  </r>
  <r>
    <n v="2345"/>
    <d v="2025-01-23T00:00:00"/>
    <x v="1"/>
    <x v="2"/>
    <s v="Antivirus License"/>
    <x v="7"/>
    <n v="5"/>
    <n v="116.65"/>
    <n v="69.44"/>
    <n v="583.25"/>
    <n v="347.2"/>
    <n v="236.05"/>
  </r>
  <r>
    <n v="1590"/>
    <d v="2025-01-25T00:00:00"/>
    <x v="4"/>
    <x v="2"/>
    <s v="Antivirus License"/>
    <x v="0"/>
    <n v="38"/>
    <n v="27.52"/>
    <n v="13.78"/>
    <n v="1045.76"/>
    <n v="523.64"/>
    <n v="522.12"/>
  </r>
  <r>
    <n v="1802"/>
    <d v="2025-01-25T00:00:00"/>
    <x v="1"/>
    <x v="2"/>
    <s v="Office Suite"/>
    <x v="7"/>
    <n v="17"/>
    <n v="227.36"/>
    <n v="166.95"/>
    <n v="3865.1200000000003"/>
    <n v="2838.1499999999996"/>
    <n v="1026.9700000000007"/>
  </r>
  <r>
    <n v="2244"/>
    <d v="2025-01-25T00:00:00"/>
    <x v="2"/>
    <x v="2"/>
    <s v="Cloud Storage"/>
    <x v="1"/>
    <n v="2"/>
    <n v="143.46"/>
    <n v="92.24"/>
    <n v="286.92"/>
    <n v="184.48"/>
    <n v="102.44000000000003"/>
  </r>
  <r>
    <n v="2634"/>
    <d v="2025-01-25T00:00:00"/>
    <x v="4"/>
    <x v="0"/>
    <s v="Printer Paper"/>
    <x v="1"/>
    <n v="14"/>
    <n v="39.979999999999997"/>
    <n v="22.34"/>
    <n v="559.71999999999991"/>
    <n v="312.76"/>
    <n v="246.95999999999992"/>
  </r>
  <r>
    <n v="2721"/>
    <d v="2025-01-25T00:00:00"/>
    <x v="2"/>
    <x v="3"/>
    <s v="Whiteboard"/>
    <x v="1"/>
    <n v="8"/>
    <n v="270.33999999999997"/>
    <n v="144.41"/>
    <n v="2162.7199999999998"/>
    <n v="1155.28"/>
    <n v="1007.4399999999998"/>
  </r>
  <r>
    <n v="2769"/>
    <d v="2025-01-25T00:00:00"/>
    <x v="3"/>
    <x v="0"/>
    <s v="Desk Lamp"/>
    <x v="7"/>
    <n v="37"/>
    <n v="4.5599999999999996"/>
    <n v="2.4"/>
    <n v="168.72"/>
    <n v="88.8"/>
    <n v="79.92"/>
  </r>
  <r>
    <n v="1194"/>
    <d v="2025-01-26T00:00:00"/>
    <x v="2"/>
    <x v="2"/>
    <s v="Cloud Storage"/>
    <x v="3"/>
    <n v="35"/>
    <n v="298"/>
    <n v="178.28"/>
    <n v="10430"/>
    <n v="6239.8"/>
    <n v="4190.2"/>
  </r>
  <r>
    <n v="1787"/>
    <d v="2025-01-26T00:00:00"/>
    <x v="1"/>
    <x v="3"/>
    <s v="Whiteboard"/>
    <x v="3"/>
    <n v="7"/>
    <n v="224.64"/>
    <n v="154.37"/>
    <n v="1572.48"/>
    <n v="1080.5900000000001"/>
    <n v="491.88999999999987"/>
  </r>
  <r>
    <n v="2097"/>
    <d v="2025-01-26T00:00:00"/>
    <x v="1"/>
    <x v="1"/>
    <s v="Headphones"/>
    <x v="0"/>
    <n v="28"/>
    <n v="396.62"/>
    <n v="271.95"/>
    <n v="11105.36"/>
    <n v="7614.5999999999995"/>
    <n v="3490.7600000000011"/>
  </r>
  <r>
    <n v="1242"/>
    <d v="2025-01-28T00:00:00"/>
    <x v="1"/>
    <x v="2"/>
    <s v="Cloud Storage"/>
    <x v="4"/>
    <n v="27"/>
    <n v="178.31"/>
    <n v="124.63"/>
    <n v="4814.37"/>
    <n v="3365.0099999999998"/>
    <n v="1449.3600000000001"/>
  </r>
  <r>
    <n v="1524"/>
    <d v="2025-01-28T00:00:00"/>
    <x v="4"/>
    <x v="0"/>
    <s v="Notebook"/>
    <x v="6"/>
    <n v="39"/>
    <n v="31.39"/>
    <n v="17.809999999999999"/>
    <n v="1224.21"/>
    <n v="694.58999999999992"/>
    <n v="529.62000000000012"/>
  </r>
  <r>
    <n v="1869"/>
    <d v="2025-01-28T00:00:00"/>
    <x v="3"/>
    <x v="2"/>
    <s v="Office Suite"/>
    <x v="3"/>
    <n v="15"/>
    <n v="192.4"/>
    <n v="101.89"/>
    <n v="2886"/>
    <n v="1528.35"/>
    <n v="1357.65"/>
  </r>
  <r>
    <n v="1875"/>
    <d v="2025-01-28T00:00:00"/>
    <x v="3"/>
    <x v="2"/>
    <s v="Office Suite"/>
    <x v="3"/>
    <n v="16"/>
    <n v="121.47"/>
    <n v="75.13"/>
    <n v="1943.52"/>
    <n v="1202.08"/>
    <n v="741.44"/>
  </r>
  <r>
    <n v="2512"/>
    <d v="2025-01-28T00:00:00"/>
    <x v="1"/>
    <x v="0"/>
    <s v="Desk Lamp"/>
    <x v="6"/>
    <n v="33"/>
    <n v="51.19"/>
    <n v="32.200000000000003"/>
    <n v="1689.27"/>
    <n v="1062.6000000000001"/>
    <n v="626.66999999999985"/>
  </r>
  <r>
    <n v="1394"/>
    <d v="2025-01-29T00:00:00"/>
    <x v="0"/>
    <x v="1"/>
    <s v="Laptop"/>
    <x v="7"/>
    <n v="34"/>
    <n v="782.06"/>
    <n v="409.86"/>
    <n v="26590.039999999997"/>
    <n v="13935.24"/>
    <n v="12654.799999999997"/>
  </r>
  <r>
    <n v="1783"/>
    <d v="2025-01-29T00:00:00"/>
    <x v="1"/>
    <x v="0"/>
    <s v="Notebook"/>
    <x v="6"/>
    <n v="17"/>
    <n v="45.84"/>
    <n v="30.2"/>
    <n v="779.28000000000009"/>
    <n v="513.4"/>
    <n v="265.88000000000011"/>
  </r>
  <r>
    <n v="2115"/>
    <d v="2025-01-29T00:00:00"/>
    <x v="3"/>
    <x v="2"/>
    <s v="Design Tool"/>
    <x v="3"/>
    <n v="39"/>
    <n v="154.63"/>
    <n v="105.38"/>
    <n v="6030.57"/>
    <n v="4109.82"/>
    <n v="1920.75"/>
  </r>
  <r>
    <n v="2167"/>
    <d v="2025-01-29T00:00:00"/>
    <x v="3"/>
    <x v="0"/>
    <s v="Notebook"/>
    <x v="2"/>
    <n v="10"/>
    <n v="50.62"/>
    <n v="25.46"/>
    <n v="506.2"/>
    <n v="254.60000000000002"/>
    <n v="251.59999999999997"/>
  </r>
  <r>
    <n v="1298"/>
    <d v="2025-01-30T00:00:00"/>
    <x v="2"/>
    <x v="2"/>
    <s v="Office Suite"/>
    <x v="6"/>
    <n v="32"/>
    <n v="252.07"/>
    <n v="175.74"/>
    <n v="8066.24"/>
    <n v="5623.68"/>
    <n v="2442.5599999999995"/>
  </r>
  <r>
    <n v="1753"/>
    <d v="2025-01-30T00:00:00"/>
    <x v="4"/>
    <x v="0"/>
    <s v="Notebook"/>
    <x v="0"/>
    <n v="34"/>
    <n v="6.27"/>
    <n v="4.4800000000000004"/>
    <n v="213.17999999999998"/>
    <n v="152.32000000000002"/>
    <n v="60.859999999999957"/>
  </r>
  <r>
    <n v="2520"/>
    <d v="2025-01-30T00:00:00"/>
    <x v="1"/>
    <x v="3"/>
    <s v="Office Desk"/>
    <x v="5"/>
    <n v="32"/>
    <n v="189.92"/>
    <n v="109.52"/>
    <n v="6077.44"/>
    <n v="3504.64"/>
    <n v="2572.7999999999997"/>
  </r>
  <r>
    <n v="2621"/>
    <d v="2025-01-30T00:00:00"/>
    <x v="1"/>
    <x v="1"/>
    <s v="Keyboard"/>
    <x v="5"/>
    <n v="11"/>
    <n v="369.54"/>
    <n v="196.17"/>
    <n v="4064.94"/>
    <n v="2157.87"/>
    <n v="1907.0700000000002"/>
  </r>
  <r>
    <n v="2632"/>
    <d v="2025-01-30T00:00:00"/>
    <x v="1"/>
    <x v="2"/>
    <s v="Office Suite"/>
    <x v="2"/>
    <n v="20"/>
    <n v="57.2"/>
    <n v="35.450000000000003"/>
    <n v="1144"/>
    <n v="709"/>
    <n v="435"/>
  </r>
  <r>
    <n v="2786"/>
    <d v="2025-01-30T00:00:00"/>
    <x v="4"/>
    <x v="0"/>
    <s v="Desk Lamp"/>
    <x v="4"/>
    <n v="10"/>
    <n v="29.74"/>
    <n v="21.79"/>
    <n v="297.39999999999998"/>
    <n v="217.89999999999998"/>
    <n v="79.5"/>
  </r>
  <r>
    <n v="1562"/>
    <d v="2025-01-31T00:00:00"/>
    <x v="4"/>
    <x v="0"/>
    <s v="Stapler"/>
    <x v="7"/>
    <n v="23"/>
    <n v="14.53"/>
    <n v="7.48"/>
    <n v="334.19"/>
    <n v="172.04000000000002"/>
    <n v="162.14999999999998"/>
  </r>
  <r>
    <n v="2336"/>
    <d v="2025-01-31T00:00:00"/>
    <x v="4"/>
    <x v="1"/>
    <s v="Monitor"/>
    <x v="1"/>
    <n v="8"/>
    <n v="363.52"/>
    <n v="206.97"/>
    <n v="2908.16"/>
    <n v="1655.76"/>
    <n v="1252.3999999999999"/>
  </r>
  <r>
    <n v="1289"/>
    <d v="2025-02-01T00:00:00"/>
    <x v="4"/>
    <x v="0"/>
    <s v="Notebook"/>
    <x v="7"/>
    <n v="38"/>
    <n v="45.07"/>
    <n v="30.46"/>
    <n v="1712.66"/>
    <n v="1157.48"/>
    <n v="555.18000000000006"/>
  </r>
  <r>
    <n v="1386"/>
    <d v="2025-02-01T00:00:00"/>
    <x v="2"/>
    <x v="2"/>
    <s v="Antivirus License"/>
    <x v="2"/>
    <n v="21"/>
    <n v="96.58"/>
    <n v="66.2"/>
    <n v="2028.18"/>
    <n v="1390.2"/>
    <n v="637.98"/>
  </r>
  <r>
    <n v="2772"/>
    <d v="2025-02-01T00:00:00"/>
    <x v="0"/>
    <x v="1"/>
    <s v="Laptop"/>
    <x v="7"/>
    <n v="35"/>
    <n v="522.61"/>
    <n v="286.19"/>
    <n v="18291.350000000002"/>
    <n v="10016.65"/>
    <n v="8274.7000000000025"/>
  </r>
  <r>
    <n v="1827"/>
    <d v="2025-02-02T00:00:00"/>
    <x v="0"/>
    <x v="3"/>
    <s v="Whiteboard"/>
    <x v="4"/>
    <n v="38"/>
    <n v="295.7"/>
    <n v="157.19"/>
    <n v="11236.6"/>
    <n v="5973.22"/>
    <n v="5263.38"/>
  </r>
  <r>
    <n v="1842"/>
    <d v="2025-02-02T00:00:00"/>
    <x v="0"/>
    <x v="1"/>
    <s v="Laptop"/>
    <x v="2"/>
    <n v="9"/>
    <n v="190.66"/>
    <n v="127.66"/>
    <n v="1715.94"/>
    <n v="1148.94"/>
    <n v="567"/>
  </r>
  <r>
    <n v="1534"/>
    <d v="2025-02-03T00:00:00"/>
    <x v="2"/>
    <x v="3"/>
    <s v="Bookshelf"/>
    <x v="6"/>
    <n v="1"/>
    <n v="240.44"/>
    <n v="152.09"/>
    <n v="240.44"/>
    <n v="152.09"/>
    <n v="88.35"/>
  </r>
  <r>
    <n v="1675"/>
    <d v="2025-02-03T00:00:00"/>
    <x v="2"/>
    <x v="3"/>
    <s v="Whiteboard"/>
    <x v="1"/>
    <n v="40"/>
    <n v="116.2"/>
    <n v="63.13"/>
    <n v="4648"/>
    <n v="2525.2000000000003"/>
    <n v="2122.7999999999997"/>
  </r>
  <r>
    <n v="2141"/>
    <d v="2025-02-03T00:00:00"/>
    <x v="2"/>
    <x v="0"/>
    <s v="Printer Paper"/>
    <x v="6"/>
    <n v="4"/>
    <n v="39.46"/>
    <n v="28.84"/>
    <n v="157.84"/>
    <n v="115.36"/>
    <n v="42.480000000000004"/>
  </r>
  <r>
    <n v="2158"/>
    <d v="2025-02-03T00:00:00"/>
    <x v="2"/>
    <x v="1"/>
    <s v="Headphones"/>
    <x v="5"/>
    <n v="3"/>
    <n v="178.22"/>
    <n v="96.05"/>
    <n v="534.66"/>
    <n v="288.14999999999998"/>
    <n v="246.51"/>
  </r>
  <r>
    <n v="2419"/>
    <d v="2025-02-03T00:00:00"/>
    <x v="4"/>
    <x v="0"/>
    <s v="Stapler"/>
    <x v="7"/>
    <n v="29"/>
    <n v="3.98"/>
    <n v="2.21"/>
    <n v="115.42"/>
    <n v="64.09"/>
    <n v="51.33"/>
  </r>
  <r>
    <n v="2454"/>
    <d v="2025-02-03T00:00:00"/>
    <x v="0"/>
    <x v="3"/>
    <s v="Filing Cabinet"/>
    <x v="0"/>
    <n v="3"/>
    <n v="382.87"/>
    <n v="243.45"/>
    <n v="1148.6100000000001"/>
    <n v="730.34999999999991"/>
    <n v="418.26000000000022"/>
  </r>
  <r>
    <n v="2717"/>
    <d v="2025-02-03T00:00:00"/>
    <x v="1"/>
    <x v="3"/>
    <s v="Whiteboard"/>
    <x v="5"/>
    <n v="30"/>
    <n v="382.63"/>
    <n v="260.36"/>
    <n v="11478.9"/>
    <n v="7810.8"/>
    <n v="3668.0999999999995"/>
  </r>
  <r>
    <n v="1232"/>
    <d v="2025-02-04T00:00:00"/>
    <x v="2"/>
    <x v="0"/>
    <s v="Printer Paper"/>
    <x v="2"/>
    <n v="31"/>
    <n v="26.71"/>
    <n v="19.64"/>
    <n v="828.01"/>
    <n v="608.84"/>
    <n v="219.16999999999996"/>
  </r>
  <r>
    <n v="1383"/>
    <d v="2025-02-05T00:00:00"/>
    <x v="0"/>
    <x v="3"/>
    <s v="Bookshelf"/>
    <x v="4"/>
    <n v="33"/>
    <n v="290.91000000000003"/>
    <n v="207.13"/>
    <n v="9600.0300000000007"/>
    <n v="6835.29"/>
    <n v="2764.7400000000007"/>
  </r>
  <r>
    <n v="1510"/>
    <d v="2025-02-05T00:00:00"/>
    <x v="0"/>
    <x v="2"/>
    <s v="Design Tool"/>
    <x v="0"/>
    <n v="22"/>
    <n v="169.38"/>
    <n v="125.92"/>
    <n v="3726.3599999999997"/>
    <n v="2770.2400000000002"/>
    <n v="956.11999999999944"/>
  </r>
  <r>
    <n v="1808"/>
    <d v="2025-02-05T00:00:00"/>
    <x v="4"/>
    <x v="2"/>
    <s v="Cloud Storage"/>
    <x v="5"/>
    <n v="26"/>
    <n v="214.99"/>
    <n v="117.98"/>
    <n v="5589.74"/>
    <n v="3067.48"/>
    <n v="2522.2599999999998"/>
  </r>
  <r>
    <n v="1277"/>
    <d v="2025-02-06T00:00:00"/>
    <x v="4"/>
    <x v="3"/>
    <s v="Whiteboard"/>
    <x v="0"/>
    <n v="15"/>
    <n v="407.57"/>
    <n v="219.62"/>
    <n v="6113.55"/>
    <n v="3294.3"/>
    <n v="2819.25"/>
  </r>
  <r>
    <n v="1472"/>
    <d v="2025-02-06T00:00:00"/>
    <x v="0"/>
    <x v="1"/>
    <s v="Headphones"/>
    <x v="5"/>
    <n v="23"/>
    <n v="585.19000000000005"/>
    <n v="411.37"/>
    <n v="13459.37"/>
    <n v="9461.51"/>
    <n v="3997.8600000000006"/>
  </r>
  <r>
    <n v="1713"/>
    <d v="2025-02-06T00:00:00"/>
    <x v="1"/>
    <x v="1"/>
    <s v="Laptop"/>
    <x v="2"/>
    <n v="29"/>
    <n v="624.69000000000005"/>
    <n v="368.25"/>
    <n v="18116.010000000002"/>
    <n v="10679.25"/>
    <n v="7436.760000000002"/>
  </r>
  <r>
    <n v="2305"/>
    <d v="2025-02-06T00:00:00"/>
    <x v="0"/>
    <x v="3"/>
    <s v="Whiteboard"/>
    <x v="3"/>
    <n v="15"/>
    <n v="430.43"/>
    <n v="235.48"/>
    <n v="6456.45"/>
    <n v="3532.2"/>
    <n v="2924.25"/>
  </r>
  <r>
    <n v="1656"/>
    <d v="2025-02-07T00:00:00"/>
    <x v="4"/>
    <x v="1"/>
    <s v="Headphones"/>
    <x v="1"/>
    <n v="2"/>
    <n v="128.09"/>
    <n v="94.63"/>
    <n v="256.18"/>
    <n v="189.26"/>
    <n v="66.920000000000016"/>
  </r>
  <r>
    <n v="1293"/>
    <d v="2025-02-09T00:00:00"/>
    <x v="1"/>
    <x v="1"/>
    <s v="Headphones"/>
    <x v="0"/>
    <n v="21"/>
    <n v="174.62"/>
    <n v="129.25"/>
    <n v="3667.02"/>
    <n v="2714.25"/>
    <n v="952.77"/>
  </r>
  <r>
    <n v="1881"/>
    <d v="2025-02-09T00:00:00"/>
    <x v="2"/>
    <x v="2"/>
    <s v="Design Tool"/>
    <x v="0"/>
    <n v="15"/>
    <n v="166.02"/>
    <n v="123.6"/>
    <n v="2490.3000000000002"/>
    <n v="1854"/>
    <n v="636.30000000000018"/>
  </r>
  <r>
    <n v="2282"/>
    <d v="2025-02-09T00:00:00"/>
    <x v="0"/>
    <x v="1"/>
    <s v="Monitor"/>
    <x v="4"/>
    <n v="11"/>
    <n v="156.81"/>
    <n v="103.68"/>
    <n v="1724.91"/>
    <n v="1140.48"/>
    <n v="584.43000000000006"/>
  </r>
  <r>
    <n v="2618"/>
    <d v="2025-02-09T00:00:00"/>
    <x v="2"/>
    <x v="2"/>
    <s v="Office Suite"/>
    <x v="7"/>
    <n v="6"/>
    <n v="144.34"/>
    <n v="100.52"/>
    <n v="866.04"/>
    <n v="603.12"/>
    <n v="262.91999999999996"/>
  </r>
  <r>
    <n v="2757"/>
    <d v="2025-02-09T00:00:00"/>
    <x v="4"/>
    <x v="3"/>
    <s v="Whiteboard"/>
    <x v="4"/>
    <n v="26"/>
    <n v="269.06"/>
    <n v="197.83"/>
    <n v="6995.56"/>
    <n v="5143.58"/>
    <n v="1851.9800000000005"/>
  </r>
  <r>
    <n v="1205"/>
    <d v="2025-02-10T00:00:00"/>
    <x v="0"/>
    <x v="3"/>
    <s v="Filing Cabinet"/>
    <x v="6"/>
    <n v="30"/>
    <n v="189.86"/>
    <n v="118.53"/>
    <n v="5695.8"/>
    <n v="3555.9"/>
    <n v="2139.9"/>
  </r>
  <r>
    <n v="1456"/>
    <d v="2025-02-10T00:00:00"/>
    <x v="3"/>
    <x v="1"/>
    <s v="Headphones"/>
    <x v="2"/>
    <n v="34"/>
    <n v="173.47"/>
    <n v="96.05"/>
    <n v="5897.98"/>
    <n v="3265.7"/>
    <n v="2632.2799999999997"/>
  </r>
  <r>
    <n v="1897"/>
    <d v="2025-02-10T00:00:00"/>
    <x v="2"/>
    <x v="0"/>
    <s v="Stapler"/>
    <x v="5"/>
    <n v="5"/>
    <n v="59.8"/>
    <n v="37.020000000000003"/>
    <n v="299"/>
    <n v="185.10000000000002"/>
    <n v="113.89999999999998"/>
  </r>
  <r>
    <n v="1788"/>
    <d v="2025-02-11T00:00:00"/>
    <x v="4"/>
    <x v="1"/>
    <s v="Monitor"/>
    <x v="4"/>
    <n v="1"/>
    <n v="141.37"/>
    <n v="80.88"/>
    <n v="141.37"/>
    <n v="80.88"/>
    <n v="60.490000000000009"/>
  </r>
  <r>
    <n v="2064"/>
    <d v="2025-02-11T00:00:00"/>
    <x v="3"/>
    <x v="3"/>
    <s v="Filing Cabinet"/>
    <x v="2"/>
    <n v="37"/>
    <n v="469.58"/>
    <n v="309.01"/>
    <n v="17374.46"/>
    <n v="11433.369999999999"/>
    <n v="5941.09"/>
  </r>
  <r>
    <n v="2554"/>
    <d v="2025-02-11T00:00:00"/>
    <x v="3"/>
    <x v="0"/>
    <s v="Notebook"/>
    <x v="3"/>
    <n v="14"/>
    <n v="52.4"/>
    <n v="31.57"/>
    <n v="733.6"/>
    <n v="441.98"/>
    <n v="291.62"/>
  </r>
  <r>
    <n v="1010"/>
    <d v="2025-02-12T00:00:00"/>
    <x v="4"/>
    <x v="0"/>
    <s v="Notebook"/>
    <x v="4"/>
    <n v="6"/>
    <n v="52.08"/>
    <n v="34.9"/>
    <n v="312.48"/>
    <n v="209.39999999999998"/>
    <n v="103.08000000000004"/>
  </r>
  <r>
    <n v="1659"/>
    <d v="2025-02-12T00:00:00"/>
    <x v="3"/>
    <x v="1"/>
    <s v="Monitor"/>
    <x v="1"/>
    <n v="25"/>
    <n v="714.77"/>
    <n v="378.94"/>
    <n v="17869.25"/>
    <n v="9473.5"/>
    <n v="8395.75"/>
  </r>
  <r>
    <n v="2746"/>
    <d v="2025-02-12T00:00:00"/>
    <x v="0"/>
    <x v="2"/>
    <s v="Design Tool"/>
    <x v="6"/>
    <n v="5"/>
    <n v="121.23"/>
    <n v="68.239999999999995"/>
    <n v="606.15"/>
    <n v="341.2"/>
    <n v="264.95"/>
  </r>
  <r>
    <n v="1406"/>
    <d v="2025-02-13T00:00:00"/>
    <x v="4"/>
    <x v="2"/>
    <s v="Cloud Storage"/>
    <x v="7"/>
    <n v="34"/>
    <n v="173.89"/>
    <n v="118.51"/>
    <n v="5912.2599999999993"/>
    <n v="4029.34"/>
    <n v="1882.9199999999992"/>
  </r>
  <r>
    <n v="1733"/>
    <d v="2025-02-13T00:00:00"/>
    <x v="0"/>
    <x v="1"/>
    <s v="Headphones"/>
    <x v="2"/>
    <n v="5"/>
    <n v="360.62"/>
    <n v="237.23"/>
    <n v="1803.1"/>
    <n v="1186.1499999999999"/>
    <n v="616.95000000000005"/>
  </r>
  <r>
    <n v="2109"/>
    <d v="2025-02-13T00:00:00"/>
    <x v="4"/>
    <x v="1"/>
    <s v="Webcam"/>
    <x v="5"/>
    <n v="30"/>
    <n v="611.20000000000005"/>
    <n v="369.49"/>
    <n v="18336"/>
    <n v="11084.7"/>
    <n v="7251.2999999999993"/>
  </r>
  <r>
    <n v="1186"/>
    <d v="2025-02-14T00:00:00"/>
    <x v="3"/>
    <x v="0"/>
    <s v="Notebook"/>
    <x v="4"/>
    <n v="21"/>
    <n v="3.39"/>
    <n v="1.92"/>
    <n v="71.19"/>
    <n v="40.32"/>
    <n v="30.869999999999997"/>
  </r>
  <r>
    <n v="2107"/>
    <d v="2025-02-14T00:00:00"/>
    <x v="1"/>
    <x v="2"/>
    <s v="Design Tool"/>
    <x v="7"/>
    <n v="27"/>
    <n v="196.48"/>
    <n v="130.87"/>
    <n v="5304.96"/>
    <n v="3533.4900000000002"/>
    <n v="1771.4699999999998"/>
  </r>
  <r>
    <n v="2494"/>
    <d v="2025-02-14T00:00:00"/>
    <x v="3"/>
    <x v="2"/>
    <s v="Antivirus License"/>
    <x v="4"/>
    <n v="1"/>
    <n v="209.85"/>
    <n v="109.05"/>
    <n v="209.85"/>
    <n v="109.05"/>
    <n v="100.8"/>
  </r>
  <r>
    <n v="2090"/>
    <d v="2025-02-15T00:00:00"/>
    <x v="2"/>
    <x v="1"/>
    <s v="Headphones"/>
    <x v="6"/>
    <n v="17"/>
    <n v="683.33"/>
    <n v="427.43"/>
    <n v="11616.61"/>
    <n v="7266.31"/>
    <n v="4350.3"/>
  </r>
  <r>
    <n v="2178"/>
    <d v="2025-02-15T00:00:00"/>
    <x v="3"/>
    <x v="0"/>
    <s v="Notebook"/>
    <x v="4"/>
    <n v="10"/>
    <n v="46.35"/>
    <n v="26.78"/>
    <n v="463.5"/>
    <n v="267.8"/>
    <n v="195.7"/>
  </r>
  <r>
    <n v="2424"/>
    <d v="2025-02-15T00:00:00"/>
    <x v="1"/>
    <x v="3"/>
    <s v="Office Desk"/>
    <x v="6"/>
    <n v="31"/>
    <n v="216.38"/>
    <n v="127.5"/>
    <n v="6707.78"/>
    <n v="3952.5"/>
    <n v="2755.2799999999997"/>
  </r>
  <r>
    <n v="2068"/>
    <d v="2025-02-16T00:00:00"/>
    <x v="2"/>
    <x v="1"/>
    <s v="Laptop"/>
    <x v="7"/>
    <n v="33"/>
    <n v="183.91"/>
    <n v="119.93"/>
    <n v="6069.03"/>
    <n v="3957.69"/>
    <n v="2111.3399999999997"/>
  </r>
  <r>
    <n v="1334"/>
    <d v="2025-02-17T00:00:00"/>
    <x v="3"/>
    <x v="0"/>
    <s v="Notebook"/>
    <x v="1"/>
    <n v="14"/>
    <n v="36.61"/>
    <n v="24.26"/>
    <n v="512.54"/>
    <n v="339.64000000000004"/>
    <n v="172.89999999999992"/>
  </r>
  <r>
    <n v="2421"/>
    <d v="2025-02-17T00:00:00"/>
    <x v="3"/>
    <x v="1"/>
    <s v="Webcam"/>
    <x v="3"/>
    <n v="16"/>
    <n v="814.97"/>
    <n v="597.24"/>
    <n v="13039.52"/>
    <n v="9555.84"/>
    <n v="3483.6800000000003"/>
  </r>
  <r>
    <n v="2193"/>
    <d v="2025-02-18T00:00:00"/>
    <x v="4"/>
    <x v="0"/>
    <s v="Printer Paper"/>
    <x v="5"/>
    <n v="26"/>
    <n v="24.96"/>
    <n v="17.95"/>
    <n v="648.96"/>
    <n v="466.7"/>
    <n v="182.26000000000005"/>
  </r>
  <r>
    <n v="2122"/>
    <d v="2025-02-19T00:00:00"/>
    <x v="2"/>
    <x v="0"/>
    <s v="Printer Paper"/>
    <x v="1"/>
    <n v="38"/>
    <n v="20.91"/>
    <n v="12.99"/>
    <n v="794.58"/>
    <n v="493.62"/>
    <n v="300.96000000000004"/>
  </r>
  <r>
    <n v="1408"/>
    <d v="2025-02-20T00:00:00"/>
    <x v="1"/>
    <x v="1"/>
    <s v="Webcam"/>
    <x v="3"/>
    <n v="33"/>
    <n v="307.17"/>
    <n v="220.86"/>
    <n v="10136.61"/>
    <n v="7288.38"/>
    <n v="2848.2300000000005"/>
  </r>
  <r>
    <n v="2044"/>
    <d v="2025-02-20T00:00:00"/>
    <x v="1"/>
    <x v="3"/>
    <s v="Whiteboard"/>
    <x v="0"/>
    <n v="35"/>
    <n v="497.12"/>
    <n v="366.81"/>
    <n v="17399.2"/>
    <n v="12838.35"/>
    <n v="4560.8500000000004"/>
  </r>
  <r>
    <n v="1704"/>
    <d v="2025-02-21T00:00:00"/>
    <x v="0"/>
    <x v="1"/>
    <s v="Webcam"/>
    <x v="5"/>
    <n v="12"/>
    <n v="82.82"/>
    <n v="49.96"/>
    <n v="993.83999999999992"/>
    <n v="599.52"/>
    <n v="394.31999999999994"/>
  </r>
  <r>
    <n v="2205"/>
    <d v="2025-02-21T00:00:00"/>
    <x v="2"/>
    <x v="2"/>
    <s v="Office Suite"/>
    <x v="5"/>
    <n v="12"/>
    <n v="266.14"/>
    <n v="166.32"/>
    <n v="3193.68"/>
    <n v="1995.84"/>
    <n v="1197.8399999999999"/>
  </r>
  <r>
    <n v="2466"/>
    <d v="2025-02-21T00:00:00"/>
    <x v="0"/>
    <x v="0"/>
    <s v="Notebook"/>
    <x v="7"/>
    <n v="39"/>
    <n v="11.43"/>
    <n v="6.68"/>
    <n v="445.77"/>
    <n v="260.52"/>
    <n v="185.25"/>
  </r>
  <r>
    <n v="2482"/>
    <d v="2025-02-21T00:00:00"/>
    <x v="3"/>
    <x v="0"/>
    <s v="Desk Lamp"/>
    <x v="6"/>
    <n v="22"/>
    <n v="48.86"/>
    <n v="33.75"/>
    <n v="1074.92"/>
    <n v="742.5"/>
    <n v="332.42000000000007"/>
  </r>
  <r>
    <n v="2773"/>
    <d v="2025-02-21T00:00:00"/>
    <x v="0"/>
    <x v="0"/>
    <s v="Desk Chair"/>
    <x v="7"/>
    <n v="13"/>
    <n v="19.690000000000001"/>
    <n v="10.38"/>
    <n v="255.97000000000003"/>
    <n v="134.94"/>
    <n v="121.03000000000003"/>
  </r>
  <r>
    <n v="1398"/>
    <d v="2025-02-22T00:00:00"/>
    <x v="4"/>
    <x v="0"/>
    <s v="Desk Chair"/>
    <x v="2"/>
    <n v="37"/>
    <n v="32.630000000000003"/>
    <n v="22.88"/>
    <n v="1207.3100000000002"/>
    <n v="846.56"/>
    <n v="360.75000000000023"/>
  </r>
  <r>
    <n v="1399"/>
    <d v="2025-02-22T00:00:00"/>
    <x v="4"/>
    <x v="1"/>
    <s v="Monitor"/>
    <x v="6"/>
    <n v="38"/>
    <n v="273.05"/>
    <n v="155.34"/>
    <n v="10375.9"/>
    <n v="5902.92"/>
    <n v="4472.9799999999996"/>
  </r>
  <r>
    <n v="1695"/>
    <d v="2025-02-22T00:00:00"/>
    <x v="3"/>
    <x v="1"/>
    <s v="Headphones"/>
    <x v="0"/>
    <n v="3"/>
    <n v="499.13"/>
    <n v="286.25"/>
    <n v="1497.3899999999999"/>
    <n v="858.75"/>
    <n v="638.63999999999987"/>
  </r>
  <r>
    <n v="2138"/>
    <d v="2025-02-22T00:00:00"/>
    <x v="4"/>
    <x v="0"/>
    <s v="Stapler"/>
    <x v="0"/>
    <n v="2"/>
    <n v="14.53"/>
    <n v="10.29"/>
    <n v="29.06"/>
    <n v="20.58"/>
    <n v="8.48"/>
  </r>
  <r>
    <n v="2014"/>
    <d v="2025-02-23T00:00:00"/>
    <x v="4"/>
    <x v="1"/>
    <s v="Headphones"/>
    <x v="3"/>
    <n v="24"/>
    <n v="608.79999999999995"/>
    <n v="391.05"/>
    <n v="14611.199999999999"/>
    <n v="9385.2000000000007"/>
    <n v="5225.9999999999982"/>
  </r>
  <r>
    <n v="2243"/>
    <d v="2025-02-23T00:00:00"/>
    <x v="0"/>
    <x v="2"/>
    <s v="Design Tool"/>
    <x v="7"/>
    <n v="8"/>
    <n v="231.59"/>
    <n v="123.65"/>
    <n v="1852.72"/>
    <n v="989.2"/>
    <n v="863.52"/>
  </r>
  <r>
    <n v="2349"/>
    <d v="2025-02-23T00:00:00"/>
    <x v="4"/>
    <x v="0"/>
    <s v="Desk Lamp"/>
    <x v="3"/>
    <n v="15"/>
    <n v="38.39"/>
    <n v="27.56"/>
    <n v="575.85"/>
    <n v="413.4"/>
    <n v="162.45000000000005"/>
  </r>
  <r>
    <n v="1135"/>
    <d v="2025-02-24T00:00:00"/>
    <x v="4"/>
    <x v="0"/>
    <s v="Stapler"/>
    <x v="0"/>
    <n v="29"/>
    <n v="16.63"/>
    <n v="12.07"/>
    <n v="482.27"/>
    <n v="350.03000000000003"/>
    <n v="132.23999999999995"/>
  </r>
  <r>
    <n v="1626"/>
    <d v="2025-02-24T00:00:00"/>
    <x v="4"/>
    <x v="1"/>
    <s v="Monitor"/>
    <x v="6"/>
    <n v="18"/>
    <n v="751.92"/>
    <n v="452.25"/>
    <n v="13534.56"/>
    <n v="8140.5"/>
    <n v="5394.0599999999995"/>
  </r>
  <r>
    <n v="1754"/>
    <d v="2025-02-24T00:00:00"/>
    <x v="2"/>
    <x v="0"/>
    <s v="Desk Chair"/>
    <x v="1"/>
    <n v="35"/>
    <n v="45.36"/>
    <n v="25.02"/>
    <n v="1587.6"/>
    <n v="875.69999999999993"/>
    <n v="711.9"/>
  </r>
  <r>
    <n v="2426"/>
    <d v="2025-02-24T00:00:00"/>
    <x v="3"/>
    <x v="0"/>
    <s v="Stapler"/>
    <x v="6"/>
    <n v="35"/>
    <n v="7.14"/>
    <n v="4.3600000000000003"/>
    <n v="249.89999999999998"/>
    <n v="152.60000000000002"/>
    <n v="97.299999999999955"/>
  </r>
  <r>
    <n v="2331"/>
    <d v="2025-02-25T00:00:00"/>
    <x v="4"/>
    <x v="3"/>
    <s v="Whiteboard"/>
    <x v="7"/>
    <n v="40"/>
    <n v="403.36"/>
    <n v="270.97000000000003"/>
    <n v="16134.400000000001"/>
    <n v="10838.800000000001"/>
    <n v="5295.6"/>
  </r>
  <r>
    <n v="1532"/>
    <d v="2025-02-26T00:00:00"/>
    <x v="2"/>
    <x v="0"/>
    <s v="Stapler"/>
    <x v="1"/>
    <n v="14"/>
    <n v="50.98"/>
    <n v="35.93"/>
    <n v="713.71999999999991"/>
    <n v="503.02"/>
    <n v="210.69999999999993"/>
  </r>
  <r>
    <n v="1664"/>
    <d v="2025-02-26T00:00:00"/>
    <x v="3"/>
    <x v="2"/>
    <s v="Design Tool"/>
    <x v="5"/>
    <n v="17"/>
    <n v="227.34"/>
    <n v="139.97999999999999"/>
    <n v="3864.78"/>
    <n v="2379.66"/>
    <n v="1485.1200000000003"/>
  </r>
  <r>
    <n v="2297"/>
    <d v="2025-02-26T00:00:00"/>
    <x v="0"/>
    <x v="1"/>
    <s v="Webcam"/>
    <x v="2"/>
    <n v="5"/>
    <n v="865.92"/>
    <n v="476.84"/>
    <n v="4329.5999999999995"/>
    <n v="2384.1999999999998"/>
    <n v="1945.3999999999996"/>
  </r>
  <r>
    <n v="2768"/>
    <d v="2025-02-26T00:00:00"/>
    <x v="4"/>
    <x v="3"/>
    <s v="Whiteboard"/>
    <x v="1"/>
    <n v="9"/>
    <n v="206.74"/>
    <n v="147.21"/>
    <n v="1860.66"/>
    <n v="1324.89"/>
    <n v="535.77"/>
  </r>
  <r>
    <n v="1477"/>
    <d v="2025-02-27T00:00:00"/>
    <x v="2"/>
    <x v="3"/>
    <s v="Whiteboard"/>
    <x v="0"/>
    <n v="10"/>
    <n v="157.59"/>
    <n v="102.91"/>
    <n v="1575.9"/>
    <n v="1029.0999999999999"/>
    <n v="546.80000000000018"/>
  </r>
  <r>
    <n v="1874"/>
    <d v="2025-02-27T00:00:00"/>
    <x v="1"/>
    <x v="3"/>
    <s v="Bookshelf"/>
    <x v="7"/>
    <n v="25"/>
    <n v="304.18"/>
    <n v="214.55"/>
    <n v="7604.5"/>
    <n v="5363.75"/>
    <n v="2240.75"/>
  </r>
  <r>
    <n v="1937"/>
    <d v="2025-02-27T00:00:00"/>
    <x v="2"/>
    <x v="1"/>
    <s v="Webcam"/>
    <x v="7"/>
    <n v="37"/>
    <n v="461.46"/>
    <n v="286.42"/>
    <n v="17074.02"/>
    <n v="10597.54"/>
    <n v="6476.48"/>
  </r>
  <r>
    <n v="1641"/>
    <d v="2025-02-28T00:00:00"/>
    <x v="4"/>
    <x v="0"/>
    <s v="Stapler"/>
    <x v="6"/>
    <n v="37"/>
    <n v="57.04"/>
    <n v="37.46"/>
    <n v="2110.48"/>
    <n v="1386.02"/>
    <n v="724.46"/>
  </r>
  <r>
    <n v="1681"/>
    <d v="2025-03-01T00:00:00"/>
    <x v="3"/>
    <x v="0"/>
    <s v="Stapler"/>
    <x v="5"/>
    <n v="19"/>
    <n v="7.86"/>
    <n v="4.6399999999999997"/>
    <n v="149.34"/>
    <n v="88.16"/>
    <n v="61.180000000000007"/>
  </r>
  <r>
    <n v="1782"/>
    <d v="2025-03-01T00:00:00"/>
    <x v="2"/>
    <x v="3"/>
    <s v="Whiteboard"/>
    <x v="4"/>
    <n v="20"/>
    <n v="251.69"/>
    <n v="183.83"/>
    <n v="5033.8"/>
    <n v="3676.6000000000004"/>
    <n v="1357.1999999999998"/>
  </r>
  <r>
    <n v="1868"/>
    <d v="2025-03-01T00:00:00"/>
    <x v="0"/>
    <x v="1"/>
    <s v="Monitor"/>
    <x v="2"/>
    <n v="15"/>
    <n v="418.79"/>
    <n v="301.42"/>
    <n v="6281.85"/>
    <n v="4521.3"/>
    <n v="1760.5500000000002"/>
  </r>
  <r>
    <n v="1988"/>
    <d v="2025-03-02T00:00:00"/>
    <x v="1"/>
    <x v="1"/>
    <s v="Webcam"/>
    <x v="4"/>
    <n v="9"/>
    <n v="287.23"/>
    <n v="190.31"/>
    <n v="2585.0700000000002"/>
    <n v="1712.79"/>
    <n v="872.2800000000002"/>
  </r>
  <r>
    <n v="1566"/>
    <d v="2025-03-03T00:00:00"/>
    <x v="3"/>
    <x v="1"/>
    <s v="Keyboard"/>
    <x v="2"/>
    <n v="28"/>
    <n v="506.14"/>
    <n v="310.32"/>
    <n v="14171.92"/>
    <n v="8688.9599999999991"/>
    <n v="5482.9600000000009"/>
  </r>
  <r>
    <n v="1673"/>
    <d v="2025-03-03T00:00:00"/>
    <x v="2"/>
    <x v="1"/>
    <s v="Keyboard"/>
    <x v="5"/>
    <n v="29"/>
    <n v="645.91"/>
    <n v="378.48"/>
    <n v="18731.39"/>
    <n v="10975.92"/>
    <n v="7755.4699999999993"/>
  </r>
  <r>
    <n v="2365"/>
    <d v="2025-03-03T00:00:00"/>
    <x v="0"/>
    <x v="2"/>
    <s v="Design Tool"/>
    <x v="7"/>
    <n v="1"/>
    <n v="223.63"/>
    <n v="155.81"/>
    <n v="223.63"/>
    <n v="155.81"/>
    <n v="67.819999999999993"/>
  </r>
  <r>
    <n v="2708"/>
    <d v="2025-03-03T00:00:00"/>
    <x v="2"/>
    <x v="2"/>
    <s v="Antivirus License"/>
    <x v="6"/>
    <n v="15"/>
    <n v="163.4"/>
    <n v="97.78"/>
    <n v="2451"/>
    <n v="1466.7"/>
    <n v="984.3"/>
  </r>
  <r>
    <n v="1356"/>
    <d v="2025-03-04T00:00:00"/>
    <x v="1"/>
    <x v="0"/>
    <s v="Printer Paper"/>
    <x v="6"/>
    <n v="22"/>
    <n v="28.81"/>
    <n v="19.45"/>
    <n v="633.81999999999994"/>
    <n v="427.9"/>
    <n v="205.91999999999996"/>
  </r>
  <r>
    <n v="1645"/>
    <d v="2025-03-04T00:00:00"/>
    <x v="0"/>
    <x v="2"/>
    <s v="Office Suite"/>
    <x v="2"/>
    <n v="19"/>
    <n v="89.53"/>
    <n v="57.81"/>
    <n v="1701.07"/>
    <n v="1098.3900000000001"/>
    <n v="602.67999999999984"/>
  </r>
  <r>
    <n v="2110"/>
    <d v="2025-03-04T00:00:00"/>
    <x v="2"/>
    <x v="0"/>
    <s v="Desk Chair"/>
    <x v="7"/>
    <n v="9"/>
    <n v="31.69"/>
    <n v="19.079999999999998"/>
    <n v="285.21000000000004"/>
    <n v="171.71999999999997"/>
    <n v="113.49000000000007"/>
  </r>
  <r>
    <n v="1049"/>
    <d v="2025-03-05T00:00:00"/>
    <x v="1"/>
    <x v="0"/>
    <s v="Stapler"/>
    <x v="7"/>
    <n v="18"/>
    <n v="4.6500000000000004"/>
    <n v="2.8"/>
    <n v="83.7"/>
    <n v="50.4"/>
    <n v="33.300000000000004"/>
  </r>
  <r>
    <n v="1594"/>
    <d v="2025-03-05T00:00:00"/>
    <x v="4"/>
    <x v="1"/>
    <s v="Headphones"/>
    <x v="0"/>
    <n v="34"/>
    <n v="596.72"/>
    <n v="412.44"/>
    <n v="20288.48"/>
    <n v="14022.96"/>
    <n v="6265.52"/>
  </r>
  <r>
    <n v="1750"/>
    <d v="2025-03-05T00:00:00"/>
    <x v="2"/>
    <x v="2"/>
    <s v="Design Tool"/>
    <x v="5"/>
    <n v="38"/>
    <n v="63.03"/>
    <n v="46.53"/>
    <n v="2395.14"/>
    <n v="1768.14"/>
    <n v="626.99999999999977"/>
  </r>
  <r>
    <n v="2758"/>
    <d v="2025-03-05T00:00:00"/>
    <x v="0"/>
    <x v="2"/>
    <s v="Design Tool"/>
    <x v="6"/>
    <n v="3"/>
    <n v="88.39"/>
    <n v="51.15"/>
    <n v="265.17"/>
    <n v="153.44999999999999"/>
    <n v="111.72000000000003"/>
  </r>
  <r>
    <n v="1048"/>
    <d v="2025-03-06T00:00:00"/>
    <x v="2"/>
    <x v="1"/>
    <s v="Webcam"/>
    <x v="6"/>
    <n v="31"/>
    <n v="64.95"/>
    <n v="47.96"/>
    <n v="2013.45"/>
    <n v="1486.76"/>
    <n v="526.69000000000005"/>
  </r>
  <r>
    <n v="2407"/>
    <d v="2025-03-06T00:00:00"/>
    <x v="3"/>
    <x v="3"/>
    <s v="Filing Cabinet"/>
    <x v="2"/>
    <n v="9"/>
    <n v="327.08999999999997"/>
    <n v="202.55"/>
    <n v="2943.81"/>
    <n v="1822.95"/>
    <n v="1120.8599999999999"/>
  </r>
  <r>
    <n v="2434"/>
    <d v="2025-03-06T00:00:00"/>
    <x v="3"/>
    <x v="1"/>
    <s v="Monitor"/>
    <x v="7"/>
    <n v="5"/>
    <n v="189.14"/>
    <n v="107.15"/>
    <n v="945.69999999999993"/>
    <n v="535.75"/>
    <n v="409.94999999999993"/>
  </r>
  <r>
    <n v="1052"/>
    <d v="2025-03-07T00:00:00"/>
    <x v="4"/>
    <x v="1"/>
    <s v="Keyboard"/>
    <x v="2"/>
    <n v="35"/>
    <n v="103.75"/>
    <n v="76.7"/>
    <n v="3631.25"/>
    <n v="2684.5"/>
    <n v="946.75"/>
  </r>
  <r>
    <n v="1105"/>
    <d v="2025-03-07T00:00:00"/>
    <x v="1"/>
    <x v="1"/>
    <s v="Laptop"/>
    <x v="4"/>
    <n v="29"/>
    <n v="713.53"/>
    <n v="525.41"/>
    <n v="20692.37"/>
    <n v="15236.89"/>
    <n v="5455.48"/>
  </r>
  <r>
    <n v="1619"/>
    <d v="2025-03-07T00:00:00"/>
    <x v="4"/>
    <x v="1"/>
    <s v="Keyboard"/>
    <x v="2"/>
    <n v="21"/>
    <n v="377.3"/>
    <n v="198.09"/>
    <n v="7923.3"/>
    <n v="4159.8900000000003"/>
    <n v="3763.41"/>
  </r>
  <r>
    <n v="2175"/>
    <d v="2025-03-07T00:00:00"/>
    <x v="2"/>
    <x v="2"/>
    <s v="Design Tool"/>
    <x v="1"/>
    <n v="20"/>
    <n v="107.25"/>
    <n v="78.37"/>
    <n v="2145"/>
    <n v="1567.4"/>
    <n v="577.59999999999991"/>
  </r>
  <r>
    <n v="2563"/>
    <d v="2025-03-08T00:00:00"/>
    <x v="3"/>
    <x v="3"/>
    <s v="Bookshelf"/>
    <x v="4"/>
    <n v="15"/>
    <n v="149.87"/>
    <n v="91.54"/>
    <n v="2248.0500000000002"/>
    <n v="1373.1000000000001"/>
    <n v="874.95"/>
  </r>
  <r>
    <n v="1023"/>
    <d v="2025-03-09T00:00:00"/>
    <x v="1"/>
    <x v="2"/>
    <s v="Office Suite"/>
    <x v="7"/>
    <n v="19"/>
    <n v="37.07"/>
    <n v="21.44"/>
    <n v="704.33"/>
    <n v="407.36"/>
    <n v="296.97000000000003"/>
  </r>
  <r>
    <n v="1141"/>
    <d v="2025-03-09T00:00:00"/>
    <x v="3"/>
    <x v="3"/>
    <s v="Bookshelf"/>
    <x v="0"/>
    <n v="8"/>
    <n v="413.44"/>
    <n v="218.18"/>
    <n v="3307.52"/>
    <n v="1745.44"/>
    <n v="1562.08"/>
  </r>
  <r>
    <n v="1647"/>
    <d v="2025-03-09T00:00:00"/>
    <x v="1"/>
    <x v="3"/>
    <s v="Office Desk"/>
    <x v="3"/>
    <n v="36"/>
    <n v="178.63"/>
    <n v="133.83000000000001"/>
    <n v="6430.68"/>
    <n v="4817.88"/>
    <n v="1612.8000000000002"/>
  </r>
  <r>
    <n v="1804"/>
    <d v="2025-03-09T00:00:00"/>
    <x v="4"/>
    <x v="3"/>
    <s v="Bookshelf"/>
    <x v="7"/>
    <n v="7"/>
    <n v="273.45"/>
    <n v="201.18"/>
    <n v="1914.1499999999999"/>
    <n v="1408.26"/>
    <n v="505.88999999999987"/>
  </r>
  <r>
    <n v="1609"/>
    <d v="2025-03-10T00:00:00"/>
    <x v="2"/>
    <x v="3"/>
    <s v="Filing Cabinet"/>
    <x v="6"/>
    <n v="23"/>
    <n v="249.87"/>
    <n v="142.36000000000001"/>
    <n v="5747.01"/>
    <n v="3274.28"/>
    <n v="2472.73"/>
  </r>
  <r>
    <n v="2062"/>
    <d v="2025-03-10T00:00:00"/>
    <x v="0"/>
    <x v="0"/>
    <s v="Stapler"/>
    <x v="5"/>
    <n v="12"/>
    <n v="59.74"/>
    <n v="32.78"/>
    <n v="716.88"/>
    <n v="393.36"/>
    <n v="323.52"/>
  </r>
  <r>
    <n v="1284"/>
    <d v="2025-03-12T00:00:00"/>
    <x v="0"/>
    <x v="3"/>
    <s v="Bookshelf"/>
    <x v="1"/>
    <n v="18"/>
    <n v="94.55"/>
    <n v="53.08"/>
    <n v="1701.8999999999999"/>
    <n v="955.43999999999994"/>
    <n v="746.45999999999992"/>
  </r>
  <r>
    <n v="2022"/>
    <d v="2025-03-12T00:00:00"/>
    <x v="4"/>
    <x v="3"/>
    <s v="Whiteboard"/>
    <x v="5"/>
    <n v="12"/>
    <n v="476.92"/>
    <n v="325.62"/>
    <n v="5723.04"/>
    <n v="3907.44"/>
    <n v="1815.6"/>
  </r>
  <r>
    <n v="2469"/>
    <d v="2025-03-12T00:00:00"/>
    <x v="3"/>
    <x v="1"/>
    <s v="Monitor"/>
    <x v="2"/>
    <n v="34"/>
    <n v="803.35"/>
    <n v="565.99"/>
    <n v="27313.9"/>
    <n v="19243.66"/>
    <n v="8070.2400000000016"/>
  </r>
  <r>
    <n v="1303"/>
    <d v="2025-03-13T00:00:00"/>
    <x v="3"/>
    <x v="3"/>
    <s v="Whiteboard"/>
    <x v="7"/>
    <n v="7"/>
    <n v="202.56"/>
    <n v="144.01"/>
    <n v="1417.92"/>
    <n v="1008.0699999999999"/>
    <n v="409.85000000000014"/>
  </r>
  <r>
    <n v="1873"/>
    <d v="2025-03-13T00:00:00"/>
    <x v="4"/>
    <x v="0"/>
    <s v="Desk Chair"/>
    <x v="5"/>
    <n v="9"/>
    <n v="24.95"/>
    <n v="16.8"/>
    <n v="224.54999999999998"/>
    <n v="151.20000000000002"/>
    <n v="73.349999999999966"/>
  </r>
  <r>
    <n v="2797"/>
    <d v="2025-03-13T00:00:00"/>
    <x v="0"/>
    <x v="0"/>
    <s v="Desk Lamp"/>
    <x v="5"/>
    <n v="27"/>
    <n v="13.54"/>
    <n v="9.4600000000000009"/>
    <n v="365.58"/>
    <n v="255.42000000000002"/>
    <n v="110.15999999999997"/>
  </r>
  <r>
    <n v="1565"/>
    <d v="2025-03-14T00:00:00"/>
    <x v="0"/>
    <x v="0"/>
    <s v="Printer Paper"/>
    <x v="6"/>
    <n v="38"/>
    <n v="55.87"/>
    <n v="40.479999999999997"/>
    <n v="2123.06"/>
    <n v="1538.2399999999998"/>
    <n v="584.82000000000016"/>
  </r>
  <r>
    <n v="1726"/>
    <d v="2025-03-14T00:00:00"/>
    <x v="1"/>
    <x v="1"/>
    <s v="Headphones"/>
    <x v="2"/>
    <n v="30"/>
    <n v="494.46"/>
    <n v="335.4"/>
    <n v="14833.8"/>
    <n v="10062"/>
    <n v="4771.7999999999993"/>
  </r>
  <r>
    <n v="1259"/>
    <d v="2025-03-15T00:00:00"/>
    <x v="4"/>
    <x v="0"/>
    <s v="Notebook"/>
    <x v="0"/>
    <n v="6"/>
    <n v="37.26"/>
    <n v="27.4"/>
    <n v="223.56"/>
    <n v="164.39999999999998"/>
    <n v="59.160000000000025"/>
  </r>
  <r>
    <n v="1231"/>
    <d v="2025-03-16T00:00:00"/>
    <x v="3"/>
    <x v="1"/>
    <s v="Laptop"/>
    <x v="0"/>
    <n v="15"/>
    <n v="488.97"/>
    <n v="298.98"/>
    <n v="7334.55"/>
    <n v="4484.7000000000007"/>
    <n v="2849.8499999999995"/>
  </r>
  <r>
    <n v="1651"/>
    <d v="2025-03-16T00:00:00"/>
    <x v="4"/>
    <x v="3"/>
    <s v="Filing Cabinet"/>
    <x v="5"/>
    <n v="28"/>
    <n v="497.72"/>
    <n v="267.68"/>
    <n v="13936.16"/>
    <n v="7495.04"/>
    <n v="6441.12"/>
  </r>
  <r>
    <n v="2023"/>
    <d v="2025-03-16T00:00:00"/>
    <x v="1"/>
    <x v="3"/>
    <s v="Filing Cabinet"/>
    <x v="3"/>
    <n v="23"/>
    <n v="195.02"/>
    <n v="140.68"/>
    <n v="4485.46"/>
    <n v="3235.6400000000003"/>
    <n v="1249.8199999999997"/>
  </r>
  <r>
    <n v="2479"/>
    <d v="2025-03-16T00:00:00"/>
    <x v="2"/>
    <x v="1"/>
    <s v="Keyboard"/>
    <x v="2"/>
    <n v="36"/>
    <n v="457.3"/>
    <n v="339.81"/>
    <n v="16462.8"/>
    <n v="12233.16"/>
    <n v="4229.6399999999994"/>
  </r>
  <r>
    <n v="1789"/>
    <d v="2025-03-17T00:00:00"/>
    <x v="0"/>
    <x v="0"/>
    <s v="Printer Paper"/>
    <x v="1"/>
    <n v="9"/>
    <n v="13.37"/>
    <n v="9.41"/>
    <n v="120.33"/>
    <n v="84.69"/>
    <n v="35.64"/>
  </r>
  <r>
    <n v="1954"/>
    <d v="2025-03-17T00:00:00"/>
    <x v="4"/>
    <x v="0"/>
    <s v="Desk Chair"/>
    <x v="7"/>
    <n v="25"/>
    <n v="58.03"/>
    <n v="42.06"/>
    <n v="1450.75"/>
    <n v="1051.5"/>
    <n v="399.25"/>
  </r>
  <r>
    <n v="1989"/>
    <d v="2025-03-17T00:00:00"/>
    <x v="2"/>
    <x v="3"/>
    <s v="Bookshelf"/>
    <x v="2"/>
    <n v="4"/>
    <n v="162.38999999999999"/>
    <n v="96.6"/>
    <n v="649.55999999999995"/>
    <n v="386.4"/>
    <n v="263.15999999999997"/>
  </r>
  <r>
    <n v="2557"/>
    <d v="2025-03-17T00:00:00"/>
    <x v="2"/>
    <x v="3"/>
    <s v="Bookshelf"/>
    <x v="2"/>
    <n v="12"/>
    <n v="420.73"/>
    <n v="221.27"/>
    <n v="5048.76"/>
    <n v="2655.2400000000002"/>
    <n v="2393.52"/>
  </r>
  <r>
    <n v="1711"/>
    <d v="2025-03-18T00:00:00"/>
    <x v="0"/>
    <x v="3"/>
    <s v="Filing Cabinet"/>
    <x v="0"/>
    <n v="29"/>
    <n v="215.09"/>
    <n v="159.11000000000001"/>
    <n v="6237.61"/>
    <n v="4614.1900000000005"/>
    <n v="1623.4199999999992"/>
  </r>
  <r>
    <n v="1355"/>
    <d v="2025-03-19T00:00:00"/>
    <x v="1"/>
    <x v="2"/>
    <s v="Office Suite"/>
    <x v="1"/>
    <n v="9"/>
    <n v="110.12"/>
    <n v="79.319999999999993"/>
    <n v="991.08"/>
    <n v="713.87999999999988"/>
    <n v="277.20000000000016"/>
  </r>
  <r>
    <n v="1650"/>
    <d v="2025-03-19T00:00:00"/>
    <x v="0"/>
    <x v="3"/>
    <s v="Office Desk"/>
    <x v="5"/>
    <n v="3"/>
    <n v="488.82"/>
    <n v="288.48"/>
    <n v="1466.46"/>
    <n v="865.44"/>
    <n v="601.02"/>
  </r>
  <r>
    <n v="2255"/>
    <d v="2025-03-19T00:00:00"/>
    <x v="0"/>
    <x v="0"/>
    <s v="Desk Chair"/>
    <x v="3"/>
    <n v="25"/>
    <n v="33.17"/>
    <n v="24.78"/>
    <n v="829.25"/>
    <n v="619.5"/>
    <n v="209.75"/>
  </r>
  <r>
    <n v="1214"/>
    <d v="2025-03-20T00:00:00"/>
    <x v="4"/>
    <x v="1"/>
    <s v="Webcam"/>
    <x v="2"/>
    <n v="15"/>
    <n v="237.59"/>
    <n v="121.56"/>
    <n v="3563.85"/>
    <n v="1823.4"/>
    <n v="1740.4499999999998"/>
  </r>
  <r>
    <n v="1265"/>
    <d v="2025-03-20T00:00:00"/>
    <x v="3"/>
    <x v="2"/>
    <s v="Antivirus License"/>
    <x v="0"/>
    <n v="12"/>
    <n v="65.87"/>
    <n v="48.63"/>
    <n v="790.44"/>
    <n v="583.56000000000006"/>
    <n v="206.88"/>
  </r>
  <r>
    <n v="1862"/>
    <d v="2025-03-20T00:00:00"/>
    <x v="4"/>
    <x v="0"/>
    <s v="Stapler"/>
    <x v="3"/>
    <n v="32"/>
    <n v="13.55"/>
    <n v="8.44"/>
    <n v="433.6"/>
    <n v="270.08"/>
    <n v="163.52000000000004"/>
  </r>
  <r>
    <n v="2184"/>
    <d v="2025-03-20T00:00:00"/>
    <x v="4"/>
    <x v="1"/>
    <s v="Keyboard"/>
    <x v="6"/>
    <n v="39"/>
    <n v="495.93"/>
    <n v="321.16000000000003"/>
    <n v="19341.27"/>
    <n v="12525.240000000002"/>
    <n v="6816.0299999999988"/>
  </r>
  <r>
    <n v="1371"/>
    <d v="2025-03-21T00:00:00"/>
    <x v="3"/>
    <x v="0"/>
    <s v="Desk Chair"/>
    <x v="4"/>
    <n v="22"/>
    <n v="7.18"/>
    <n v="3.72"/>
    <n v="157.95999999999998"/>
    <n v="81.84"/>
    <n v="76.119999999999976"/>
  </r>
  <r>
    <n v="1058"/>
    <d v="2025-03-22T00:00:00"/>
    <x v="1"/>
    <x v="3"/>
    <s v="Filing Cabinet"/>
    <x v="7"/>
    <n v="6"/>
    <n v="395.2"/>
    <n v="263.62"/>
    <n v="2371.1999999999998"/>
    <n v="1581.72"/>
    <n v="789.47999999999979"/>
  </r>
  <r>
    <n v="1374"/>
    <d v="2025-03-24T00:00:00"/>
    <x v="2"/>
    <x v="2"/>
    <s v="Antivirus License"/>
    <x v="4"/>
    <n v="11"/>
    <n v="243.3"/>
    <n v="154.84"/>
    <n v="2676.3"/>
    <n v="1703.24"/>
    <n v="973.06000000000017"/>
  </r>
  <r>
    <n v="1679"/>
    <d v="2025-03-24T00:00:00"/>
    <x v="2"/>
    <x v="1"/>
    <s v="Laptop"/>
    <x v="3"/>
    <n v="36"/>
    <n v="95.25"/>
    <n v="69.319999999999993"/>
    <n v="3429"/>
    <n v="2495.5199999999995"/>
    <n v="933.48000000000047"/>
  </r>
  <r>
    <n v="1980"/>
    <d v="2025-03-24T00:00:00"/>
    <x v="4"/>
    <x v="0"/>
    <s v="Notebook"/>
    <x v="1"/>
    <n v="28"/>
    <n v="49.09"/>
    <n v="32.270000000000003"/>
    <n v="1374.52"/>
    <n v="903.56000000000006"/>
    <n v="470.95999999999992"/>
  </r>
  <r>
    <n v="2050"/>
    <d v="2025-03-24T00:00:00"/>
    <x v="3"/>
    <x v="1"/>
    <s v="Keyboard"/>
    <x v="4"/>
    <n v="11"/>
    <n v="585.98"/>
    <n v="354.25"/>
    <n v="6445.7800000000007"/>
    <n v="3896.75"/>
    <n v="2549.0300000000007"/>
  </r>
  <r>
    <n v="2143"/>
    <d v="2025-03-24T00:00:00"/>
    <x v="0"/>
    <x v="3"/>
    <s v="Filing Cabinet"/>
    <x v="0"/>
    <n v="2"/>
    <n v="445.7"/>
    <n v="305.2"/>
    <n v="891.4"/>
    <n v="610.4"/>
    <n v="281"/>
  </r>
  <r>
    <n v="2501"/>
    <d v="2025-03-24T00:00:00"/>
    <x v="0"/>
    <x v="2"/>
    <s v="Office Suite"/>
    <x v="7"/>
    <n v="8"/>
    <n v="109.16"/>
    <n v="55.38"/>
    <n v="873.28"/>
    <n v="443.04"/>
    <n v="430.23999999999995"/>
  </r>
  <r>
    <n v="2642"/>
    <d v="2025-03-24T00:00:00"/>
    <x v="3"/>
    <x v="3"/>
    <s v="Office Desk"/>
    <x v="2"/>
    <n v="28"/>
    <n v="243.77"/>
    <n v="126.38"/>
    <n v="6825.56"/>
    <n v="3538.64"/>
    <n v="3286.9200000000005"/>
  </r>
  <r>
    <n v="1072"/>
    <d v="2025-03-25T00:00:00"/>
    <x v="3"/>
    <x v="2"/>
    <s v="Design Tool"/>
    <x v="6"/>
    <n v="18"/>
    <n v="31.16"/>
    <n v="18.95"/>
    <n v="560.88"/>
    <n v="341.09999999999997"/>
    <n v="219.78000000000003"/>
  </r>
  <r>
    <n v="2196"/>
    <d v="2025-03-25T00:00:00"/>
    <x v="2"/>
    <x v="0"/>
    <s v="Stapler"/>
    <x v="1"/>
    <n v="34"/>
    <n v="38.75"/>
    <n v="26.61"/>
    <n v="1317.5"/>
    <n v="904.74"/>
    <n v="412.76"/>
  </r>
  <r>
    <n v="2730"/>
    <d v="2025-03-25T00:00:00"/>
    <x v="1"/>
    <x v="1"/>
    <s v="Laptop"/>
    <x v="5"/>
    <n v="21"/>
    <n v="605.22"/>
    <n v="325.61"/>
    <n v="12709.62"/>
    <n v="6837.81"/>
    <n v="5871.81"/>
  </r>
  <r>
    <n v="2704"/>
    <d v="2025-03-26T00:00:00"/>
    <x v="2"/>
    <x v="2"/>
    <s v="Design Tool"/>
    <x v="6"/>
    <n v="38"/>
    <n v="39.89"/>
    <n v="20.170000000000002"/>
    <n v="1515.82"/>
    <n v="766.46"/>
    <n v="749.3599999999999"/>
  </r>
  <r>
    <n v="1466"/>
    <d v="2025-03-27T00:00:00"/>
    <x v="3"/>
    <x v="0"/>
    <s v="Notebook"/>
    <x v="5"/>
    <n v="10"/>
    <n v="51.61"/>
    <n v="38.049999999999997"/>
    <n v="516.1"/>
    <n v="380.5"/>
    <n v="135.60000000000002"/>
  </r>
  <r>
    <n v="1541"/>
    <d v="2025-03-27T00:00:00"/>
    <x v="3"/>
    <x v="2"/>
    <s v="Office Suite"/>
    <x v="6"/>
    <n v="12"/>
    <n v="140.75"/>
    <n v="91.98"/>
    <n v="1689"/>
    <n v="1103.76"/>
    <n v="585.24"/>
  </r>
  <r>
    <n v="2661"/>
    <d v="2025-03-27T00:00:00"/>
    <x v="3"/>
    <x v="0"/>
    <s v="Notebook"/>
    <x v="2"/>
    <n v="3"/>
    <n v="49.15"/>
    <n v="24.63"/>
    <n v="147.44999999999999"/>
    <n v="73.89"/>
    <n v="73.559999999999988"/>
  </r>
  <r>
    <n v="1041"/>
    <d v="2025-03-28T00:00:00"/>
    <x v="0"/>
    <x v="2"/>
    <s v="Office Suite"/>
    <x v="3"/>
    <n v="19"/>
    <n v="249.16"/>
    <n v="171.37"/>
    <n v="4734.04"/>
    <n v="3256.03"/>
    <n v="1478.0099999999998"/>
  </r>
  <r>
    <n v="1861"/>
    <d v="2025-03-28T00:00:00"/>
    <x v="0"/>
    <x v="3"/>
    <s v="Filing Cabinet"/>
    <x v="7"/>
    <n v="38"/>
    <n v="246.09"/>
    <n v="167.94"/>
    <n v="9351.42"/>
    <n v="6381.72"/>
    <n v="2969.7"/>
  </r>
  <r>
    <n v="2238"/>
    <d v="2025-03-29T00:00:00"/>
    <x v="3"/>
    <x v="0"/>
    <s v="Stapler"/>
    <x v="1"/>
    <n v="18"/>
    <n v="41.8"/>
    <n v="26.91"/>
    <n v="752.4"/>
    <n v="484.38"/>
    <n v="268.02"/>
  </r>
  <r>
    <n v="1107"/>
    <d v="2025-03-30T00:00:00"/>
    <x v="3"/>
    <x v="1"/>
    <s v="Headphones"/>
    <x v="1"/>
    <n v="5"/>
    <n v="166"/>
    <n v="98.81"/>
    <n v="830"/>
    <n v="494.05"/>
    <n v="335.95"/>
  </r>
  <r>
    <n v="1504"/>
    <d v="2025-03-30T00:00:00"/>
    <x v="1"/>
    <x v="1"/>
    <s v="Keyboard"/>
    <x v="1"/>
    <n v="13"/>
    <n v="345.7"/>
    <n v="201.14"/>
    <n v="4494.0999999999995"/>
    <n v="2614.8199999999997"/>
    <n v="1879.2799999999997"/>
  </r>
  <r>
    <n v="1774"/>
    <d v="2025-03-30T00:00:00"/>
    <x v="4"/>
    <x v="0"/>
    <s v="Printer Paper"/>
    <x v="5"/>
    <n v="3"/>
    <n v="58.72"/>
    <n v="29.71"/>
    <n v="176.16"/>
    <n v="89.13"/>
    <n v="87.03"/>
  </r>
  <r>
    <n v="2313"/>
    <d v="2025-03-31T00:00:00"/>
    <x v="3"/>
    <x v="0"/>
    <s v="Stapler"/>
    <x v="0"/>
    <n v="37"/>
    <n v="55.72"/>
    <n v="36.020000000000003"/>
    <n v="2061.64"/>
    <n v="1332.74"/>
    <n v="728.89999999999986"/>
  </r>
  <r>
    <n v="2436"/>
    <d v="2025-03-31T00:00:00"/>
    <x v="4"/>
    <x v="3"/>
    <s v="Filing Cabinet"/>
    <x v="7"/>
    <n v="2"/>
    <n v="404.47"/>
    <n v="211.44"/>
    <n v="808.94"/>
    <n v="422.88"/>
    <n v="386.06000000000006"/>
  </r>
  <r>
    <n v="1799"/>
    <d v="2025-04-01T00:00:00"/>
    <x v="3"/>
    <x v="2"/>
    <s v="Office Suite"/>
    <x v="7"/>
    <n v="14"/>
    <n v="49.53"/>
    <n v="37.07"/>
    <n v="693.42000000000007"/>
    <n v="518.98"/>
    <n v="174.44000000000005"/>
  </r>
  <r>
    <n v="2094"/>
    <d v="2025-04-02T00:00:00"/>
    <x v="4"/>
    <x v="3"/>
    <s v="Office Desk"/>
    <x v="3"/>
    <n v="23"/>
    <n v="246.41"/>
    <n v="156.16"/>
    <n v="5667.43"/>
    <n v="3591.68"/>
    <n v="2075.7500000000005"/>
  </r>
  <r>
    <n v="2644"/>
    <d v="2025-04-02T00:00:00"/>
    <x v="1"/>
    <x v="3"/>
    <s v="Office Desk"/>
    <x v="6"/>
    <n v="40"/>
    <n v="192.92"/>
    <n v="98.48"/>
    <n v="7716.7999999999993"/>
    <n v="3939.2000000000003"/>
    <n v="3777.599999999999"/>
  </r>
  <r>
    <n v="1349"/>
    <d v="2025-04-03T00:00:00"/>
    <x v="3"/>
    <x v="2"/>
    <s v="Cloud Storage"/>
    <x v="5"/>
    <n v="8"/>
    <n v="132.96"/>
    <n v="67.67"/>
    <n v="1063.68"/>
    <n v="541.36"/>
    <n v="522.32000000000005"/>
  </r>
  <r>
    <n v="2245"/>
    <d v="2025-04-03T00:00:00"/>
    <x v="3"/>
    <x v="2"/>
    <s v="Design Tool"/>
    <x v="5"/>
    <n v="6"/>
    <n v="104.03"/>
    <n v="62.25"/>
    <n v="624.18000000000006"/>
    <n v="373.5"/>
    <n v="250.68000000000006"/>
  </r>
  <r>
    <n v="1003"/>
    <d v="2025-04-04T00:00:00"/>
    <x v="1"/>
    <x v="3"/>
    <s v="Office Desk"/>
    <x v="1"/>
    <n v="28"/>
    <n v="482.03"/>
    <n v="252.19"/>
    <n v="13496.84"/>
    <n v="7061.32"/>
    <n v="6435.52"/>
  </r>
  <r>
    <n v="2380"/>
    <d v="2025-04-04T00:00:00"/>
    <x v="0"/>
    <x v="0"/>
    <s v="Desk Chair"/>
    <x v="0"/>
    <n v="22"/>
    <n v="36.020000000000003"/>
    <n v="19.11"/>
    <n v="792.44"/>
    <n v="420.41999999999996"/>
    <n v="372.0200000000001"/>
  </r>
  <r>
    <n v="1955"/>
    <d v="2025-04-05T00:00:00"/>
    <x v="1"/>
    <x v="0"/>
    <s v="Printer Paper"/>
    <x v="5"/>
    <n v="22"/>
    <n v="26.79"/>
    <n v="13.67"/>
    <n v="589.38"/>
    <n v="300.74"/>
    <n v="288.64"/>
  </r>
  <r>
    <n v="2569"/>
    <d v="2025-04-05T00:00:00"/>
    <x v="2"/>
    <x v="3"/>
    <s v="Office Desk"/>
    <x v="4"/>
    <n v="11"/>
    <n v="85.51"/>
    <n v="58.29"/>
    <n v="940.61"/>
    <n v="641.18999999999994"/>
    <n v="299.42000000000007"/>
  </r>
  <r>
    <n v="1941"/>
    <d v="2025-04-08T00:00:00"/>
    <x v="1"/>
    <x v="0"/>
    <s v="Stapler"/>
    <x v="7"/>
    <n v="5"/>
    <n v="12.36"/>
    <n v="8.18"/>
    <n v="61.8"/>
    <n v="40.9"/>
    <n v="20.9"/>
  </r>
  <r>
    <n v="2308"/>
    <d v="2025-04-08T00:00:00"/>
    <x v="3"/>
    <x v="2"/>
    <s v="Design Tool"/>
    <x v="6"/>
    <n v="1"/>
    <n v="78.37"/>
    <n v="47.58"/>
    <n v="78.37"/>
    <n v="47.58"/>
    <n v="30.790000000000006"/>
  </r>
  <r>
    <n v="2400"/>
    <d v="2025-04-08T00:00:00"/>
    <x v="0"/>
    <x v="1"/>
    <s v="Webcam"/>
    <x v="5"/>
    <n v="2"/>
    <n v="889.64"/>
    <n v="631.09"/>
    <n v="1779.28"/>
    <n v="1262.18"/>
    <n v="517.09999999999991"/>
  </r>
  <r>
    <n v="2571"/>
    <d v="2025-04-08T00:00:00"/>
    <x v="3"/>
    <x v="0"/>
    <s v="Desk Chair"/>
    <x v="4"/>
    <n v="15"/>
    <n v="58.22"/>
    <n v="43.23"/>
    <n v="873.3"/>
    <n v="648.44999999999993"/>
    <n v="224.85000000000002"/>
  </r>
  <r>
    <n v="2658"/>
    <d v="2025-04-08T00:00:00"/>
    <x v="0"/>
    <x v="1"/>
    <s v="Monitor"/>
    <x v="6"/>
    <n v="5"/>
    <n v="387.17"/>
    <n v="229.7"/>
    <n v="1935.8500000000001"/>
    <n v="1148.5"/>
    <n v="787.35000000000014"/>
  </r>
  <r>
    <n v="1006"/>
    <d v="2025-04-09T00:00:00"/>
    <x v="4"/>
    <x v="0"/>
    <s v="Printer Paper"/>
    <x v="5"/>
    <n v="14"/>
    <n v="43"/>
    <n v="28.33"/>
    <n v="602"/>
    <n v="396.62"/>
    <n v="205.38"/>
  </r>
  <r>
    <n v="1958"/>
    <d v="2025-04-09T00:00:00"/>
    <x v="3"/>
    <x v="0"/>
    <s v="Printer Paper"/>
    <x v="3"/>
    <n v="4"/>
    <n v="3.29"/>
    <n v="1.69"/>
    <n v="13.16"/>
    <n v="6.76"/>
    <n v="6.4"/>
  </r>
  <r>
    <n v="1997"/>
    <d v="2025-04-09T00:00:00"/>
    <x v="3"/>
    <x v="1"/>
    <s v="Keyboard"/>
    <x v="2"/>
    <n v="18"/>
    <n v="293.49"/>
    <n v="167.22"/>
    <n v="5282.82"/>
    <n v="3009.96"/>
    <n v="2272.8599999999997"/>
  </r>
  <r>
    <n v="1486"/>
    <d v="2025-04-10T00:00:00"/>
    <x v="3"/>
    <x v="3"/>
    <s v="Filing Cabinet"/>
    <x v="1"/>
    <n v="8"/>
    <n v="346.31"/>
    <n v="234.39"/>
    <n v="2770.48"/>
    <n v="1875.12"/>
    <n v="895.36000000000013"/>
  </r>
  <r>
    <n v="1610"/>
    <d v="2025-04-10T00:00:00"/>
    <x v="3"/>
    <x v="1"/>
    <s v="Headphones"/>
    <x v="4"/>
    <n v="32"/>
    <n v="253.89"/>
    <n v="179.65"/>
    <n v="8124.48"/>
    <n v="5748.8"/>
    <n v="2375.6799999999994"/>
  </r>
  <r>
    <n v="1864"/>
    <d v="2025-04-10T00:00:00"/>
    <x v="2"/>
    <x v="1"/>
    <s v="Webcam"/>
    <x v="1"/>
    <n v="1"/>
    <n v="566.77"/>
    <n v="391.56"/>
    <n v="566.77"/>
    <n v="391.56"/>
    <n v="175.20999999999998"/>
  </r>
  <r>
    <n v="2648"/>
    <d v="2025-04-10T00:00:00"/>
    <x v="2"/>
    <x v="1"/>
    <s v="Webcam"/>
    <x v="7"/>
    <n v="9"/>
    <n v="78.709999999999994"/>
    <n v="58.8"/>
    <n v="708.39"/>
    <n v="529.19999999999993"/>
    <n v="179.19000000000005"/>
  </r>
  <r>
    <n v="2649"/>
    <d v="2025-04-10T00:00:00"/>
    <x v="1"/>
    <x v="0"/>
    <s v="Stapler"/>
    <x v="2"/>
    <n v="20"/>
    <n v="34.54"/>
    <n v="25.02"/>
    <n v="690.8"/>
    <n v="500.4"/>
    <n v="190.39999999999998"/>
  </r>
  <r>
    <n v="1333"/>
    <d v="2025-04-11T00:00:00"/>
    <x v="1"/>
    <x v="3"/>
    <s v="Whiteboard"/>
    <x v="1"/>
    <n v="22"/>
    <n v="395.05"/>
    <n v="287.08999999999997"/>
    <n v="8691.1"/>
    <n v="6315.98"/>
    <n v="2375.1200000000008"/>
  </r>
  <r>
    <n v="1085"/>
    <d v="2025-04-12T00:00:00"/>
    <x v="3"/>
    <x v="0"/>
    <s v="Stapler"/>
    <x v="1"/>
    <n v="5"/>
    <n v="58.24"/>
    <n v="38.58"/>
    <n v="291.2"/>
    <n v="192.89999999999998"/>
    <n v="98.300000000000011"/>
  </r>
  <r>
    <n v="2131"/>
    <d v="2025-04-12T00:00:00"/>
    <x v="3"/>
    <x v="3"/>
    <s v="Whiteboard"/>
    <x v="0"/>
    <n v="32"/>
    <n v="282.98"/>
    <n v="187.14"/>
    <n v="9055.36"/>
    <n v="5988.48"/>
    <n v="3066.880000000001"/>
  </r>
  <r>
    <n v="2477"/>
    <d v="2025-04-12T00:00:00"/>
    <x v="3"/>
    <x v="3"/>
    <s v="Bookshelf"/>
    <x v="5"/>
    <n v="38"/>
    <n v="184.24"/>
    <n v="96.86"/>
    <n v="7001.1200000000008"/>
    <n v="3680.68"/>
    <n v="3320.440000000001"/>
  </r>
  <r>
    <n v="1329"/>
    <d v="2025-04-13T00:00:00"/>
    <x v="0"/>
    <x v="3"/>
    <s v="Bookshelf"/>
    <x v="3"/>
    <n v="32"/>
    <n v="211.63"/>
    <n v="129.72999999999999"/>
    <n v="6772.16"/>
    <n v="4151.3599999999997"/>
    <n v="2620.8000000000002"/>
  </r>
  <r>
    <n v="1481"/>
    <d v="2025-04-13T00:00:00"/>
    <x v="0"/>
    <x v="2"/>
    <s v="Cloud Storage"/>
    <x v="2"/>
    <n v="39"/>
    <n v="191.22"/>
    <n v="131.1"/>
    <n v="7457.58"/>
    <n v="5112.8999999999996"/>
    <n v="2344.6800000000003"/>
  </r>
  <r>
    <n v="1027"/>
    <d v="2025-04-14T00:00:00"/>
    <x v="1"/>
    <x v="1"/>
    <s v="Laptop"/>
    <x v="7"/>
    <n v="33"/>
    <n v="282.77"/>
    <n v="167.51"/>
    <n v="9331.41"/>
    <n v="5527.83"/>
    <n v="3803.58"/>
  </r>
  <r>
    <n v="1582"/>
    <d v="2025-04-14T00:00:00"/>
    <x v="4"/>
    <x v="0"/>
    <s v="Desk Chair"/>
    <x v="5"/>
    <n v="19"/>
    <n v="19.52"/>
    <n v="12.56"/>
    <n v="370.88"/>
    <n v="238.64000000000001"/>
    <n v="132.23999999999998"/>
  </r>
  <r>
    <n v="1952"/>
    <d v="2025-04-14T00:00:00"/>
    <x v="3"/>
    <x v="3"/>
    <s v="Filing Cabinet"/>
    <x v="5"/>
    <n v="34"/>
    <n v="458.91"/>
    <n v="242.39"/>
    <n v="15602.94"/>
    <n v="8241.26"/>
    <n v="7361.68"/>
  </r>
  <r>
    <n v="2686"/>
    <d v="2025-04-15T00:00:00"/>
    <x v="1"/>
    <x v="3"/>
    <s v="Bookshelf"/>
    <x v="2"/>
    <n v="12"/>
    <n v="407.22"/>
    <n v="226.14"/>
    <n v="4886.6400000000003"/>
    <n v="2713.68"/>
    <n v="2172.9600000000005"/>
  </r>
  <r>
    <n v="2362"/>
    <d v="2025-04-16T00:00:00"/>
    <x v="4"/>
    <x v="3"/>
    <s v="Filing Cabinet"/>
    <x v="5"/>
    <n v="4"/>
    <n v="451.08"/>
    <n v="274.42"/>
    <n v="1804.32"/>
    <n v="1097.68"/>
    <n v="706.63999999999987"/>
  </r>
  <r>
    <n v="2441"/>
    <d v="2025-04-16T00:00:00"/>
    <x v="0"/>
    <x v="3"/>
    <s v="Filing Cabinet"/>
    <x v="2"/>
    <n v="3"/>
    <n v="405.63"/>
    <n v="290.32"/>
    <n v="1216.8899999999999"/>
    <n v="870.96"/>
    <n v="345.92999999999984"/>
  </r>
  <r>
    <n v="2715"/>
    <d v="2025-04-16T00:00:00"/>
    <x v="0"/>
    <x v="3"/>
    <s v="Office Desk"/>
    <x v="5"/>
    <n v="35"/>
    <n v="478.68"/>
    <n v="243.5"/>
    <n v="16753.8"/>
    <n v="8522.5"/>
    <n v="8231.2999999999993"/>
  </r>
  <r>
    <n v="1757"/>
    <d v="2025-04-18T00:00:00"/>
    <x v="1"/>
    <x v="1"/>
    <s v="Laptop"/>
    <x v="0"/>
    <n v="30"/>
    <n v="351.3"/>
    <n v="247.97"/>
    <n v="10539"/>
    <n v="7439.1"/>
    <n v="3099.8999999999996"/>
  </r>
  <r>
    <n v="1761"/>
    <d v="2025-04-18T00:00:00"/>
    <x v="3"/>
    <x v="1"/>
    <s v="Keyboard"/>
    <x v="6"/>
    <n v="22"/>
    <n v="686.6"/>
    <n v="362.99"/>
    <n v="15105.2"/>
    <n v="7985.7800000000007"/>
    <n v="7119.42"/>
  </r>
  <r>
    <n v="1662"/>
    <d v="2025-04-19T00:00:00"/>
    <x v="0"/>
    <x v="0"/>
    <s v="Stapler"/>
    <x v="3"/>
    <n v="19"/>
    <n v="7.51"/>
    <n v="5.6"/>
    <n v="142.69"/>
    <n v="106.39999999999999"/>
    <n v="36.290000000000006"/>
  </r>
  <r>
    <n v="2263"/>
    <d v="2025-04-19T00:00:00"/>
    <x v="2"/>
    <x v="2"/>
    <s v="Office Suite"/>
    <x v="1"/>
    <n v="25"/>
    <n v="108.68"/>
    <n v="81.23"/>
    <n v="2717"/>
    <n v="2030.75"/>
    <n v="686.25"/>
  </r>
  <r>
    <n v="2163"/>
    <d v="2025-04-20T00:00:00"/>
    <x v="2"/>
    <x v="2"/>
    <s v="Office Suite"/>
    <x v="2"/>
    <n v="20"/>
    <n v="110.41"/>
    <n v="70.11"/>
    <n v="2208.1999999999998"/>
    <n v="1402.2"/>
    <n v="805.99999999999977"/>
  </r>
  <r>
    <n v="2538"/>
    <d v="2025-04-20T00:00:00"/>
    <x v="4"/>
    <x v="3"/>
    <s v="Filing Cabinet"/>
    <x v="0"/>
    <n v="31"/>
    <n v="319.91000000000003"/>
    <n v="171.35"/>
    <n v="9917.2100000000009"/>
    <n v="5311.8499999999995"/>
    <n v="4605.3600000000015"/>
  </r>
  <r>
    <n v="1497"/>
    <d v="2025-04-21T00:00:00"/>
    <x v="3"/>
    <x v="0"/>
    <s v="Desk Lamp"/>
    <x v="6"/>
    <n v="27"/>
    <n v="22.93"/>
    <n v="15.14"/>
    <n v="619.11"/>
    <n v="408.78000000000003"/>
    <n v="210.32999999999998"/>
  </r>
  <r>
    <n v="1511"/>
    <d v="2025-04-21T00:00:00"/>
    <x v="1"/>
    <x v="0"/>
    <s v="Desk Chair"/>
    <x v="4"/>
    <n v="7"/>
    <n v="42.02"/>
    <n v="23.44"/>
    <n v="294.14000000000004"/>
    <n v="164.08"/>
    <n v="130.06000000000003"/>
  </r>
  <r>
    <n v="1605"/>
    <d v="2025-04-22T00:00:00"/>
    <x v="3"/>
    <x v="0"/>
    <s v="Stapler"/>
    <x v="5"/>
    <n v="19"/>
    <n v="5.31"/>
    <n v="3.03"/>
    <n v="100.88999999999999"/>
    <n v="57.569999999999993"/>
    <n v="43.319999999999993"/>
  </r>
  <r>
    <n v="2078"/>
    <d v="2025-04-23T00:00:00"/>
    <x v="1"/>
    <x v="0"/>
    <s v="Desk Chair"/>
    <x v="4"/>
    <n v="40"/>
    <n v="35.83"/>
    <n v="25.39"/>
    <n v="1433.1999999999998"/>
    <n v="1015.6"/>
    <n v="417.5999999999998"/>
  </r>
  <r>
    <n v="2583"/>
    <d v="2025-04-23T00:00:00"/>
    <x v="3"/>
    <x v="2"/>
    <s v="Office Suite"/>
    <x v="3"/>
    <n v="6"/>
    <n v="204.59"/>
    <n v="134.56"/>
    <n v="1227.54"/>
    <n v="807.36"/>
    <n v="420.17999999999995"/>
  </r>
  <r>
    <n v="1748"/>
    <d v="2025-04-24T00:00:00"/>
    <x v="2"/>
    <x v="3"/>
    <s v="Office Desk"/>
    <x v="5"/>
    <n v="13"/>
    <n v="255.43"/>
    <n v="182.18"/>
    <n v="3320.59"/>
    <n v="2368.34"/>
    <n v="952.25"/>
  </r>
  <r>
    <n v="1829"/>
    <d v="2025-04-24T00:00:00"/>
    <x v="1"/>
    <x v="3"/>
    <s v="Filing Cabinet"/>
    <x v="6"/>
    <n v="34"/>
    <n v="421.89"/>
    <n v="301.43"/>
    <n v="14344.26"/>
    <n v="10248.620000000001"/>
    <n v="4095.6399999999994"/>
  </r>
  <r>
    <n v="1883"/>
    <d v="2025-04-24T00:00:00"/>
    <x v="2"/>
    <x v="3"/>
    <s v="Whiteboard"/>
    <x v="6"/>
    <n v="11"/>
    <n v="258.17"/>
    <n v="135.82"/>
    <n v="2839.8700000000003"/>
    <n v="1494.02"/>
    <n v="1345.8500000000004"/>
  </r>
  <r>
    <n v="1963"/>
    <d v="2025-04-24T00:00:00"/>
    <x v="4"/>
    <x v="2"/>
    <s v="Cloud Storage"/>
    <x v="6"/>
    <n v="27"/>
    <n v="234.7"/>
    <n v="122.54"/>
    <n v="6336.9"/>
    <n v="3308.5800000000004"/>
    <n v="3028.3199999999993"/>
  </r>
  <r>
    <n v="2148"/>
    <d v="2025-04-24T00:00:00"/>
    <x v="1"/>
    <x v="0"/>
    <s v="Desk Chair"/>
    <x v="6"/>
    <n v="18"/>
    <n v="53.69"/>
    <n v="31.28"/>
    <n v="966.42"/>
    <n v="563.04"/>
    <n v="403.38"/>
  </r>
  <r>
    <n v="1910"/>
    <d v="2025-04-25T00:00:00"/>
    <x v="3"/>
    <x v="3"/>
    <s v="Whiteboard"/>
    <x v="6"/>
    <n v="26"/>
    <n v="174.05"/>
    <n v="125.3"/>
    <n v="4525.3"/>
    <n v="3257.7999999999997"/>
    <n v="1267.5000000000005"/>
  </r>
  <r>
    <n v="2329"/>
    <d v="2025-04-25T00:00:00"/>
    <x v="4"/>
    <x v="1"/>
    <s v="Keyboard"/>
    <x v="5"/>
    <n v="35"/>
    <n v="494.28"/>
    <n v="280.66000000000003"/>
    <n v="17299.8"/>
    <n v="9823.1"/>
    <n v="7476.6999999999989"/>
  </r>
  <r>
    <n v="2367"/>
    <d v="2025-04-25T00:00:00"/>
    <x v="4"/>
    <x v="3"/>
    <s v="Filing Cabinet"/>
    <x v="1"/>
    <n v="38"/>
    <n v="329.42"/>
    <n v="183.34"/>
    <n v="12517.960000000001"/>
    <n v="6966.92"/>
    <n v="5551.0400000000009"/>
  </r>
  <r>
    <n v="2408"/>
    <d v="2025-04-25T00:00:00"/>
    <x v="4"/>
    <x v="2"/>
    <s v="Antivirus License"/>
    <x v="0"/>
    <n v="11"/>
    <n v="42.96"/>
    <n v="23.29"/>
    <n v="472.56"/>
    <n v="256.19"/>
    <n v="216.37"/>
  </r>
  <r>
    <n v="2540"/>
    <d v="2025-04-25T00:00:00"/>
    <x v="0"/>
    <x v="1"/>
    <s v="Keyboard"/>
    <x v="7"/>
    <n v="13"/>
    <n v="432.03"/>
    <n v="278.94"/>
    <n v="5616.3899999999994"/>
    <n v="3626.22"/>
    <n v="1990.1699999999996"/>
  </r>
  <r>
    <n v="1779"/>
    <d v="2025-04-27T00:00:00"/>
    <x v="2"/>
    <x v="2"/>
    <s v="Cloud Storage"/>
    <x v="1"/>
    <n v="31"/>
    <n v="232.48"/>
    <n v="169.8"/>
    <n v="7206.88"/>
    <n v="5263.8"/>
    <n v="1943.08"/>
  </r>
  <r>
    <n v="2771"/>
    <d v="2025-04-27T00:00:00"/>
    <x v="3"/>
    <x v="2"/>
    <s v="Antivirus License"/>
    <x v="7"/>
    <n v="5"/>
    <n v="92.62"/>
    <n v="53.89"/>
    <n v="463.1"/>
    <n v="269.45"/>
    <n v="193.65000000000003"/>
  </r>
  <r>
    <n v="1140"/>
    <d v="2025-04-28T00:00:00"/>
    <x v="0"/>
    <x v="2"/>
    <s v="Cloud Storage"/>
    <x v="2"/>
    <n v="6"/>
    <n v="283.26"/>
    <n v="184.75"/>
    <n v="1699.56"/>
    <n v="1108.5"/>
    <n v="591.05999999999995"/>
  </r>
  <r>
    <n v="2059"/>
    <d v="2025-04-28T00:00:00"/>
    <x v="4"/>
    <x v="3"/>
    <s v="Office Desk"/>
    <x v="7"/>
    <n v="36"/>
    <n v="376.62"/>
    <n v="267.27"/>
    <n v="13558.32"/>
    <n v="9621.7199999999993"/>
    <n v="3936.6000000000004"/>
  </r>
  <r>
    <n v="1019"/>
    <d v="2025-04-29T00:00:00"/>
    <x v="2"/>
    <x v="0"/>
    <s v="Desk Chair"/>
    <x v="3"/>
    <n v="28"/>
    <n v="26.43"/>
    <n v="17.53"/>
    <n v="740.04"/>
    <n v="490.84000000000003"/>
    <n v="249.19999999999993"/>
  </r>
  <r>
    <n v="1420"/>
    <d v="2025-04-29T00:00:00"/>
    <x v="3"/>
    <x v="0"/>
    <s v="Stapler"/>
    <x v="4"/>
    <n v="9"/>
    <n v="51.42"/>
    <n v="35.81"/>
    <n v="462.78000000000003"/>
    <n v="322.29000000000002"/>
    <n v="140.49"/>
  </r>
  <r>
    <n v="2047"/>
    <d v="2025-04-29T00:00:00"/>
    <x v="1"/>
    <x v="0"/>
    <s v="Desk Chair"/>
    <x v="4"/>
    <n v="17"/>
    <n v="45.21"/>
    <n v="30.39"/>
    <n v="768.57"/>
    <n v="516.63"/>
    <n v="251.94000000000005"/>
  </r>
  <r>
    <n v="2091"/>
    <d v="2025-04-29T00:00:00"/>
    <x v="4"/>
    <x v="3"/>
    <s v="Office Desk"/>
    <x v="1"/>
    <n v="28"/>
    <n v="363.38"/>
    <n v="212.32"/>
    <n v="10174.64"/>
    <n v="5944.96"/>
    <n v="4229.6799999999994"/>
  </r>
  <r>
    <n v="1576"/>
    <d v="2025-04-30T00:00:00"/>
    <x v="4"/>
    <x v="2"/>
    <s v="Cloud Storage"/>
    <x v="2"/>
    <n v="19"/>
    <n v="253.79"/>
    <n v="159.86000000000001"/>
    <n v="4822.01"/>
    <n v="3037.34"/>
    <n v="1784.67"/>
  </r>
  <r>
    <n v="2492"/>
    <d v="2025-04-30T00:00:00"/>
    <x v="2"/>
    <x v="1"/>
    <s v="Monitor"/>
    <x v="3"/>
    <n v="17"/>
    <n v="79.099999999999994"/>
    <n v="58.74"/>
    <n v="1344.6999999999998"/>
    <n v="998.58"/>
    <n v="346.11999999999978"/>
  </r>
  <r>
    <n v="2626"/>
    <d v="2025-05-01T00:00:00"/>
    <x v="4"/>
    <x v="1"/>
    <s v="Webcam"/>
    <x v="2"/>
    <n v="5"/>
    <n v="569.66"/>
    <n v="331.68"/>
    <n v="2848.2999999999997"/>
    <n v="1658.4"/>
    <n v="1189.8999999999996"/>
  </r>
  <r>
    <n v="1395"/>
    <d v="2025-05-02T00:00:00"/>
    <x v="1"/>
    <x v="1"/>
    <s v="Webcam"/>
    <x v="3"/>
    <n v="6"/>
    <n v="465.08"/>
    <n v="336.83"/>
    <n v="2790.48"/>
    <n v="2020.98"/>
    <n v="769.5"/>
  </r>
  <r>
    <n v="1412"/>
    <d v="2025-05-02T00:00:00"/>
    <x v="4"/>
    <x v="3"/>
    <s v="Bookshelf"/>
    <x v="0"/>
    <n v="12"/>
    <n v="462.17"/>
    <n v="254.15"/>
    <n v="5546.04"/>
    <n v="3049.8"/>
    <n v="2496.2399999999998"/>
  </r>
  <r>
    <n v="1555"/>
    <d v="2025-05-02T00:00:00"/>
    <x v="0"/>
    <x v="0"/>
    <s v="Notebook"/>
    <x v="0"/>
    <n v="34"/>
    <n v="16.64"/>
    <n v="10.8"/>
    <n v="565.76"/>
    <n v="367.20000000000005"/>
    <n v="198.55999999999995"/>
  </r>
  <r>
    <n v="1701"/>
    <d v="2025-05-02T00:00:00"/>
    <x v="1"/>
    <x v="1"/>
    <s v="Laptop"/>
    <x v="1"/>
    <n v="2"/>
    <n v="290.97000000000003"/>
    <n v="187.64"/>
    <n v="581.94000000000005"/>
    <n v="375.28"/>
    <n v="206.66000000000008"/>
  </r>
  <r>
    <n v="1066"/>
    <d v="2025-05-04T00:00:00"/>
    <x v="3"/>
    <x v="1"/>
    <s v="Keyboard"/>
    <x v="4"/>
    <n v="5"/>
    <n v="544.70000000000005"/>
    <n v="401.6"/>
    <n v="2723.5"/>
    <n v="2008"/>
    <n v="715.5"/>
  </r>
  <r>
    <n v="1343"/>
    <d v="2025-05-04T00:00:00"/>
    <x v="2"/>
    <x v="0"/>
    <s v="Desk Chair"/>
    <x v="1"/>
    <n v="4"/>
    <n v="51.13"/>
    <n v="31.73"/>
    <n v="204.52"/>
    <n v="126.92"/>
    <n v="77.600000000000009"/>
  </r>
  <r>
    <n v="2503"/>
    <d v="2025-05-04T00:00:00"/>
    <x v="3"/>
    <x v="2"/>
    <s v="Cloud Storage"/>
    <x v="7"/>
    <n v="26"/>
    <n v="24.33"/>
    <n v="16.82"/>
    <n v="632.57999999999993"/>
    <n v="437.32"/>
    <n v="195.25999999999993"/>
  </r>
  <r>
    <n v="2616"/>
    <d v="2025-05-04T00:00:00"/>
    <x v="2"/>
    <x v="3"/>
    <s v="Whiteboard"/>
    <x v="1"/>
    <n v="21"/>
    <n v="123.54"/>
    <n v="83.67"/>
    <n v="2594.34"/>
    <n v="1757.07"/>
    <n v="837.27000000000021"/>
  </r>
  <r>
    <n v="1179"/>
    <d v="2025-05-05T00:00:00"/>
    <x v="0"/>
    <x v="0"/>
    <s v="Desk Lamp"/>
    <x v="0"/>
    <n v="36"/>
    <n v="10.82"/>
    <n v="6.07"/>
    <n v="389.52"/>
    <n v="218.52"/>
    <n v="170.99999999999997"/>
  </r>
  <r>
    <n v="1229"/>
    <d v="2025-05-05T00:00:00"/>
    <x v="1"/>
    <x v="2"/>
    <s v="Cloud Storage"/>
    <x v="2"/>
    <n v="24"/>
    <n v="276.02999999999997"/>
    <n v="145.56"/>
    <n v="6624.7199999999993"/>
    <n v="3493.44"/>
    <n v="3131.2799999999993"/>
  </r>
  <r>
    <n v="1847"/>
    <d v="2025-05-05T00:00:00"/>
    <x v="3"/>
    <x v="2"/>
    <s v="Antivirus License"/>
    <x v="0"/>
    <n v="8"/>
    <n v="137.06"/>
    <n v="79.489999999999995"/>
    <n v="1096.48"/>
    <n v="635.91999999999996"/>
    <n v="460.56000000000006"/>
  </r>
  <r>
    <n v="2088"/>
    <d v="2025-05-07T00:00:00"/>
    <x v="3"/>
    <x v="3"/>
    <s v="Whiteboard"/>
    <x v="1"/>
    <n v="11"/>
    <n v="124.7"/>
    <n v="73.150000000000006"/>
    <n v="1371.7"/>
    <n v="804.65000000000009"/>
    <n v="567.04999999999995"/>
  </r>
  <r>
    <n v="2168"/>
    <d v="2025-05-07T00:00:00"/>
    <x v="2"/>
    <x v="3"/>
    <s v="Bookshelf"/>
    <x v="6"/>
    <n v="29"/>
    <n v="190.38"/>
    <n v="130.65"/>
    <n v="5521.0199999999995"/>
    <n v="3788.8500000000004"/>
    <n v="1732.1699999999992"/>
  </r>
  <r>
    <n v="1515"/>
    <d v="2025-05-08T00:00:00"/>
    <x v="2"/>
    <x v="1"/>
    <s v="Headphones"/>
    <x v="7"/>
    <n v="38"/>
    <n v="422.16"/>
    <n v="284.33999999999997"/>
    <n v="16042.080000000002"/>
    <n v="10804.919999999998"/>
    <n v="5237.1600000000035"/>
  </r>
  <r>
    <n v="2659"/>
    <d v="2025-05-08T00:00:00"/>
    <x v="3"/>
    <x v="1"/>
    <s v="Headphones"/>
    <x v="2"/>
    <n v="6"/>
    <n v="157.58000000000001"/>
    <n v="97.06"/>
    <n v="945.48"/>
    <n v="582.36"/>
    <n v="363.12"/>
  </r>
  <r>
    <n v="1345"/>
    <d v="2025-05-09T00:00:00"/>
    <x v="2"/>
    <x v="1"/>
    <s v="Keyboard"/>
    <x v="4"/>
    <n v="3"/>
    <n v="113.2"/>
    <n v="71.45"/>
    <n v="339.6"/>
    <n v="214.35000000000002"/>
    <n v="125.25"/>
  </r>
  <r>
    <n v="2518"/>
    <d v="2025-05-09T00:00:00"/>
    <x v="0"/>
    <x v="3"/>
    <s v="Whiteboard"/>
    <x v="1"/>
    <n v="37"/>
    <n v="173.09"/>
    <n v="101.4"/>
    <n v="6404.33"/>
    <n v="3751.8"/>
    <n v="2652.5299999999997"/>
  </r>
  <r>
    <n v="2662"/>
    <d v="2025-05-10T00:00:00"/>
    <x v="4"/>
    <x v="1"/>
    <s v="Webcam"/>
    <x v="0"/>
    <n v="36"/>
    <n v="657.56"/>
    <n v="459.87"/>
    <n v="23672.159999999996"/>
    <n v="16555.32"/>
    <n v="7116.8399999999965"/>
  </r>
  <r>
    <n v="2752"/>
    <d v="2025-05-10T00:00:00"/>
    <x v="0"/>
    <x v="1"/>
    <s v="Webcam"/>
    <x v="1"/>
    <n v="9"/>
    <n v="427.79"/>
    <n v="250.16"/>
    <n v="3850.11"/>
    <n v="2251.44"/>
    <n v="1598.67"/>
  </r>
  <r>
    <n v="1022"/>
    <d v="2025-05-12T00:00:00"/>
    <x v="2"/>
    <x v="0"/>
    <s v="Stapler"/>
    <x v="2"/>
    <n v="11"/>
    <n v="59.16"/>
    <n v="36.31"/>
    <n v="650.76"/>
    <n v="399.41"/>
    <n v="251.34999999999997"/>
  </r>
  <r>
    <n v="2654"/>
    <d v="2025-05-12T00:00:00"/>
    <x v="3"/>
    <x v="3"/>
    <s v="Whiteboard"/>
    <x v="1"/>
    <n v="1"/>
    <n v="434.72"/>
    <n v="307.62"/>
    <n v="434.72"/>
    <n v="307.62"/>
    <n v="127.10000000000002"/>
  </r>
  <r>
    <n v="2756"/>
    <d v="2025-05-12T00:00:00"/>
    <x v="2"/>
    <x v="3"/>
    <s v="Filing Cabinet"/>
    <x v="4"/>
    <n v="19"/>
    <n v="80.5"/>
    <n v="51.55"/>
    <n v="1529.5"/>
    <n v="979.44999999999993"/>
    <n v="550.05000000000007"/>
  </r>
  <r>
    <n v="2181"/>
    <d v="2025-05-13T00:00:00"/>
    <x v="4"/>
    <x v="0"/>
    <s v="Desk Lamp"/>
    <x v="3"/>
    <n v="6"/>
    <n v="37.39"/>
    <n v="26.82"/>
    <n v="224.34"/>
    <n v="160.92000000000002"/>
    <n v="63.419999999999987"/>
  </r>
  <r>
    <n v="1672"/>
    <d v="2025-05-14T00:00:00"/>
    <x v="2"/>
    <x v="2"/>
    <s v="Cloud Storage"/>
    <x v="7"/>
    <n v="4"/>
    <n v="37.78"/>
    <n v="27.32"/>
    <n v="151.12"/>
    <n v="109.28"/>
    <n v="41.84"/>
  </r>
  <r>
    <n v="1838"/>
    <d v="2025-05-14T00:00:00"/>
    <x v="3"/>
    <x v="0"/>
    <s v="Printer Paper"/>
    <x v="7"/>
    <n v="31"/>
    <n v="20.059999999999999"/>
    <n v="14.1"/>
    <n v="621.86"/>
    <n v="437.09999999999997"/>
    <n v="184.76000000000005"/>
  </r>
  <r>
    <n v="1924"/>
    <d v="2025-05-14T00:00:00"/>
    <x v="2"/>
    <x v="2"/>
    <s v="Cloud Storage"/>
    <x v="0"/>
    <n v="21"/>
    <n v="178.8"/>
    <n v="106.12"/>
    <n v="3754.8"/>
    <n v="2228.52"/>
    <n v="1526.2800000000002"/>
  </r>
  <r>
    <n v="2221"/>
    <d v="2025-05-14T00:00:00"/>
    <x v="4"/>
    <x v="1"/>
    <s v="Keyboard"/>
    <x v="2"/>
    <n v="29"/>
    <n v="168.27"/>
    <n v="90.82"/>
    <n v="4879.83"/>
    <n v="2633.7799999999997"/>
    <n v="2246.0500000000002"/>
  </r>
  <r>
    <n v="1950"/>
    <d v="2025-05-15T00:00:00"/>
    <x v="0"/>
    <x v="2"/>
    <s v="Antivirus License"/>
    <x v="2"/>
    <n v="2"/>
    <n v="167.08"/>
    <n v="90.53"/>
    <n v="334.16"/>
    <n v="181.06"/>
    <n v="153.10000000000002"/>
  </r>
  <r>
    <n v="2222"/>
    <d v="2025-05-15T00:00:00"/>
    <x v="3"/>
    <x v="0"/>
    <s v="Desk Lamp"/>
    <x v="5"/>
    <n v="11"/>
    <n v="17.62"/>
    <n v="10.56"/>
    <n v="193.82000000000002"/>
    <n v="116.16000000000001"/>
    <n v="77.660000000000011"/>
  </r>
  <r>
    <n v="1100"/>
    <d v="2025-05-16T00:00:00"/>
    <x v="1"/>
    <x v="2"/>
    <s v="Design Tool"/>
    <x v="2"/>
    <n v="24"/>
    <n v="121.55"/>
    <n v="90.58"/>
    <n v="2917.2"/>
    <n v="2173.92"/>
    <n v="743.27999999999975"/>
  </r>
  <r>
    <n v="1241"/>
    <d v="2025-05-16T00:00:00"/>
    <x v="4"/>
    <x v="0"/>
    <s v="Notebook"/>
    <x v="5"/>
    <n v="29"/>
    <n v="52.33"/>
    <n v="28.72"/>
    <n v="1517.57"/>
    <n v="832.88"/>
    <n v="684.68999999999994"/>
  </r>
  <r>
    <n v="1249"/>
    <d v="2025-05-16T00:00:00"/>
    <x v="0"/>
    <x v="3"/>
    <s v="Whiteboard"/>
    <x v="6"/>
    <n v="29"/>
    <n v="402.93"/>
    <n v="276.99"/>
    <n v="11684.97"/>
    <n v="8032.71"/>
    <n v="3652.2599999999993"/>
  </r>
  <r>
    <n v="2061"/>
    <d v="2025-05-16T00:00:00"/>
    <x v="4"/>
    <x v="1"/>
    <s v="Webcam"/>
    <x v="6"/>
    <n v="23"/>
    <n v="209.53"/>
    <n v="122.89"/>
    <n v="4819.1899999999996"/>
    <n v="2826.47"/>
    <n v="1992.7199999999998"/>
  </r>
  <r>
    <n v="1544"/>
    <d v="2025-05-17T00:00:00"/>
    <x v="2"/>
    <x v="2"/>
    <s v="Cloud Storage"/>
    <x v="3"/>
    <n v="35"/>
    <n v="238.35"/>
    <n v="126.4"/>
    <n v="8342.25"/>
    <n v="4424"/>
    <n v="3918.25"/>
  </r>
  <r>
    <n v="1660"/>
    <d v="2025-05-17T00:00:00"/>
    <x v="2"/>
    <x v="3"/>
    <s v="Bookshelf"/>
    <x v="5"/>
    <n v="7"/>
    <n v="285.64"/>
    <n v="176.84"/>
    <n v="1999.48"/>
    <n v="1237.8800000000001"/>
    <n v="761.59999999999991"/>
  </r>
  <r>
    <n v="2065"/>
    <d v="2025-05-17T00:00:00"/>
    <x v="0"/>
    <x v="2"/>
    <s v="Antivirus License"/>
    <x v="2"/>
    <n v="24"/>
    <n v="226.13"/>
    <n v="162.30000000000001"/>
    <n v="5427.12"/>
    <n v="3895.2000000000003"/>
    <n v="1531.9199999999996"/>
  </r>
  <r>
    <n v="2212"/>
    <d v="2025-05-17T00:00:00"/>
    <x v="0"/>
    <x v="2"/>
    <s v="Antivirus License"/>
    <x v="5"/>
    <n v="4"/>
    <n v="274.70999999999998"/>
    <n v="185.95"/>
    <n v="1098.8399999999999"/>
    <n v="743.8"/>
    <n v="355.03999999999996"/>
  </r>
  <r>
    <n v="2268"/>
    <d v="2025-05-17T00:00:00"/>
    <x v="3"/>
    <x v="3"/>
    <s v="Bookshelf"/>
    <x v="5"/>
    <n v="20"/>
    <n v="131.18"/>
    <n v="74.83"/>
    <n v="2623.6000000000004"/>
    <n v="1496.6"/>
    <n v="1127.0000000000005"/>
  </r>
  <r>
    <n v="2346"/>
    <d v="2025-05-17T00:00:00"/>
    <x v="2"/>
    <x v="2"/>
    <s v="Cloud Storage"/>
    <x v="3"/>
    <n v="28"/>
    <n v="299.19"/>
    <n v="185.39"/>
    <n v="8377.32"/>
    <n v="5190.92"/>
    <n v="3186.3999999999996"/>
  </r>
  <r>
    <n v="1075"/>
    <d v="2025-05-18T00:00:00"/>
    <x v="3"/>
    <x v="2"/>
    <s v="Design Tool"/>
    <x v="6"/>
    <n v="22"/>
    <n v="135.26"/>
    <n v="84.38"/>
    <n v="2975.72"/>
    <n v="1856.36"/>
    <n v="1119.3599999999999"/>
  </r>
  <r>
    <n v="1637"/>
    <d v="2025-05-18T00:00:00"/>
    <x v="2"/>
    <x v="2"/>
    <s v="Design Tool"/>
    <x v="6"/>
    <n v="7"/>
    <n v="118.52"/>
    <n v="77.099999999999994"/>
    <n v="829.64"/>
    <n v="539.69999999999993"/>
    <n v="289.94000000000005"/>
  </r>
  <r>
    <n v="1849"/>
    <d v="2025-05-18T00:00:00"/>
    <x v="4"/>
    <x v="3"/>
    <s v="Filing Cabinet"/>
    <x v="3"/>
    <n v="7"/>
    <n v="403.59"/>
    <n v="238.18"/>
    <n v="2825.1299999999997"/>
    <n v="1667.26"/>
    <n v="1157.8699999999997"/>
  </r>
  <r>
    <n v="2744"/>
    <d v="2025-05-18T00:00:00"/>
    <x v="4"/>
    <x v="1"/>
    <s v="Monitor"/>
    <x v="2"/>
    <n v="32"/>
    <n v="621.96"/>
    <n v="329.95"/>
    <n v="19902.72"/>
    <n v="10558.4"/>
    <n v="9344.3200000000015"/>
  </r>
  <r>
    <n v="1592"/>
    <d v="2025-05-19T00:00:00"/>
    <x v="3"/>
    <x v="3"/>
    <s v="Whiteboard"/>
    <x v="6"/>
    <n v="17"/>
    <n v="371.58"/>
    <n v="233.4"/>
    <n v="6316.86"/>
    <n v="3967.8"/>
    <n v="2349.0599999999995"/>
  </r>
  <r>
    <n v="1612"/>
    <d v="2025-05-19T00:00:00"/>
    <x v="2"/>
    <x v="0"/>
    <s v="Printer Paper"/>
    <x v="4"/>
    <n v="32"/>
    <n v="33.92"/>
    <n v="17.11"/>
    <n v="1085.44"/>
    <n v="547.52"/>
    <n v="537.92000000000007"/>
  </r>
  <r>
    <n v="2713"/>
    <d v="2025-05-19T00:00:00"/>
    <x v="1"/>
    <x v="1"/>
    <s v="Webcam"/>
    <x v="6"/>
    <n v="10"/>
    <n v="597.15"/>
    <n v="396.81"/>
    <n v="5971.5"/>
    <n v="3968.1"/>
    <n v="2003.4"/>
  </r>
  <r>
    <n v="1273"/>
    <d v="2025-05-20T00:00:00"/>
    <x v="0"/>
    <x v="0"/>
    <s v="Notebook"/>
    <x v="2"/>
    <n v="27"/>
    <n v="33.869999999999997"/>
    <n v="17.02"/>
    <n v="914.4899999999999"/>
    <n v="459.53999999999996"/>
    <n v="454.94999999999993"/>
  </r>
  <r>
    <n v="1653"/>
    <d v="2025-05-21T00:00:00"/>
    <x v="3"/>
    <x v="2"/>
    <s v="Design Tool"/>
    <x v="4"/>
    <n v="30"/>
    <n v="54.62"/>
    <n v="28.59"/>
    <n v="1638.6"/>
    <n v="857.7"/>
    <n v="780.89999999999986"/>
  </r>
  <r>
    <n v="2335"/>
    <d v="2025-05-21T00:00:00"/>
    <x v="2"/>
    <x v="3"/>
    <s v="Whiteboard"/>
    <x v="7"/>
    <n v="18"/>
    <n v="492.31"/>
    <n v="304.79000000000002"/>
    <n v="8861.58"/>
    <n v="5486.22"/>
    <n v="3375.3599999999997"/>
  </r>
  <r>
    <n v="2592"/>
    <d v="2025-05-21T00:00:00"/>
    <x v="1"/>
    <x v="0"/>
    <s v="Notebook"/>
    <x v="4"/>
    <n v="19"/>
    <n v="49.08"/>
    <n v="33.409999999999997"/>
    <n v="932.52"/>
    <n v="634.79"/>
    <n v="297.73"/>
  </r>
  <r>
    <n v="1183"/>
    <d v="2025-05-22T00:00:00"/>
    <x v="0"/>
    <x v="3"/>
    <s v="Office Desk"/>
    <x v="2"/>
    <n v="20"/>
    <n v="492.86"/>
    <n v="368.3"/>
    <n v="9857.2000000000007"/>
    <n v="7366"/>
    <n v="2491.2000000000007"/>
  </r>
  <r>
    <n v="1224"/>
    <d v="2025-05-22T00:00:00"/>
    <x v="1"/>
    <x v="0"/>
    <s v="Stapler"/>
    <x v="3"/>
    <n v="9"/>
    <n v="57.08"/>
    <n v="40.01"/>
    <n v="513.72"/>
    <n v="360.09"/>
    <n v="153.63000000000005"/>
  </r>
  <r>
    <n v="1148"/>
    <d v="2025-05-23T00:00:00"/>
    <x v="2"/>
    <x v="3"/>
    <s v="Filing Cabinet"/>
    <x v="3"/>
    <n v="28"/>
    <n v="425.38"/>
    <n v="246.85"/>
    <n v="11910.64"/>
    <n v="6911.8"/>
    <n v="4998.8399999999992"/>
  </r>
  <r>
    <n v="1296"/>
    <d v="2025-05-23T00:00:00"/>
    <x v="0"/>
    <x v="3"/>
    <s v="Office Desk"/>
    <x v="7"/>
    <n v="23"/>
    <n v="451.83"/>
    <n v="306"/>
    <n v="10392.09"/>
    <n v="7038"/>
    <n v="3354.09"/>
  </r>
  <r>
    <n v="2566"/>
    <d v="2025-05-23T00:00:00"/>
    <x v="1"/>
    <x v="2"/>
    <s v="Design Tool"/>
    <x v="6"/>
    <n v="20"/>
    <n v="237.95"/>
    <n v="139.68"/>
    <n v="4759"/>
    <n v="2793.6000000000004"/>
    <n v="1965.3999999999996"/>
  </r>
  <r>
    <n v="2579"/>
    <d v="2025-05-23T00:00:00"/>
    <x v="2"/>
    <x v="2"/>
    <s v="Office Suite"/>
    <x v="3"/>
    <n v="13"/>
    <n v="136.08000000000001"/>
    <n v="88.55"/>
    <n v="1769.0400000000002"/>
    <n v="1151.1499999999999"/>
    <n v="617.89000000000033"/>
  </r>
  <r>
    <n v="1558"/>
    <d v="2025-05-24T00:00:00"/>
    <x v="0"/>
    <x v="0"/>
    <s v="Desk Chair"/>
    <x v="2"/>
    <n v="24"/>
    <n v="27.78"/>
    <n v="19.16"/>
    <n v="666.72"/>
    <n v="459.84000000000003"/>
    <n v="206.88"/>
  </r>
  <r>
    <n v="2215"/>
    <d v="2025-05-24T00:00:00"/>
    <x v="4"/>
    <x v="1"/>
    <s v="Webcam"/>
    <x v="2"/>
    <n v="13"/>
    <n v="855.3"/>
    <n v="543.71"/>
    <n v="11118.9"/>
    <n v="7068.2300000000005"/>
    <n v="4050.6699999999992"/>
  </r>
  <r>
    <n v="2702"/>
    <d v="2025-05-24T00:00:00"/>
    <x v="4"/>
    <x v="0"/>
    <s v="Desk Chair"/>
    <x v="7"/>
    <n v="24"/>
    <n v="5.36"/>
    <n v="2.81"/>
    <n v="128.64000000000001"/>
    <n v="67.44"/>
    <n v="61.200000000000017"/>
  </r>
  <r>
    <n v="1611"/>
    <d v="2025-05-25T00:00:00"/>
    <x v="3"/>
    <x v="0"/>
    <s v="Stapler"/>
    <x v="5"/>
    <n v="10"/>
    <n v="38.520000000000003"/>
    <n v="24.27"/>
    <n v="385.20000000000005"/>
    <n v="242.7"/>
    <n v="142.50000000000006"/>
  </r>
  <r>
    <n v="1740"/>
    <d v="2025-05-25T00:00:00"/>
    <x v="1"/>
    <x v="2"/>
    <s v="Office Suite"/>
    <x v="5"/>
    <n v="24"/>
    <n v="152.65"/>
    <n v="98.5"/>
    <n v="3663.6000000000004"/>
    <n v="2364"/>
    <n v="1299.6000000000004"/>
  </r>
  <r>
    <n v="2103"/>
    <d v="2025-05-25T00:00:00"/>
    <x v="0"/>
    <x v="0"/>
    <s v="Stapler"/>
    <x v="0"/>
    <n v="26"/>
    <n v="51.58"/>
    <n v="33.03"/>
    <n v="1341.08"/>
    <n v="858.78"/>
    <n v="482.29999999999995"/>
  </r>
  <r>
    <n v="1009"/>
    <d v="2025-05-26T00:00:00"/>
    <x v="2"/>
    <x v="2"/>
    <s v="Office Suite"/>
    <x v="0"/>
    <n v="9"/>
    <n v="183.68"/>
    <n v="133.07"/>
    <n v="1653.1200000000001"/>
    <n v="1197.6299999999999"/>
    <n v="455.49000000000024"/>
  </r>
  <r>
    <n v="1142"/>
    <d v="2025-05-26T00:00:00"/>
    <x v="1"/>
    <x v="1"/>
    <s v="Webcam"/>
    <x v="7"/>
    <n v="10"/>
    <n v="304.67"/>
    <n v="166.6"/>
    <n v="3046.7000000000003"/>
    <n v="1666"/>
    <n v="1380.7000000000003"/>
  </r>
  <r>
    <n v="1556"/>
    <d v="2025-05-26T00:00:00"/>
    <x v="1"/>
    <x v="1"/>
    <s v="Headphones"/>
    <x v="5"/>
    <n v="27"/>
    <n v="63.84"/>
    <n v="33.450000000000003"/>
    <n v="1723.68"/>
    <n v="903.15000000000009"/>
    <n v="820.53"/>
  </r>
  <r>
    <n v="2499"/>
    <d v="2025-05-26T00:00:00"/>
    <x v="1"/>
    <x v="0"/>
    <s v="Notebook"/>
    <x v="3"/>
    <n v="1"/>
    <n v="39.43"/>
    <n v="25.52"/>
    <n v="39.43"/>
    <n v="25.52"/>
    <n v="13.91"/>
  </r>
  <r>
    <n v="2795"/>
    <d v="2025-05-26T00:00:00"/>
    <x v="1"/>
    <x v="3"/>
    <s v="Office Desk"/>
    <x v="0"/>
    <n v="30"/>
    <n v="441.28"/>
    <n v="262.29000000000002"/>
    <n v="13238.4"/>
    <n v="7868.7000000000007"/>
    <n v="5369.6999999999989"/>
  </r>
  <r>
    <n v="1573"/>
    <d v="2025-05-28T00:00:00"/>
    <x v="1"/>
    <x v="1"/>
    <s v="Keyboard"/>
    <x v="0"/>
    <n v="29"/>
    <n v="581.6"/>
    <n v="427.6"/>
    <n v="16866.400000000001"/>
    <n v="12400.400000000001"/>
    <n v="4466"/>
  </r>
  <r>
    <n v="1806"/>
    <d v="2025-05-29T00:00:00"/>
    <x v="3"/>
    <x v="3"/>
    <s v="Whiteboard"/>
    <x v="7"/>
    <n v="32"/>
    <n v="104.7"/>
    <n v="56.35"/>
    <n v="3350.4"/>
    <n v="1803.2"/>
    <n v="1547.2"/>
  </r>
  <r>
    <n v="1845"/>
    <d v="2025-05-29T00:00:00"/>
    <x v="1"/>
    <x v="0"/>
    <s v="Notebook"/>
    <x v="1"/>
    <n v="15"/>
    <n v="25.87"/>
    <n v="13.88"/>
    <n v="388.05"/>
    <n v="208.20000000000002"/>
    <n v="179.85"/>
  </r>
  <r>
    <n v="1974"/>
    <d v="2025-05-30T00:00:00"/>
    <x v="0"/>
    <x v="3"/>
    <s v="Whiteboard"/>
    <x v="3"/>
    <n v="12"/>
    <n v="382.07"/>
    <n v="259.35000000000002"/>
    <n v="4584.84"/>
    <n v="3112.2000000000003"/>
    <n v="1472.6399999999999"/>
  </r>
  <r>
    <n v="1454"/>
    <d v="2025-05-31T00:00:00"/>
    <x v="4"/>
    <x v="0"/>
    <s v="Desk Lamp"/>
    <x v="4"/>
    <n v="23"/>
    <n v="34.35"/>
    <n v="20.72"/>
    <n v="790.05000000000007"/>
    <n v="476.55999999999995"/>
    <n v="313.49000000000012"/>
  </r>
  <r>
    <n v="1462"/>
    <d v="2025-05-31T00:00:00"/>
    <x v="3"/>
    <x v="0"/>
    <s v="Stapler"/>
    <x v="0"/>
    <n v="26"/>
    <n v="22.16"/>
    <n v="14.12"/>
    <n v="576.16"/>
    <n v="367.12"/>
    <n v="209.03999999999996"/>
  </r>
  <r>
    <n v="1914"/>
    <d v="2025-05-31T00:00:00"/>
    <x v="3"/>
    <x v="2"/>
    <s v="Design Tool"/>
    <x v="1"/>
    <n v="21"/>
    <n v="196.09"/>
    <n v="127.13"/>
    <n v="4117.8900000000003"/>
    <n v="2669.73"/>
    <n v="1448.1600000000003"/>
  </r>
  <r>
    <n v="1210"/>
    <d v="2025-06-01T00:00:00"/>
    <x v="2"/>
    <x v="3"/>
    <s v="Office Desk"/>
    <x v="4"/>
    <n v="32"/>
    <n v="252.76"/>
    <n v="172.02"/>
    <n v="8088.32"/>
    <n v="5504.64"/>
    <n v="2583.6799999999994"/>
  </r>
  <r>
    <n v="1276"/>
    <d v="2025-06-01T00:00:00"/>
    <x v="0"/>
    <x v="2"/>
    <s v="Antivirus License"/>
    <x v="2"/>
    <n v="28"/>
    <n v="258.26"/>
    <n v="188.92"/>
    <n v="7231.28"/>
    <n v="5289.7599999999993"/>
    <n v="1941.5200000000004"/>
  </r>
  <r>
    <n v="1969"/>
    <d v="2025-06-01T00:00:00"/>
    <x v="2"/>
    <x v="2"/>
    <s v="Antivirus License"/>
    <x v="3"/>
    <n v="20"/>
    <n v="255.68"/>
    <n v="162.79"/>
    <n v="5113.6000000000004"/>
    <n v="3255.7999999999997"/>
    <n v="1857.8000000000006"/>
  </r>
  <r>
    <n v="2370"/>
    <d v="2025-06-01T00:00:00"/>
    <x v="4"/>
    <x v="2"/>
    <s v="Cloud Storage"/>
    <x v="6"/>
    <n v="37"/>
    <n v="154.72999999999999"/>
    <n v="113.28"/>
    <n v="5725.0099999999993"/>
    <n v="4191.3599999999997"/>
    <n v="1533.6499999999996"/>
  </r>
  <r>
    <n v="1263"/>
    <d v="2025-06-02T00:00:00"/>
    <x v="4"/>
    <x v="2"/>
    <s v="Cloud Storage"/>
    <x v="6"/>
    <n v="6"/>
    <n v="43.41"/>
    <n v="22.56"/>
    <n v="260.45999999999998"/>
    <n v="135.35999999999999"/>
    <n v="125.1"/>
  </r>
  <r>
    <n v="2155"/>
    <d v="2025-06-02T00:00:00"/>
    <x v="1"/>
    <x v="1"/>
    <s v="Monitor"/>
    <x v="7"/>
    <n v="8"/>
    <n v="850.18"/>
    <n v="513.32000000000005"/>
    <n v="6801.44"/>
    <n v="4106.5600000000004"/>
    <n v="2694.8799999999992"/>
  </r>
  <r>
    <n v="2192"/>
    <d v="2025-06-02T00:00:00"/>
    <x v="1"/>
    <x v="3"/>
    <s v="Bookshelf"/>
    <x v="6"/>
    <n v="40"/>
    <n v="118.03"/>
    <n v="84.89"/>
    <n v="4721.2"/>
    <n v="3395.6"/>
    <n v="1325.6"/>
  </r>
  <r>
    <n v="1382"/>
    <d v="2025-06-03T00:00:00"/>
    <x v="3"/>
    <x v="2"/>
    <s v="Office Suite"/>
    <x v="2"/>
    <n v="36"/>
    <n v="203.09"/>
    <n v="109.09"/>
    <n v="7311.24"/>
    <n v="3927.2400000000002"/>
    <n v="3383.9999999999995"/>
  </r>
  <r>
    <n v="2475"/>
    <d v="2025-06-03T00:00:00"/>
    <x v="4"/>
    <x v="1"/>
    <s v="Headphones"/>
    <x v="0"/>
    <n v="37"/>
    <n v="212.69"/>
    <n v="137.34"/>
    <n v="7869.53"/>
    <n v="5081.58"/>
    <n v="2787.95"/>
  </r>
  <r>
    <n v="2796"/>
    <d v="2025-06-03T00:00:00"/>
    <x v="4"/>
    <x v="1"/>
    <s v="Webcam"/>
    <x v="5"/>
    <n v="13"/>
    <n v="721.94"/>
    <n v="393.76"/>
    <n v="9385.2200000000012"/>
    <n v="5118.88"/>
    <n v="4266.3400000000011"/>
  </r>
  <r>
    <n v="1156"/>
    <d v="2025-06-04T00:00:00"/>
    <x v="0"/>
    <x v="1"/>
    <s v="Monitor"/>
    <x v="1"/>
    <n v="16"/>
    <n v="723.91"/>
    <n v="507.4"/>
    <n v="11582.56"/>
    <n v="8118.4"/>
    <n v="3464.16"/>
  </r>
  <r>
    <n v="2183"/>
    <d v="2025-06-04T00:00:00"/>
    <x v="4"/>
    <x v="2"/>
    <s v="Design Tool"/>
    <x v="5"/>
    <n v="6"/>
    <n v="184.02"/>
    <n v="102.19"/>
    <n v="1104.1200000000001"/>
    <n v="613.14"/>
    <n v="490.98000000000013"/>
  </r>
  <r>
    <n v="1080"/>
    <d v="2025-06-05T00:00:00"/>
    <x v="4"/>
    <x v="2"/>
    <s v="Cloud Storage"/>
    <x v="4"/>
    <n v="16"/>
    <n v="187.83"/>
    <n v="128.96"/>
    <n v="3005.28"/>
    <n v="2063.36"/>
    <n v="941.92000000000007"/>
  </r>
  <r>
    <n v="2252"/>
    <d v="2025-06-05T00:00:00"/>
    <x v="3"/>
    <x v="1"/>
    <s v="Monitor"/>
    <x v="3"/>
    <n v="16"/>
    <n v="122.51"/>
    <n v="85.11"/>
    <n v="1960.16"/>
    <n v="1361.76"/>
    <n v="598.40000000000009"/>
  </r>
  <r>
    <n v="1405"/>
    <d v="2025-06-06T00:00:00"/>
    <x v="1"/>
    <x v="0"/>
    <s v="Desk Lamp"/>
    <x v="1"/>
    <n v="3"/>
    <n v="40.340000000000003"/>
    <n v="22.95"/>
    <n v="121.02000000000001"/>
    <n v="68.849999999999994"/>
    <n v="52.170000000000016"/>
  </r>
  <r>
    <n v="1710"/>
    <d v="2025-06-06T00:00:00"/>
    <x v="4"/>
    <x v="1"/>
    <s v="Monitor"/>
    <x v="3"/>
    <n v="20"/>
    <n v="135.36000000000001"/>
    <n v="101.48"/>
    <n v="2707.2000000000003"/>
    <n v="2029.6000000000001"/>
    <n v="677.60000000000014"/>
  </r>
  <r>
    <n v="1244"/>
    <d v="2025-06-07T00:00:00"/>
    <x v="3"/>
    <x v="1"/>
    <s v="Headphones"/>
    <x v="5"/>
    <n v="35"/>
    <n v="750.99"/>
    <n v="561.32000000000005"/>
    <n v="26284.65"/>
    <n v="19646.2"/>
    <n v="6638.4500000000007"/>
  </r>
  <r>
    <n v="1487"/>
    <d v="2025-06-07T00:00:00"/>
    <x v="1"/>
    <x v="0"/>
    <s v="Stapler"/>
    <x v="6"/>
    <n v="3"/>
    <n v="55"/>
    <n v="29.56"/>
    <n v="165"/>
    <n v="88.679999999999993"/>
    <n v="76.320000000000007"/>
  </r>
  <r>
    <n v="2008"/>
    <d v="2025-06-07T00:00:00"/>
    <x v="3"/>
    <x v="0"/>
    <s v="Notebook"/>
    <x v="5"/>
    <n v="37"/>
    <n v="49.89"/>
    <n v="35.869999999999997"/>
    <n v="1845.93"/>
    <n v="1327.1899999999998"/>
    <n v="518.74000000000024"/>
  </r>
  <r>
    <n v="2112"/>
    <d v="2025-06-07T00:00:00"/>
    <x v="0"/>
    <x v="0"/>
    <s v="Stapler"/>
    <x v="5"/>
    <n v="16"/>
    <n v="56.42"/>
    <n v="32.340000000000003"/>
    <n v="902.72"/>
    <n v="517.44000000000005"/>
    <n v="385.28"/>
  </r>
  <r>
    <n v="1357"/>
    <d v="2025-06-08T00:00:00"/>
    <x v="4"/>
    <x v="3"/>
    <s v="Bookshelf"/>
    <x v="7"/>
    <n v="14"/>
    <n v="225.02"/>
    <n v="167.72"/>
    <n v="3150.28"/>
    <n v="2348.08"/>
    <n v="802.20000000000027"/>
  </r>
  <r>
    <n v="1921"/>
    <d v="2025-06-08T00:00:00"/>
    <x v="0"/>
    <x v="0"/>
    <s v="Printer Paper"/>
    <x v="3"/>
    <n v="14"/>
    <n v="10.9"/>
    <n v="5.79"/>
    <n v="152.6"/>
    <n v="81.06"/>
    <n v="71.539999999999992"/>
  </r>
  <r>
    <n v="2146"/>
    <d v="2025-06-08T00:00:00"/>
    <x v="4"/>
    <x v="1"/>
    <s v="Webcam"/>
    <x v="6"/>
    <n v="3"/>
    <n v="866.22"/>
    <n v="494.32"/>
    <n v="2598.66"/>
    <n v="1482.96"/>
    <n v="1115.6999999999998"/>
  </r>
  <r>
    <n v="1280"/>
    <d v="2025-06-09T00:00:00"/>
    <x v="3"/>
    <x v="3"/>
    <s v="Filing Cabinet"/>
    <x v="1"/>
    <n v="2"/>
    <n v="313.5"/>
    <n v="164.17"/>
    <n v="627"/>
    <n v="328.34"/>
    <n v="298.66000000000003"/>
  </r>
  <r>
    <n v="2363"/>
    <d v="2025-06-10T00:00:00"/>
    <x v="3"/>
    <x v="1"/>
    <s v="Monitor"/>
    <x v="6"/>
    <n v="22"/>
    <n v="614.91999999999996"/>
    <n v="329.32"/>
    <n v="13528.24"/>
    <n v="7245.04"/>
    <n v="6283.2"/>
  </r>
  <r>
    <n v="1171"/>
    <d v="2025-06-11T00:00:00"/>
    <x v="0"/>
    <x v="3"/>
    <s v="Filing Cabinet"/>
    <x v="1"/>
    <n v="26"/>
    <n v="205.68"/>
    <n v="145.43"/>
    <n v="5347.68"/>
    <n v="3781.1800000000003"/>
    <n v="1566.5"/>
  </r>
  <r>
    <n v="1812"/>
    <d v="2025-06-11T00:00:00"/>
    <x v="4"/>
    <x v="2"/>
    <s v="Office Suite"/>
    <x v="6"/>
    <n v="16"/>
    <n v="212.64"/>
    <n v="157.06"/>
    <n v="3402.24"/>
    <n v="2512.96"/>
    <n v="889.27999999999975"/>
  </r>
  <r>
    <n v="1683"/>
    <d v="2025-06-12T00:00:00"/>
    <x v="4"/>
    <x v="1"/>
    <s v="Keyboard"/>
    <x v="1"/>
    <n v="1"/>
    <n v="662.81"/>
    <n v="397.96"/>
    <n v="662.81"/>
    <n v="397.96"/>
    <n v="264.84999999999997"/>
  </r>
  <r>
    <n v="1369"/>
    <d v="2025-06-13T00:00:00"/>
    <x v="4"/>
    <x v="2"/>
    <s v="Cloud Storage"/>
    <x v="2"/>
    <n v="19"/>
    <n v="285.5"/>
    <n v="154.69999999999999"/>
    <n v="5424.5"/>
    <n v="2939.2999999999997"/>
    <n v="2485.2000000000003"/>
  </r>
  <r>
    <n v="2636"/>
    <d v="2025-06-13T00:00:00"/>
    <x v="1"/>
    <x v="1"/>
    <s v="Webcam"/>
    <x v="7"/>
    <n v="11"/>
    <n v="182.39"/>
    <n v="99.21"/>
    <n v="2006.29"/>
    <n v="1091.31"/>
    <n v="914.98"/>
  </r>
  <r>
    <n v="2229"/>
    <d v="2025-06-14T00:00:00"/>
    <x v="1"/>
    <x v="1"/>
    <s v="Webcam"/>
    <x v="1"/>
    <n v="21"/>
    <n v="371.11"/>
    <n v="220.92"/>
    <n v="7793.31"/>
    <n v="4639.32"/>
    <n v="3153.9900000000007"/>
  </r>
  <r>
    <n v="1160"/>
    <d v="2025-06-15T00:00:00"/>
    <x v="4"/>
    <x v="1"/>
    <s v="Headphones"/>
    <x v="7"/>
    <n v="36"/>
    <n v="290.54000000000002"/>
    <n v="191.83"/>
    <n v="10459.44"/>
    <n v="6905.88"/>
    <n v="3553.5600000000004"/>
  </r>
  <r>
    <n v="2547"/>
    <d v="2025-06-15T00:00:00"/>
    <x v="0"/>
    <x v="0"/>
    <s v="Notebook"/>
    <x v="2"/>
    <n v="7"/>
    <n v="23.77"/>
    <n v="12.21"/>
    <n v="166.39"/>
    <n v="85.47"/>
    <n v="80.919999999999987"/>
  </r>
  <r>
    <n v="1685"/>
    <d v="2025-06-16T00:00:00"/>
    <x v="4"/>
    <x v="2"/>
    <s v="Cloud Storage"/>
    <x v="0"/>
    <n v="21"/>
    <n v="167.78"/>
    <n v="122.5"/>
    <n v="3523.38"/>
    <n v="2572.5"/>
    <n v="950.88000000000011"/>
  </r>
  <r>
    <n v="1793"/>
    <d v="2025-06-16T00:00:00"/>
    <x v="4"/>
    <x v="2"/>
    <s v="Cloud Storage"/>
    <x v="5"/>
    <n v="39"/>
    <n v="299.83999999999997"/>
    <n v="211.15"/>
    <n v="11693.759999999998"/>
    <n v="8234.85"/>
    <n v="3458.909999999998"/>
  </r>
  <r>
    <n v="1956"/>
    <d v="2025-06-16T00:00:00"/>
    <x v="4"/>
    <x v="1"/>
    <s v="Keyboard"/>
    <x v="4"/>
    <n v="37"/>
    <n v="873.25"/>
    <n v="545.54999999999995"/>
    <n v="32310.25"/>
    <n v="20185.349999999999"/>
    <n v="12124.900000000001"/>
  </r>
  <r>
    <n v="2435"/>
    <d v="2025-06-16T00:00:00"/>
    <x v="1"/>
    <x v="3"/>
    <s v="Whiteboard"/>
    <x v="1"/>
    <n v="39"/>
    <n v="480.52"/>
    <n v="313.64999999999998"/>
    <n v="18740.28"/>
    <n v="12232.349999999999"/>
    <n v="6507.93"/>
  </r>
  <r>
    <n v="1996"/>
    <d v="2025-06-17T00:00:00"/>
    <x v="0"/>
    <x v="3"/>
    <s v="Bookshelf"/>
    <x v="3"/>
    <n v="24"/>
    <n v="95.06"/>
    <n v="57.99"/>
    <n v="2281.44"/>
    <n v="1391.76"/>
    <n v="889.68000000000006"/>
  </r>
  <r>
    <n v="2663"/>
    <d v="2025-06-18T00:00:00"/>
    <x v="2"/>
    <x v="2"/>
    <s v="Office Suite"/>
    <x v="6"/>
    <n v="23"/>
    <n v="234.48"/>
    <n v="141.47"/>
    <n v="5393.04"/>
    <n v="3253.81"/>
    <n v="2139.23"/>
  </r>
  <r>
    <n v="2694"/>
    <d v="2025-06-18T00:00:00"/>
    <x v="1"/>
    <x v="2"/>
    <s v="Antivirus License"/>
    <x v="5"/>
    <n v="37"/>
    <n v="142.22999999999999"/>
    <n v="90.16"/>
    <n v="5262.5099999999993"/>
    <n v="3335.92"/>
    <n v="1926.5899999999992"/>
  </r>
  <r>
    <n v="1266"/>
    <d v="2025-06-19T00:00:00"/>
    <x v="1"/>
    <x v="3"/>
    <s v="Bookshelf"/>
    <x v="5"/>
    <n v="9"/>
    <n v="387.83"/>
    <n v="281.17"/>
    <n v="3490.47"/>
    <n v="2530.5300000000002"/>
    <n v="959.9399999999996"/>
  </r>
  <r>
    <n v="1338"/>
    <d v="2025-06-19T00:00:00"/>
    <x v="0"/>
    <x v="3"/>
    <s v="Whiteboard"/>
    <x v="0"/>
    <n v="11"/>
    <n v="167.23"/>
    <n v="97.44"/>
    <n v="1839.53"/>
    <n v="1071.8399999999999"/>
    <n v="767.69"/>
  </r>
  <r>
    <n v="1468"/>
    <d v="2025-06-19T00:00:00"/>
    <x v="4"/>
    <x v="2"/>
    <s v="Office Suite"/>
    <x v="2"/>
    <n v="25"/>
    <n v="67.69"/>
    <n v="38.65"/>
    <n v="1692.25"/>
    <n v="966.25"/>
    <n v="726"/>
  </r>
  <r>
    <n v="1907"/>
    <d v="2025-06-19T00:00:00"/>
    <x v="4"/>
    <x v="1"/>
    <s v="Monitor"/>
    <x v="4"/>
    <n v="28"/>
    <n v="373.42"/>
    <n v="213.32"/>
    <n v="10455.76"/>
    <n v="5972.96"/>
    <n v="4482.8"/>
  </r>
  <r>
    <n v="2052"/>
    <d v="2025-06-19T00:00:00"/>
    <x v="0"/>
    <x v="3"/>
    <s v="Filing Cabinet"/>
    <x v="4"/>
    <n v="30"/>
    <n v="393.64"/>
    <n v="288.13"/>
    <n v="11809.199999999999"/>
    <n v="8643.9"/>
    <n v="3165.2999999999993"/>
  </r>
  <r>
    <n v="1448"/>
    <d v="2025-06-20T00:00:00"/>
    <x v="2"/>
    <x v="0"/>
    <s v="Desk Lamp"/>
    <x v="0"/>
    <n v="21"/>
    <n v="21.36"/>
    <n v="10.91"/>
    <n v="448.56"/>
    <n v="229.11"/>
    <n v="219.45"/>
  </r>
  <r>
    <n v="1464"/>
    <d v="2025-06-20T00:00:00"/>
    <x v="0"/>
    <x v="0"/>
    <s v="Desk Chair"/>
    <x v="0"/>
    <n v="28"/>
    <n v="55.68"/>
    <n v="33.74"/>
    <n v="1559.04"/>
    <n v="944.72"/>
    <n v="614.31999999999994"/>
  </r>
  <r>
    <n v="2081"/>
    <d v="2025-06-20T00:00:00"/>
    <x v="0"/>
    <x v="0"/>
    <s v="Notebook"/>
    <x v="5"/>
    <n v="4"/>
    <n v="20.63"/>
    <n v="12.68"/>
    <n v="82.52"/>
    <n v="50.72"/>
    <n v="31.799999999999997"/>
  </r>
  <r>
    <n v="2096"/>
    <d v="2025-06-20T00:00:00"/>
    <x v="1"/>
    <x v="2"/>
    <s v="Antivirus License"/>
    <x v="3"/>
    <n v="21"/>
    <n v="198.59"/>
    <n v="143.09"/>
    <n v="4170.3900000000003"/>
    <n v="3004.89"/>
    <n v="1165.5000000000005"/>
  </r>
  <r>
    <n v="2125"/>
    <d v="2025-06-20T00:00:00"/>
    <x v="0"/>
    <x v="0"/>
    <s v="Printer Paper"/>
    <x v="2"/>
    <n v="26"/>
    <n v="57.27"/>
    <n v="42.4"/>
    <n v="1489.02"/>
    <n v="1102.3999999999999"/>
    <n v="386.62000000000012"/>
  </r>
  <r>
    <n v="1537"/>
    <d v="2025-06-21T00:00:00"/>
    <x v="3"/>
    <x v="2"/>
    <s v="Design Tool"/>
    <x v="7"/>
    <n v="19"/>
    <n v="35.93"/>
    <n v="23.3"/>
    <n v="682.67"/>
    <n v="442.7"/>
    <n v="239.96999999999997"/>
  </r>
  <r>
    <n v="2355"/>
    <d v="2025-06-21T00:00:00"/>
    <x v="2"/>
    <x v="3"/>
    <s v="Whiteboard"/>
    <x v="0"/>
    <n v="34"/>
    <n v="440.33"/>
    <n v="224.17"/>
    <n v="14971.22"/>
    <n v="7621.78"/>
    <n v="7349.44"/>
  </r>
  <r>
    <n v="2462"/>
    <d v="2025-06-21T00:00:00"/>
    <x v="3"/>
    <x v="1"/>
    <s v="Monitor"/>
    <x v="7"/>
    <n v="2"/>
    <n v="897.7"/>
    <n v="473.99"/>
    <n v="1795.4"/>
    <n v="947.98"/>
    <n v="847.42000000000007"/>
  </r>
  <r>
    <n v="2700"/>
    <d v="2025-06-21T00:00:00"/>
    <x v="3"/>
    <x v="1"/>
    <s v="Keyboard"/>
    <x v="5"/>
    <n v="37"/>
    <n v="566.04999999999995"/>
    <n v="371.8"/>
    <n v="20943.849999999999"/>
    <n v="13756.6"/>
    <n v="7187.2499999999982"/>
  </r>
  <r>
    <n v="1526"/>
    <d v="2025-06-23T00:00:00"/>
    <x v="4"/>
    <x v="2"/>
    <s v="Antivirus License"/>
    <x v="3"/>
    <n v="16"/>
    <n v="41.86"/>
    <n v="27.56"/>
    <n v="669.76"/>
    <n v="440.96"/>
    <n v="228.8"/>
  </r>
  <r>
    <n v="2040"/>
    <d v="2025-06-23T00:00:00"/>
    <x v="3"/>
    <x v="2"/>
    <s v="Cloud Storage"/>
    <x v="2"/>
    <n v="11"/>
    <n v="212.66"/>
    <n v="108.13"/>
    <n v="2339.2599999999998"/>
    <n v="1189.4299999999998"/>
    <n v="1149.83"/>
  </r>
  <r>
    <n v="1833"/>
    <d v="2025-06-24T00:00:00"/>
    <x v="1"/>
    <x v="1"/>
    <s v="Webcam"/>
    <x v="4"/>
    <n v="11"/>
    <n v="626.6"/>
    <n v="325.07"/>
    <n v="6892.6"/>
    <n v="3575.77"/>
    <n v="3316.8300000000004"/>
  </r>
  <r>
    <n v="1940"/>
    <d v="2025-06-24T00:00:00"/>
    <x v="1"/>
    <x v="3"/>
    <s v="Filing Cabinet"/>
    <x v="4"/>
    <n v="10"/>
    <n v="134.63"/>
    <n v="80.290000000000006"/>
    <n v="1346.3"/>
    <n v="802.90000000000009"/>
    <n v="543.39999999999986"/>
  </r>
  <r>
    <n v="2473"/>
    <d v="2025-06-24T00:00:00"/>
    <x v="2"/>
    <x v="0"/>
    <s v="Printer Paper"/>
    <x v="0"/>
    <n v="16"/>
    <n v="41.03"/>
    <n v="21.92"/>
    <n v="656.48"/>
    <n v="350.72"/>
    <n v="305.76"/>
  </r>
  <r>
    <n v="2573"/>
    <d v="2025-06-24T00:00:00"/>
    <x v="4"/>
    <x v="2"/>
    <s v="Cloud Storage"/>
    <x v="6"/>
    <n v="39"/>
    <n v="21.53"/>
    <n v="11.84"/>
    <n v="839.67000000000007"/>
    <n v="461.76"/>
    <n v="377.91000000000008"/>
  </r>
  <r>
    <n v="2450"/>
    <d v="2025-06-25T00:00:00"/>
    <x v="3"/>
    <x v="1"/>
    <s v="Headphones"/>
    <x v="0"/>
    <n v="12"/>
    <n v="519.88"/>
    <n v="285.14"/>
    <n v="6238.5599999999995"/>
    <n v="3421.68"/>
    <n v="2816.8799999999997"/>
  </r>
  <r>
    <n v="2453"/>
    <d v="2025-06-25T00:00:00"/>
    <x v="2"/>
    <x v="0"/>
    <s v="Desk Chair"/>
    <x v="0"/>
    <n v="17"/>
    <n v="52.79"/>
    <n v="39.36"/>
    <n v="897.43"/>
    <n v="669.12"/>
    <n v="228.30999999999995"/>
  </r>
  <r>
    <n v="2728"/>
    <d v="2025-06-25T00:00:00"/>
    <x v="2"/>
    <x v="3"/>
    <s v="Bookshelf"/>
    <x v="7"/>
    <n v="29"/>
    <n v="260.58999999999997"/>
    <n v="156.79"/>
    <n v="7557.11"/>
    <n v="4546.91"/>
    <n v="3010.2"/>
  </r>
  <r>
    <n v="1045"/>
    <d v="2025-06-27T00:00:00"/>
    <x v="1"/>
    <x v="3"/>
    <s v="Whiteboard"/>
    <x v="6"/>
    <n v="36"/>
    <n v="441.83"/>
    <n v="303.95"/>
    <n v="15905.88"/>
    <n v="10942.199999999999"/>
    <n v="4963.68"/>
  </r>
  <r>
    <n v="1062"/>
    <d v="2025-06-27T00:00:00"/>
    <x v="4"/>
    <x v="2"/>
    <s v="Design Tool"/>
    <x v="5"/>
    <n v="30"/>
    <n v="73.92"/>
    <n v="39.17"/>
    <n v="2217.6"/>
    <n v="1175.1000000000001"/>
    <n v="1042.4999999999998"/>
  </r>
  <r>
    <n v="1095"/>
    <d v="2025-06-27T00:00:00"/>
    <x v="1"/>
    <x v="3"/>
    <s v="Bookshelf"/>
    <x v="0"/>
    <n v="31"/>
    <n v="445.57"/>
    <n v="274.95"/>
    <n v="13812.67"/>
    <n v="8523.4499999999989"/>
    <n v="5289.2200000000012"/>
  </r>
  <r>
    <n v="1926"/>
    <d v="2025-06-27T00:00:00"/>
    <x v="4"/>
    <x v="2"/>
    <s v="Antivirus License"/>
    <x v="3"/>
    <n v="12"/>
    <n v="88.69"/>
    <n v="49.12"/>
    <n v="1064.28"/>
    <n v="589.43999999999994"/>
    <n v="474.84000000000003"/>
  </r>
  <r>
    <n v="2173"/>
    <d v="2025-06-27T00:00:00"/>
    <x v="1"/>
    <x v="1"/>
    <s v="Webcam"/>
    <x v="5"/>
    <n v="35"/>
    <n v="253.56"/>
    <n v="133.13"/>
    <n v="8874.6"/>
    <n v="4659.55"/>
    <n v="4215.05"/>
  </r>
  <r>
    <n v="2456"/>
    <d v="2025-06-27T00:00:00"/>
    <x v="1"/>
    <x v="1"/>
    <s v="Monitor"/>
    <x v="3"/>
    <n v="24"/>
    <n v="262.81"/>
    <n v="149.5"/>
    <n v="6307.4400000000005"/>
    <n v="3588"/>
    <n v="2719.4400000000005"/>
  </r>
  <r>
    <n v="2610"/>
    <d v="2025-06-27T00:00:00"/>
    <x v="1"/>
    <x v="3"/>
    <s v="Bookshelf"/>
    <x v="2"/>
    <n v="19"/>
    <n v="366.61"/>
    <n v="266.07"/>
    <n v="6965.59"/>
    <n v="5055.33"/>
    <n v="1910.2600000000002"/>
  </r>
  <r>
    <n v="2706"/>
    <d v="2025-06-27T00:00:00"/>
    <x v="0"/>
    <x v="1"/>
    <s v="Laptop"/>
    <x v="0"/>
    <n v="16"/>
    <n v="767.4"/>
    <n v="457.97"/>
    <n v="12278.4"/>
    <n v="7327.52"/>
    <n v="4950.8799999999992"/>
  </r>
  <r>
    <n v="2630"/>
    <d v="2025-06-28T00:00:00"/>
    <x v="0"/>
    <x v="3"/>
    <s v="Office Desk"/>
    <x v="4"/>
    <n v="39"/>
    <n v="409.4"/>
    <n v="270.39"/>
    <n v="15966.599999999999"/>
    <n v="10545.21"/>
    <n v="5421.3899999999994"/>
  </r>
  <r>
    <n v="1172"/>
    <d v="2025-06-29T00:00:00"/>
    <x v="2"/>
    <x v="3"/>
    <s v="Whiteboard"/>
    <x v="2"/>
    <n v="24"/>
    <n v="254.95"/>
    <n v="184.76"/>
    <n v="6118.7999999999993"/>
    <n v="4434.24"/>
    <n v="1684.5599999999995"/>
  </r>
  <r>
    <n v="1176"/>
    <d v="2025-06-29T00:00:00"/>
    <x v="4"/>
    <x v="3"/>
    <s v="Filing Cabinet"/>
    <x v="4"/>
    <n v="13"/>
    <n v="205.37"/>
    <n v="153.12"/>
    <n v="2669.81"/>
    <n v="1990.56"/>
    <n v="679.25"/>
  </r>
  <r>
    <n v="1855"/>
    <d v="2025-06-29T00:00:00"/>
    <x v="1"/>
    <x v="1"/>
    <s v="Monitor"/>
    <x v="4"/>
    <n v="33"/>
    <n v="382.69"/>
    <n v="208.96"/>
    <n v="12628.77"/>
    <n v="6895.68"/>
    <n v="5733.09"/>
  </r>
  <r>
    <n v="1007"/>
    <d v="2025-06-30T00:00:00"/>
    <x v="0"/>
    <x v="0"/>
    <s v="Stapler"/>
    <x v="6"/>
    <n v="18"/>
    <n v="39.479999999999997"/>
    <n v="28.06"/>
    <n v="710.64"/>
    <n v="505.08"/>
    <n v="205.56"/>
  </r>
  <r>
    <n v="1359"/>
    <d v="2025-06-30T00:00:00"/>
    <x v="4"/>
    <x v="2"/>
    <s v="Antivirus License"/>
    <x v="3"/>
    <n v="2"/>
    <n v="94.75"/>
    <n v="65.98"/>
    <n v="189.5"/>
    <n v="131.96"/>
    <n v="57.539999999999992"/>
  </r>
  <r>
    <n v="1502"/>
    <d v="2025-07-01T00:00:00"/>
    <x v="0"/>
    <x v="2"/>
    <s v="Office Suite"/>
    <x v="3"/>
    <n v="20"/>
    <n v="135.88"/>
    <n v="84.82"/>
    <n v="2717.6"/>
    <n v="1696.3999999999999"/>
    <n v="1021.2"/>
  </r>
  <r>
    <n v="1801"/>
    <d v="2025-07-01T00:00:00"/>
    <x v="2"/>
    <x v="1"/>
    <s v="Headphones"/>
    <x v="7"/>
    <n v="37"/>
    <n v="703.72"/>
    <n v="478.08"/>
    <n v="26037.64"/>
    <n v="17688.96"/>
    <n v="8348.68"/>
  </r>
  <r>
    <n v="1063"/>
    <d v="2025-07-02T00:00:00"/>
    <x v="0"/>
    <x v="0"/>
    <s v="Notebook"/>
    <x v="4"/>
    <n v="18"/>
    <n v="58.67"/>
    <n v="30.81"/>
    <n v="1056.06"/>
    <n v="554.57999999999993"/>
    <n v="501.48"/>
  </r>
  <r>
    <n v="1211"/>
    <d v="2025-07-02T00:00:00"/>
    <x v="4"/>
    <x v="1"/>
    <s v="Webcam"/>
    <x v="6"/>
    <n v="12"/>
    <n v="149.88999999999999"/>
    <n v="94.67"/>
    <n v="1798.6799999999998"/>
    <n v="1136.04"/>
    <n v="662.63999999999987"/>
  </r>
  <r>
    <n v="1545"/>
    <d v="2025-07-02T00:00:00"/>
    <x v="4"/>
    <x v="3"/>
    <s v="Filing Cabinet"/>
    <x v="6"/>
    <n v="4"/>
    <n v="118.08"/>
    <n v="87.41"/>
    <n v="472.32"/>
    <n v="349.64"/>
    <n v="122.68"/>
  </r>
  <r>
    <n v="1902"/>
    <d v="2025-07-02T00:00:00"/>
    <x v="0"/>
    <x v="2"/>
    <s v="Design Tool"/>
    <x v="6"/>
    <n v="1"/>
    <n v="222.36"/>
    <n v="143.34"/>
    <n v="222.36"/>
    <n v="143.34"/>
    <n v="79.02000000000001"/>
  </r>
  <r>
    <n v="1012"/>
    <d v="2025-07-03T00:00:00"/>
    <x v="4"/>
    <x v="3"/>
    <s v="Office Desk"/>
    <x v="0"/>
    <n v="28"/>
    <n v="383.28"/>
    <n v="284.77"/>
    <n v="10731.84"/>
    <n v="7973.5599999999995"/>
    <n v="2758.2800000000007"/>
  </r>
  <r>
    <n v="1036"/>
    <d v="2025-07-03T00:00:00"/>
    <x v="4"/>
    <x v="1"/>
    <s v="Laptop"/>
    <x v="0"/>
    <n v="12"/>
    <n v="547.70000000000005"/>
    <n v="321.18"/>
    <n v="6572.4000000000005"/>
    <n v="3854.16"/>
    <n v="2718.2400000000007"/>
  </r>
  <r>
    <n v="1992"/>
    <d v="2025-07-03T00:00:00"/>
    <x v="1"/>
    <x v="1"/>
    <s v="Laptop"/>
    <x v="7"/>
    <n v="4"/>
    <n v="124.35"/>
    <n v="73.05"/>
    <n v="497.4"/>
    <n v="292.2"/>
    <n v="205.2"/>
  </r>
  <r>
    <n v="2223"/>
    <d v="2025-07-03T00:00:00"/>
    <x v="4"/>
    <x v="3"/>
    <s v="Filing Cabinet"/>
    <x v="3"/>
    <n v="8"/>
    <n v="164.89"/>
    <n v="117.34"/>
    <n v="1319.12"/>
    <n v="938.72"/>
    <n v="380.39999999999986"/>
  </r>
  <r>
    <n v="1099"/>
    <d v="2025-07-04T00:00:00"/>
    <x v="0"/>
    <x v="2"/>
    <s v="Cloud Storage"/>
    <x v="5"/>
    <n v="35"/>
    <n v="136.16999999999999"/>
    <n v="71.459999999999994"/>
    <n v="4765.95"/>
    <n v="2501.1"/>
    <n v="2264.85"/>
  </r>
  <r>
    <n v="1201"/>
    <d v="2025-07-04T00:00:00"/>
    <x v="2"/>
    <x v="0"/>
    <s v="Notebook"/>
    <x v="0"/>
    <n v="10"/>
    <n v="55.14"/>
    <n v="35.25"/>
    <n v="551.4"/>
    <n v="352.5"/>
    <n v="198.89999999999998"/>
  </r>
  <r>
    <n v="1370"/>
    <d v="2025-07-04T00:00:00"/>
    <x v="1"/>
    <x v="1"/>
    <s v="Laptop"/>
    <x v="7"/>
    <n v="14"/>
    <n v="786.56"/>
    <n v="531.47"/>
    <n v="11011.84"/>
    <n v="7440.58"/>
    <n v="3571.26"/>
  </r>
  <r>
    <n v="2106"/>
    <d v="2025-07-04T00:00:00"/>
    <x v="0"/>
    <x v="2"/>
    <s v="Antivirus License"/>
    <x v="3"/>
    <n v="26"/>
    <n v="70.010000000000005"/>
    <n v="37.79"/>
    <n v="1820.2600000000002"/>
    <n v="982.54"/>
    <n v="837.72000000000025"/>
  </r>
  <r>
    <n v="2126"/>
    <d v="2025-07-04T00:00:00"/>
    <x v="3"/>
    <x v="1"/>
    <s v="Keyboard"/>
    <x v="7"/>
    <n v="16"/>
    <n v="275.10000000000002"/>
    <n v="154.41"/>
    <n v="4401.6000000000004"/>
    <n v="2470.56"/>
    <n v="1931.0400000000004"/>
  </r>
  <r>
    <n v="2624"/>
    <d v="2025-07-04T00:00:00"/>
    <x v="1"/>
    <x v="2"/>
    <s v="Antivirus License"/>
    <x v="4"/>
    <n v="29"/>
    <n v="206.06"/>
    <n v="136.26"/>
    <n v="5975.74"/>
    <n v="3951.54"/>
    <n v="2024.1999999999998"/>
  </r>
  <r>
    <n v="2202"/>
    <d v="2025-07-05T00:00:00"/>
    <x v="4"/>
    <x v="3"/>
    <s v="Bookshelf"/>
    <x v="6"/>
    <n v="10"/>
    <n v="326.49"/>
    <n v="242.49"/>
    <n v="3264.9"/>
    <n v="2424.9"/>
    <n v="840"/>
  </r>
  <r>
    <n v="2310"/>
    <d v="2025-07-05T00:00:00"/>
    <x v="3"/>
    <x v="2"/>
    <s v="Design Tool"/>
    <x v="4"/>
    <n v="2"/>
    <n v="44.31"/>
    <n v="24.95"/>
    <n v="88.62"/>
    <n v="49.9"/>
    <n v="38.720000000000006"/>
  </r>
  <r>
    <n v="2439"/>
    <d v="2025-07-05T00:00:00"/>
    <x v="1"/>
    <x v="1"/>
    <s v="Headphones"/>
    <x v="3"/>
    <n v="17"/>
    <n v="279.36"/>
    <n v="173.94"/>
    <n v="4749.12"/>
    <n v="2956.98"/>
    <n v="1792.1399999999999"/>
  </r>
  <r>
    <n v="2528"/>
    <d v="2025-07-05T00:00:00"/>
    <x v="2"/>
    <x v="3"/>
    <s v="Filing Cabinet"/>
    <x v="1"/>
    <n v="9"/>
    <n v="221.66"/>
    <n v="147.91999999999999"/>
    <n v="1994.94"/>
    <n v="1331.28"/>
    <n v="663.66000000000008"/>
  </r>
  <r>
    <n v="1835"/>
    <d v="2025-07-06T00:00:00"/>
    <x v="3"/>
    <x v="3"/>
    <s v="Filing Cabinet"/>
    <x v="4"/>
    <n v="19"/>
    <n v="345.09"/>
    <n v="252.18"/>
    <n v="6556.7099999999991"/>
    <n v="4791.42"/>
    <n v="1765.2899999999991"/>
  </r>
  <r>
    <n v="2302"/>
    <d v="2025-07-06T00:00:00"/>
    <x v="0"/>
    <x v="1"/>
    <s v="Headphones"/>
    <x v="1"/>
    <n v="39"/>
    <n v="346.99"/>
    <n v="223.26"/>
    <n v="13532.61"/>
    <n v="8707.14"/>
    <n v="4825.4700000000012"/>
  </r>
  <r>
    <n v="1302"/>
    <d v="2025-07-07T00:00:00"/>
    <x v="4"/>
    <x v="3"/>
    <s v="Filing Cabinet"/>
    <x v="7"/>
    <n v="7"/>
    <n v="432.74"/>
    <n v="255.41"/>
    <n v="3029.1800000000003"/>
    <n v="1787.87"/>
    <n v="1241.3100000000004"/>
  </r>
  <r>
    <n v="1416"/>
    <d v="2025-07-07T00:00:00"/>
    <x v="3"/>
    <x v="3"/>
    <s v="Whiteboard"/>
    <x v="1"/>
    <n v="30"/>
    <n v="273.23"/>
    <n v="137.41999999999999"/>
    <n v="8196.9000000000015"/>
    <n v="4122.5999999999995"/>
    <n v="4074.300000000002"/>
  </r>
  <r>
    <n v="2588"/>
    <d v="2025-07-07T00:00:00"/>
    <x v="3"/>
    <x v="2"/>
    <s v="Cloud Storage"/>
    <x v="5"/>
    <n v="31"/>
    <n v="72.900000000000006"/>
    <n v="46.72"/>
    <n v="2259.9"/>
    <n v="1448.32"/>
    <n v="811.58000000000015"/>
  </r>
  <r>
    <n v="1768"/>
    <d v="2025-07-08T00:00:00"/>
    <x v="2"/>
    <x v="2"/>
    <s v="Antivirus License"/>
    <x v="7"/>
    <n v="14"/>
    <n v="203.12"/>
    <n v="102.17"/>
    <n v="2843.6800000000003"/>
    <n v="1430.38"/>
    <n v="1413.3000000000002"/>
  </r>
  <r>
    <n v="2042"/>
    <d v="2025-07-08T00:00:00"/>
    <x v="1"/>
    <x v="0"/>
    <s v="Desk Chair"/>
    <x v="6"/>
    <n v="13"/>
    <n v="51.98"/>
    <n v="35.65"/>
    <n v="675.74"/>
    <n v="463.45"/>
    <n v="212.29000000000002"/>
  </r>
  <r>
    <n v="2056"/>
    <d v="2025-07-08T00:00:00"/>
    <x v="0"/>
    <x v="1"/>
    <s v="Webcam"/>
    <x v="1"/>
    <n v="7"/>
    <n v="673.75"/>
    <n v="471.1"/>
    <n v="4716.25"/>
    <n v="3297.7000000000003"/>
    <n v="1418.5499999999997"/>
  </r>
  <r>
    <n v="2529"/>
    <d v="2025-07-08T00:00:00"/>
    <x v="4"/>
    <x v="2"/>
    <s v="Design Tool"/>
    <x v="5"/>
    <n v="40"/>
    <n v="192.03"/>
    <n v="101.71"/>
    <n v="7681.2"/>
    <n v="4068.3999999999996"/>
    <n v="3612.8"/>
  </r>
  <r>
    <n v="2668"/>
    <d v="2025-07-08T00:00:00"/>
    <x v="1"/>
    <x v="0"/>
    <s v="Desk Lamp"/>
    <x v="0"/>
    <n v="12"/>
    <n v="15.99"/>
    <n v="10.52"/>
    <n v="191.88"/>
    <n v="126.24"/>
    <n v="65.64"/>
  </r>
  <r>
    <n v="1209"/>
    <d v="2025-07-09T00:00:00"/>
    <x v="3"/>
    <x v="1"/>
    <s v="Laptop"/>
    <x v="2"/>
    <n v="1"/>
    <n v="406.41"/>
    <n v="204.13"/>
    <n v="406.41"/>
    <n v="204.13"/>
    <n v="202.28000000000003"/>
  </r>
  <r>
    <n v="1445"/>
    <d v="2025-07-09T00:00:00"/>
    <x v="2"/>
    <x v="0"/>
    <s v="Desk Lamp"/>
    <x v="1"/>
    <n v="35"/>
    <n v="44.75"/>
    <n v="32.61"/>
    <n v="1566.25"/>
    <n v="1141.3499999999999"/>
    <n v="424.90000000000009"/>
  </r>
  <r>
    <n v="2257"/>
    <d v="2025-07-09T00:00:00"/>
    <x v="1"/>
    <x v="0"/>
    <s v="Desk Chair"/>
    <x v="3"/>
    <n v="13"/>
    <n v="21.32"/>
    <n v="14.05"/>
    <n v="277.16000000000003"/>
    <n v="182.65"/>
    <n v="94.510000000000019"/>
  </r>
  <r>
    <n v="1178"/>
    <d v="2025-07-10T00:00:00"/>
    <x v="2"/>
    <x v="2"/>
    <s v="Design Tool"/>
    <x v="1"/>
    <n v="19"/>
    <n v="278.72000000000003"/>
    <n v="185.07"/>
    <n v="5295.68"/>
    <n v="3516.33"/>
    <n v="1779.3500000000004"/>
  </r>
  <r>
    <n v="1184"/>
    <d v="2025-07-10T00:00:00"/>
    <x v="1"/>
    <x v="2"/>
    <s v="Office Suite"/>
    <x v="4"/>
    <n v="18"/>
    <n v="148.5"/>
    <n v="83.8"/>
    <n v="2673"/>
    <n v="1508.3999999999999"/>
    <n v="1164.6000000000001"/>
  </r>
  <r>
    <n v="2318"/>
    <d v="2025-07-10T00:00:00"/>
    <x v="3"/>
    <x v="2"/>
    <s v="Cloud Storage"/>
    <x v="2"/>
    <n v="18"/>
    <n v="44.43"/>
    <n v="31.96"/>
    <n v="799.74"/>
    <n v="575.28"/>
    <n v="224.46000000000004"/>
  </r>
  <r>
    <n v="1071"/>
    <d v="2025-07-11T00:00:00"/>
    <x v="0"/>
    <x v="0"/>
    <s v="Printer Paper"/>
    <x v="1"/>
    <n v="5"/>
    <n v="48.18"/>
    <n v="35.19"/>
    <n v="240.9"/>
    <n v="175.95"/>
    <n v="64.950000000000017"/>
  </r>
  <r>
    <n v="2483"/>
    <d v="2025-07-11T00:00:00"/>
    <x v="0"/>
    <x v="2"/>
    <s v="Design Tool"/>
    <x v="3"/>
    <n v="36"/>
    <n v="40.39"/>
    <n v="28.57"/>
    <n v="1454.04"/>
    <n v="1028.52"/>
    <n v="425.52"/>
  </r>
  <r>
    <n v="2723"/>
    <d v="2025-07-11T00:00:00"/>
    <x v="1"/>
    <x v="0"/>
    <s v="Notebook"/>
    <x v="1"/>
    <n v="27"/>
    <n v="20.16"/>
    <n v="13.7"/>
    <n v="544.32000000000005"/>
    <n v="369.9"/>
    <n v="174.42000000000007"/>
  </r>
  <r>
    <n v="1227"/>
    <d v="2025-07-12T00:00:00"/>
    <x v="0"/>
    <x v="1"/>
    <s v="Keyboard"/>
    <x v="7"/>
    <n v="29"/>
    <n v="730.06"/>
    <n v="510.14"/>
    <n v="21171.739999999998"/>
    <n v="14794.06"/>
    <n v="6377.6799999999985"/>
  </r>
  <r>
    <n v="2667"/>
    <d v="2025-07-12T00:00:00"/>
    <x v="2"/>
    <x v="1"/>
    <s v="Keyboard"/>
    <x v="4"/>
    <n v="13"/>
    <n v="554.16"/>
    <n v="318.58"/>
    <n v="7204.08"/>
    <n v="4141.54"/>
    <n v="3062.54"/>
  </r>
  <r>
    <n v="1525"/>
    <d v="2025-07-13T00:00:00"/>
    <x v="1"/>
    <x v="3"/>
    <s v="Office Desk"/>
    <x v="2"/>
    <n v="37"/>
    <n v="323.70999999999998"/>
    <n v="168.33"/>
    <n v="11977.269999999999"/>
    <n v="6228.21"/>
    <n v="5749.0599999999986"/>
  </r>
  <r>
    <n v="1971"/>
    <d v="2025-07-13T00:00:00"/>
    <x v="0"/>
    <x v="2"/>
    <s v="Cloud Storage"/>
    <x v="0"/>
    <n v="19"/>
    <n v="206.96"/>
    <n v="123.72"/>
    <n v="3932.2400000000002"/>
    <n v="2350.6799999999998"/>
    <n v="1581.5600000000004"/>
  </r>
  <r>
    <n v="2045"/>
    <d v="2025-07-13T00:00:00"/>
    <x v="3"/>
    <x v="2"/>
    <s v="Office Suite"/>
    <x v="2"/>
    <n v="26"/>
    <n v="50.51"/>
    <n v="29.18"/>
    <n v="1313.26"/>
    <n v="758.68"/>
    <n v="554.58000000000004"/>
  </r>
  <r>
    <n v="2320"/>
    <d v="2025-07-13T00:00:00"/>
    <x v="4"/>
    <x v="3"/>
    <s v="Whiteboard"/>
    <x v="3"/>
    <n v="12"/>
    <n v="96.7"/>
    <n v="55.61"/>
    <n v="1160.4000000000001"/>
    <n v="667.31999999999994"/>
    <n v="493.08000000000015"/>
  </r>
  <r>
    <n v="1252"/>
    <d v="2025-07-14T00:00:00"/>
    <x v="1"/>
    <x v="0"/>
    <s v="Desk Lamp"/>
    <x v="4"/>
    <n v="22"/>
    <n v="46.45"/>
    <n v="32.94"/>
    <n v="1021.9000000000001"/>
    <n v="724.68"/>
    <n v="297.22000000000014"/>
  </r>
  <r>
    <n v="1336"/>
    <d v="2025-07-14T00:00:00"/>
    <x v="4"/>
    <x v="2"/>
    <s v="Office Suite"/>
    <x v="7"/>
    <n v="1"/>
    <n v="95.59"/>
    <n v="62.27"/>
    <n v="95.59"/>
    <n v="62.27"/>
    <n v="33.32"/>
  </r>
  <r>
    <n v="1376"/>
    <d v="2025-07-14T00:00:00"/>
    <x v="3"/>
    <x v="3"/>
    <s v="Bookshelf"/>
    <x v="5"/>
    <n v="14"/>
    <n v="295.27"/>
    <n v="163.93"/>
    <n v="4133.78"/>
    <n v="2295.02"/>
    <n v="1838.7599999999998"/>
  </r>
  <r>
    <n v="1638"/>
    <d v="2025-07-14T00:00:00"/>
    <x v="4"/>
    <x v="2"/>
    <s v="Antivirus License"/>
    <x v="2"/>
    <n v="12"/>
    <n v="132.19"/>
    <n v="86.86"/>
    <n v="1586.28"/>
    <n v="1042.32"/>
    <n v="543.96"/>
  </r>
  <r>
    <n v="1433"/>
    <d v="2025-07-15T00:00:00"/>
    <x v="4"/>
    <x v="0"/>
    <s v="Stapler"/>
    <x v="6"/>
    <n v="26"/>
    <n v="43.75"/>
    <n v="24.29"/>
    <n v="1137.5"/>
    <n v="631.54"/>
    <n v="505.96000000000004"/>
  </r>
  <r>
    <n v="1809"/>
    <d v="2025-07-15T00:00:00"/>
    <x v="2"/>
    <x v="1"/>
    <s v="Monitor"/>
    <x v="5"/>
    <n v="38"/>
    <n v="787.32"/>
    <n v="522.51"/>
    <n v="29918.160000000003"/>
    <n v="19855.38"/>
    <n v="10062.780000000002"/>
  </r>
  <r>
    <n v="2337"/>
    <d v="2025-07-15T00:00:00"/>
    <x v="1"/>
    <x v="3"/>
    <s v="Bookshelf"/>
    <x v="3"/>
    <n v="28"/>
    <n v="317.95999999999998"/>
    <n v="185.82"/>
    <n v="8902.8799999999992"/>
    <n v="5202.96"/>
    <n v="3699.9199999999992"/>
  </r>
  <r>
    <n v="1350"/>
    <d v="2025-07-16T00:00:00"/>
    <x v="3"/>
    <x v="1"/>
    <s v="Webcam"/>
    <x v="0"/>
    <n v="33"/>
    <n v="532.36"/>
    <n v="376.02"/>
    <n v="17567.88"/>
    <n v="12408.66"/>
    <n v="5159.2200000000012"/>
  </r>
  <r>
    <n v="2266"/>
    <d v="2025-07-16T00:00:00"/>
    <x v="4"/>
    <x v="0"/>
    <s v="Notebook"/>
    <x v="4"/>
    <n v="39"/>
    <n v="27.67"/>
    <n v="20.54"/>
    <n v="1079.1300000000001"/>
    <n v="801.06"/>
    <n v="278.07000000000016"/>
  </r>
  <r>
    <n v="1181"/>
    <d v="2025-07-17T00:00:00"/>
    <x v="0"/>
    <x v="2"/>
    <s v="Cloud Storage"/>
    <x v="4"/>
    <n v="13"/>
    <n v="36.57"/>
    <n v="25.31"/>
    <n v="475.41"/>
    <n v="329.03"/>
    <n v="146.38000000000005"/>
  </r>
  <r>
    <n v="1402"/>
    <d v="2025-07-17T00:00:00"/>
    <x v="1"/>
    <x v="1"/>
    <s v="Monitor"/>
    <x v="6"/>
    <n v="1"/>
    <n v="735.67"/>
    <n v="384.05"/>
    <n v="735.67"/>
    <n v="384.05"/>
    <n v="351.61999999999995"/>
  </r>
  <r>
    <n v="2640"/>
    <d v="2025-07-17T00:00:00"/>
    <x v="0"/>
    <x v="0"/>
    <s v="Printer Paper"/>
    <x v="0"/>
    <n v="27"/>
    <n v="36.56"/>
    <n v="18.600000000000001"/>
    <n v="987.12000000000012"/>
    <n v="502.20000000000005"/>
    <n v="484.92000000000007"/>
  </r>
  <r>
    <n v="1079"/>
    <d v="2025-07-18T00:00:00"/>
    <x v="3"/>
    <x v="2"/>
    <s v="Antivirus License"/>
    <x v="7"/>
    <n v="8"/>
    <n v="159.55000000000001"/>
    <n v="108.36"/>
    <n v="1276.4000000000001"/>
    <n v="866.88"/>
    <n v="409.5200000000001"/>
  </r>
  <r>
    <n v="1157"/>
    <d v="2025-07-18T00:00:00"/>
    <x v="0"/>
    <x v="1"/>
    <s v="Laptop"/>
    <x v="0"/>
    <n v="26"/>
    <n v="899.66"/>
    <n v="635.01"/>
    <n v="23391.16"/>
    <n v="16510.259999999998"/>
    <n v="6880.9000000000015"/>
  </r>
  <r>
    <n v="2249"/>
    <d v="2025-07-18T00:00:00"/>
    <x v="3"/>
    <x v="0"/>
    <s v="Desk Lamp"/>
    <x v="2"/>
    <n v="37"/>
    <n v="24.7"/>
    <n v="12.57"/>
    <n v="913.9"/>
    <n v="465.09000000000003"/>
    <n v="448.80999999999995"/>
  </r>
  <r>
    <n v="2402"/>
    <d v="2025-07-18T00:00:00"/>
    <x v="4"/>
    <x v="1"/>
    <s v="Webcam"/>
    <x v="2"/>
    <n v="21"/>
    <n v="266.67"/>
    <n v="140.44"/>
    <n v="5600.0700000000006"/>
    <n v="2949.24"/>
    <n v="2650.8300000000008"/>
  </r>
  <r>
    <n v="2420"/>
    <d v="2025-07-18T00:00:00"/>
    <x v="1"/>
    <x v="0"/>
    <s v="Desk Chair"/>
    <x v="0"/>
    <n v="24"/>
    <n v="42.32"/>
    <n v="29.62"/>
    <n v="1015.6800000000001"/>
    <n v="710.88"/>
    <n v="304.80000000000007"/>
  </r>
  <r>
    <n v="1362"/>
    <d v="2025-07-19T00:00:00"/>
    <x v="3"/>
    <x v="1"/>
    <s v="Headphones"/>
    <x v="7"/>
    <n v="40"/>
    <n v="789.83"/>
    <n v="520.05999999999995"/>
    <n v="31593.200000000001"/>
    <n v="20802.399999999998"/>
    <n v="10790.800000000003"/>
  </r>
  <r>
    <n v="1272"/>
    <d v="2025-07-20T00:00:00"/>
    <x v="2"/>
    <x v="1"/>
    <s v="Headphones"/>
    <x v="7"/>
    <n v="19"/>
    <n v="533.6"/>
    <n v="345.73"/>
    <n v="10138.4"/>
    <n v="6568.8700000000008"/>
    <n v="3569.5299999999988"/>
  </r>
  <r>
    <n v="1760"/>
    <d v="2025-07-20T00:00:00"/>
    <x v="3"/>
    <x v="3"/>
    <s v="Office Desk"/>
    <x v="3"/>
    <n v="33"/>
    <n v="269.39"/>
    <n v="168.78"/>
    <n v="8889.869999999999"/>
    <n v="5569.74"/>
    <n v="3320.1299999999992"/>
  </r>
  <r>
    <n v="2038"/>
    <d v="2025-07-20T00:00:00"/>
    <x v="3"/>
    <x v="1"/>
    <s v="Webcam"/>
    <x v="7"/>
    <n v="24"/>
    <n v="509.8"/>
    <n v="346.39"/>
    <n v="12235.2"/>
    <n v="8313.36"/>
    <n v="3921.84"/>
  </r>
  <r>
    <n v="2348"/>
    <d v="2025-07-20T00:00:00"/>
    <x v="3"/>
    <x v="3"/>
    <s v="Office Desk"/>
    <x v="0"/>
    <n v="29"/>
    <n v="263.08"/>
    <n v="143.77000000000001"/>
    <n v="7629.32"/>
    <n v="4169.33"/>
    <n v="3459.99"/>
  </r>
  <r>
    <n v="2739"/>
    <d v="2025-07-20T00:00:00"/>
    <x v="0"/>
    <x v="0"/>
    <s v="Desk Chair"/>
    <x v="4"/>
    <n v="28"/>
    <n v="46.44"/>
    <n v="27.89"/>
    <n v="1300.32"/>
    <n v="780.92000000000007"/>
    <n v="519.39999999999986"/>
  </r>
  <r>
    <n v="1446"/>
    <d v="2025-07-21T00:00:00"/>
    <x v="0"/>
    <x v="1"/>
    <s v="Webcam"/>
    <x v="1"/>
    <n v="29"/>
    <n v="308.37"/>
    <n v="203.37"/>
    <n v="8942.73"/>
    <n v="5897.7300000000005"/>
    <n v="3044.9999999999991"/>
  </r>
  <r>
    <n v="1831"/>
    <d v="2025-07-21T00:00:00"/>
    <x v="2"/>
    <x v="1"/>
    <s v="Keyboard"/>
    <x v="1"/>
    <n v="31"/>
    <n v="478.16"/>
    <n v="253.99"/>
    <n v="14822.960000000001"/>
    <n v="7873.6900000000005"/>
    <n v="6949.27"/>
  </r>
  <r>
    <n v="1221"/>
    <d v="2025-07-22T00:00:00"/>
    <x v="1"/>
    <x v="2"/>
    <s v="Antivirus License"/>
    <x v="2"/>
    <n v="6"/>
    <n v="110.84"/>
    <n v="66.09"/>
    <n v="665.04"/>
    <n v="396.54"/>
    <n v="268.49999999999994"/>
  </r>
  <r>
    <n v="1817"/>
    <d v="2025-07-22T00:00:00"/>
    <x v="2"/>
    <x v="3"/>
    <s v="Office Desk"/>
    <x v="2"/>
    <n v="9"/>
    <n v="116.88"/>
    <n v="80.44"/>
    <n v="1051.92"/>
    <n v="723.96"/>
    <n v="327.96000000000004"/>
  </r>
  <r>
    <n v="2608"/>
    <d v="2025-07-22T00:00:00"/>
    <x v="2"/>
    <x v="0"/>
    <s v="Stapler"/>
    <x v="5"/>
    <n v="16"/>
    <n v="43.43"/>
    <n v="24.54"/>
    <n v="694.88"/>
    <n v="392.64"/>
    <n v="302.24"/>
  </r>
  <r>
    <n v="1111"/>
    <d v="2025-07-23T00:00:00"/>
    <x v="3"/>
    <x v="3"/>
    <s v="Office Desk"/>
    <x v="6"/>
    <n v="23"/>
    <n v="257.63"/>
    <n v="132.13"/>
    <n v="5925.49"/>
    <n v="3038.99"/>
    <n v="2886.5"/>
  </r>
  <r>
    <n v="1113"/>
    <d v="2025-07-23T00:00:00"/>
    <x v="4"/>
    <x v="1"/>
    <s v="Headphones"/>
    <x v="7"/>
    <n v="28"/>
    <n v="769.93"/>
    <n v="508.67"/>
    <n v="21558.039999999997"/>
    <n v="14242.76"/>
    <n v="7315.279999999997"/>
  </r>
  <r>
    <n v="2696"/>
    <d v="2025-07-23T00:00:00"/>
    <x v="1"/>
    <x v="1"/>
    <s v="Laptop"/>
    <x v="5"/>
    <n v="16"/>
    <n v="462.15"/>
    <n v="238.84"/>
    <n v="7394.4"/>
    <n v="3821.44"/>
    <n v="3572.9599999999996"/>
  </r>
  <r>
    <n v="2782"/>
    <d v="2025-07-23T00:00:00"/>
    <x v="4"/>
    <x v="2"/>
    <s v="Office Suite"/>
    <x v="7"/>
    <n v="2"/>
    <n v="56.91"/>
    <n v="30.26"/>
    <n v="113.82"/>
    <n v="60.52"/>
    <n v="53.29999999999999"/>
  </r>
  <r>
    <n v="2611"/>
    <d v="2025-07-24T00:00:00"/>
    <x v="1"/>
    <x v="2"/>
    <s v="Cloud Storage"/>
    <x v="4"/>
    <n v="27"/>
    <n v="24.02"/>
    <n v="16.760000000000002"/>
    <n v="648.54"/>
    <n v="452.52000000000004"/>
    <n v="196.01999999999992"/>
  </r>
  <r>
    <n v="2622"/>
    <d v="2025-07-24T00:00:00"/>
    <x v="0"/>
    <x v="3"/>
    <s v="Filing Cabinet"/>
    <x v="5"/>
    <n v="18"/>
    <n v="260.27999999999997"/>
    <n v="154.05000000000001"/>
    <n v="4685.0399999999991"/>
    <n v="2772.9"/>
    <n v="1912.139999999999"/>
  </r>
  <r>
    <n v="1347"/>
    <d v="2025-07-25T00:00:00"/>
    <x v="1"/>
    <x v="1"/>
    <s v="Laptop"/>
    <x v="1"/>
    <n v="33"/>
    <n v="773.03"/>
    <n v="481.53"/>
    <n v="25509.989999999998"/>
    <n v="15890.49"/>
    <n v="9619.4999999999982"/>
  </r>
  <r>
    <n v="2283"/>
    <d v="2025-07-25T00:00:00"/>
    <x v="3"/>
    <x v="1"/>
    <s v="Monitor"/>
    <x v="4"/>
    <n v="3"/>
    <n v="95.43"/>
    <n v="51"/>
    <n v="286.29000000000002"/>
    <n v="153"/>
    <n v="133.29000000000002"/>
  </r>
  <r>
    <n v="1407"/>
    <d v="2025-07-26T00:00:00"/>
    <x v="1"/>
    <x v="3"/>
    <s v="Filing Cabinet"/>
    <x v="0"/>
    <n v="15"/>
    <n v="470.48"/>
    <n v="265.95"/>
    <n v="7057.2000000000007"/>
    <n v="3989.25"/>
    <n v="3067.9500000000007"/>
  </r>
  <r>
    <n v="1571"/>
    <d v="2025-07-26T00:00:00"/>
    <x v="3"/>
    <x v="0"/>
    <s v="Notebook"/>
    <x v="5"/>
    <n v="16"/>
    <n v="40"/>
    <n v="28.71"/>
    <n v="640"/>
    <n v="459.36"/>
    <n v="180.64"/>
  </r>
  <r>
    <n v="1649"/>
    <d v="2025-07-26T00:00:00"/>
    <x v="3"/>
    <x v="0"/>
    <s v="Printer Paper"/>
    <x v="1"/>
    <n v="33"/>
    <n v="22.33"/>
    <n v="15.13"/>
    <n v="736.89"/>
    <n v="499.29"/>
    <n v="237.59999999999997"/>
  </r>
  <r>
    <n v="2299"/>
    <d v="2025-07-26T00:00:00"/>
    <x v="2"/>
    <x v="0"/>
    <s v="Desk Chair"/>
    <x v="0"/>
    <n v="24"/>
    <n v="23.94"/>
    <n v="14.2"/>
    <n v="574.56000000000006"/>
    <n v="340.79999999999995"/>
    <n v="233.7600000000001"/>
  </r>
  <r>
    <n v="1853"/>
    <d v="2025-07-27T00:00:00"/>
    <x v="4"/>
    <x v="3"/>
    <s v="Whiteboard"/>
    <x v="3"/>
    <n v="28"/>
    <n v="471.16"/>
    <n v="238.16"/>
    <n v="13192.480000000001"/>
    <n v="6668.48"/>
    <n v="6524.0000000000018"/>
  </r>
  <r>
    <n v="1587"/>
    <d v="2025-07-28T00:00:00"/>
    <x v="3"/>
    <x v="0"/>
    <s v="Stapler"/>
    <x v="6"/>
    <n v="29"/>
    <n v="48.92"/>
    <n v="35.42"/>
    <n v="1418.68"/>
    <n v="1027.18"/>
    <n v="391.5"/>
  </r>
  <r>
    <n v="1361"/>
    <d v="2025-07-29T00:00:00"/>
    <x v="0"/>
    <x v="2"/>
    <s v="Office Suite"/>
    <x v="0"/>
    <n v="4"/>
    <n v="293.23"/>
    <n v="169.53"/>
    <n v="1172.92"/>
    <n v="678.12"/>
    <n v="494.80000000000007"/>
  </r>
  <r>
    <n v="2035"/>
    <d v="2025-07-29T00:00:00"/>
    <x v="4"/>
    <x v="3"/>
    <s v="Filing Cabinet"/>
    <x v="6"/>
    <n v="26"/>
    <n v="189.49"/>
    <n v="117.74"/>
    <n v="4926.74"/>
    <n v="3061.24"/>
    <n v="1865.5"/>
  </r>
  <r>
    <n v="2745"/>
    <d v="2025-07-29T00:00:00"/>
    <x v="4"/>
    <x v="0"/>
    <s v="Desk Chair"/>
    <x v="3"/>
    <n v="15"/>
    <n v="12.95"/>
    <n v="7.4"/>
    <n v="194.25"/>
    <n v="111"/>
    <n v="83.25"/>
  </r>
  <r>
    <n v="1311"/>
    <d v="2025-07-30T00:00:00"/>
    <x v="3"/>
    <x v="3"/>
    <s v="Filing Cabinet"/>
    <x v="6"/>
    <n v="17"/>
    <n v="335.76"/>
    <n v="191"/>
    <n v="5707.92"/>
    <n v="3247"/>
    <n v="2460.92"/>
  </r>
  <r>
    <n v="1661"/>
    <d v="2025-07-30T00:00:00"/>
    <x v="1"/>
    <x v="2"/>
    <s v="Antivirus License"/>
    <x v="6"/>
    <n v="24"/>
    <n v="31.32"/>
    <n v="18.34"/>
    <n v="751.68000000000006"/>
    <n v="440.15999999999997"/>
    <n v="311.5200000000001"/>
  </r>
  <r>
    <n v="2230"/>
    <d v="2025-07-30T00:00:00"/>
    <x v="3"/>
    <x v="2"/>
    <s v="Antivirus License"/>
    <x v="7"/>
    <n v="3"/>
    <n v="275.02999999999997"/>
    <n v="201.96"/>
    <n v="825.08999999999992"/>
    <n v="605.88"/>
    <n v="219.20999999999992"/>
  </r>
  <r>
    <n v="1190"/>
    <d v="2025-07-31T00:00:00"/>
    <x v="3"/>
    <x v="1"/>
    <s v="Webcam"/>
    <x v="7"/>
    <n v="37"/>
    <n v="510.79"/>
    <n v="342.27"/>
    <n v="18899.23"/>
    <n v="12663.99"/>
    <n v="6235.24"/>
  </r>
  <r>
    <n v="1392"/>
    <d v="2025-07-31T00:00:00"/>
    <x v="3"/>
    <x v="3"/>
    <s v="Office Desk"/>
    <x v="7"/>
    <n v="29"/>
    <n v="282.3"/>
    <n v="170.14"/>
    <n v="8186.7000000000007"/>
    <n v="4934.0599999999995"/>
    <n v="3252.6400000000012"/>
  </r>
  <r>
    <n v="1823"/>
    <d v="2025-07-31T00:00:00"/>
    <x v="1"/>
    <x v="0"/>
    <s v="Stapler"/>
    <x v="1"/>
    <n v="21"/>
    <n v="27.72"/>
    <n v="14.4"/>
    <n v="582.12"/>
    <n v="302.40000000000003"/>
    <n v="279.71999999999997"/>
  </r>
  <r>
    <n v="1476"/>
    <d v="2025-08-01T00:00:00"/>
    <x v="0"/>
    <x v="3"/>
    <s v="Office Desk"/>
    <x v="3"/>
    <n v="12"/>
    <n v="385.37"/>
    <n v="277.48"/>
    <n v="4624.4400000000005"/>
    <n v="3329.76"/>
    <n v="1294.6800000000003"/>
  </r>
  <r>
    <n v="1056"/>
    <d v="2025-08-02T00:00:00"/>
    <x v="3"/>
    <x v="3"/>
    <s v="Whiteboard"/>
    <x v="5"/>
    <n v="5"/>
    <n v="436.82"/>
    <n v="229.94"/>
    <n v="2184.1"/>
    <n v="1149.7"/>
    <n v="1034.3999999999999"/>
  </r>
  <r>
    <n v="1115"/>
    <d v="2025-08-02T00:00:00"/>
    <x v="2"/>
    <x v="1"/>
    <s v="Monitor"/>
    <x v="2"/>
    <n v="6"/>
    <n v="686.73"/>
    <n v="406.9"/>
    <n v="4120.38"/>
    <n v="2441.3999999999996"/>
    <n v="1678.9800000000005"/>
  </r>
  <r>
    <n v="1717"/>
    <d v="2025-08-02T00:00:00"/>
    <x v="1"/>
    <x v="0"/>
    <s v="Desk Chair"/>
    <x v="1"/>
    <n v="5"/>
    <n v="56.21"/>
    <n v="38.35"/>
    <n v="281.05"/>
    <n v="191.75"/>
    <n v="89.300000000000011"/>
  </r>
  <r>
    <n v="2070"/>
    <d v="2025-08-02T00:00:00"/>
    <x v="2"/>
    <x v="1"/>
    <s v="Laptop"/>
    <x v="3"/>
    <n v="12"/>
    <n v="672.82"/>
    <n v="465.38"/>
    <n v="8073.84"/>
    <n v="5584.5599999999995"/>
    <n v="2489.2800000000007"/>
  </r>
  <r>
    <n v="1643"/>
    <d v="2025-08-03T00:00:00"/>
    <x v="3"/>
    <x v="1"/>
    <s v="Webcam"/>
    <x v="6"/>
    <n v="30"/>
    <n v="754.9"/>
    <n v="555.99"/>
    <n v="22647"/>
    <n v="16679.7"/>
    <n v="5967.2999999999993"/>
  </r>
  <r>
    <n v="2187"/>
    <d v="2025-08-03T00:00:00"/>
    <x v="0"/>
    <x v="1"/>
    <s v="Headphones"/>
    <x v="3"/>
    <n v="19"/>
    <n v="833.36"/>
    <n v="469.5"/>
    <n v="15833.84"/>
    <n v="8920.5"/>
    <n v="6913.34"/>
  </r>
  <r>
    <n v="2635"/>
    <d v="2025-08-04T00:00:00"/>
    <x v="3"/>
    <x v="0"/>
    <s v="Desk Chair"/>
    <x v="4"/>
    <n v="2"/>
    <n v="49.56"/>
    <n v="36.96"/>
    <n v="99.12"/>
    <n v="73.92"/>
    <n v="25.200000000000003"/>
  </r>
  <r>
    <n v="1344"/>
    <d v="2025-08-05T00:00:00"/>
    <x v="2"/>
    <x v="0"/>
    <s v="Desk Lamp"/>
    <x v="6"/>
    <n v="23"/>
    <n v="52.17"/>
    <n v="37.72"/>
    <n v="1199.9100000000001"/>
    <n v="867.56"/>
    <n v="332.35000000000014"/>
  </r>
  <r>
    <n v="1499"/>
    <d v="2025-08-05T00:00:00"/>
    <x v="1"/>
    <x v="1"/>
    <s v="Monitor"/>
    <x v="7"/>
    <n v="22"/>
    <n v="760.41"/>
    <n v="386.96"/>
    <n v="16729.02"/>
    <n v="8513.119999999999"/>
    <n v="8215.9000000000015"/>
  </r>
  <r>
    <n v="1893"/>
    <d v="2025-08-05T00:00:00"/>
    <x v="2"/>
    <x v="1"/>
    <s v="Headphones"/>
    <x v="0"/>
    <n v="26"/>
    <n v="403.59"/>
    <n v="253.5"/>
    <n v="10493.34"/>
    <n v="6591"/>
    <n v="3902.34"/>
  </r>
  <r>
    <n v="2261"/>
    <d v="2025-08-05T00:00:00"/>
    <x v="4"/>
    <x v="3"/>
    <s v="Whiteboard"/>
    <x v="5"/>
    <n v="31"/>
    <n v="285.42"/>
    <n v="195.87"/>
    <n v="8848.02"/>
    <n v="6071.97"/>
    <n v="2776.05"/>
  </r>
  <r>
    <n v="2280"/>
    <d v="2025-08-05T00:00:00"/>
    <x v="3"/>
    <x v="1"/>
    <s v="Monitor"/>
    <x v="4"/>
    <n v="5"/>
    <n v="838.64"/>
    <n v="568.99"/>
    <n v="4193.2"/>
    <n v="2844.95"/>
    <n v="1348.25"/>
  </r>
  <r>
    <n v="2549"/>
    <d v="2025-08-05T00:00:00"/>
    <x v="2"/>
    <x v="3"/>
    <s v="Bookshelf"/>
    <x v="5"/>
    <n v="33"/>
    <n v="304.7"/>
    <n v="213.19"/>
    <n v="10055.1"/>
    <n v="7035.2699999999995"/>
    <n v="3019.8300000000008"/>
  </r>
  <r>
    <n v="2201"/>
    <d v="2025-08-06T00:00:00"/>
    <x v="4"/>
    <x v="1"/>
    <s v="Webcam"/>
    <x v="4"/>
    <n v="28"/>
    <n v="651.54"/>
    <n v="399.41"/>
    <n v="18243.12"/>
    <n v="11183.480000000001"/>
    <n v="7059.6399999999976"/>
  </r>
  <r>
    <n v="2289"/>
    <d v="2025-08-06T00:00:00"/>
    <x v="4"/>
    <x v="0"/>
    <s v="Desk Lamp"/>
    <x v="0"/>
    <n v="24"/>
    <n v="39.93"/>
    <n v="28.39"/>
    <n v="958.31999999999994"/>
    <n v="681.36"/>
    <n v="276.95999999999992"/>
  </r>
  <r>
    <n v="1655"/>
    <d v="2025-08-07T00:00:00"/>
    <x v="0"/>
    <x v="2"/>
    <s v="Antivirus License"/>
    <x v="7"/>
    <n v="32"/>
    <n v="210.77"/>
    <n v="141.25"/>
    <n v="6744.64"/>
    <n v="4520"/>
    <n v="2224.6400000000003"/>
  </r>
  <r>
    <n v="2714"/>
    <d v="2025-08-07T00:00:00"/>
    <x v="2"/>
    <x v="3"/>
    <s v="Bookshelf"/>
    <x v="7"/>
    <n v="36"/>
    <n v="136.27000000000001"/>
    <n v="101.84"/>
    <n v="4905.72"/>
    <n v="3666.2400000000002"/>
    <n v="1239.48"/>
  </r>
  <r>
    <n v="1419"/>
    <d v="2025-08-08T00:00:00"/>
    <x v="0"/>
    <x v="0"/>
    <s v="Desk Chair"/>
    <x v="0"/>
    <n v="16"/>
    <n v="51.81"/>
    <n v="35.47"/>
    <n v="828.96"/>
    <n v="567.52"/>
    <n v="261.44000000000005"/>
  </r>
  <r>
    <n v="1495"/>
    <d v="2025-08-08T00:00:00"/>
    <x v="1"/>
    <x v="1"/>
    <s v="Keyboard"/>
    <x v="0"/>
    <n v="28"/>
    <n v="571.42999999999995"/>
    <n v="336.27"/>
    <n v="16000.039999999999"/>
    <n v="9415.56"/>
    <n v="6584.48"/>
  </r>
  <r>
    <n v="1798"/>
    <d v="2025-08-08T00:00:00"/>
    <x v="1"/>
    <x v="1"/>
    <s v="Monitor"/>
    <x v="4"/>
    <n v="6"/>
    <n v="313.13"/>
    <n v="169.72"/>
    <n v="1878.78"/>
    <n v="1018.3199999999999"/>
    <n v="860.46"/>
  </r>
  <r>
    <n v="2099"/>
    <d v="2025-08-10T00:00:00"/>
    <x v="2"/>
    <x v="0"/>
    <s v="Stapler"/>
    <x v="0"/>
    <n v="12"/>
    <n v="41.27"/>
    <n v="27.63"/>
    <n v="495.24"/>
    <n v="331.56"/>
    <n v="163.68"/>
  </r>
  <r>
    <n v="2496"/>
    <d v="2025-08-10T00:00:00"/>
    <x v="4"/>
    <x v="2"/>
    <s v="Antivirus License"/>
    <x v="7"/>
    <n v="14"/>
    <n v="105.99"/>
    <n v="68.7"/>
    <n v="1483.86"/>
    <n v="961.80000000000007"/>
    <n v="522.05999999999983"/>
  </r>
  <r>
    <n v="1409"/>
    <d v="2025-08-11T00:00:00"/>
    <x v="4"/>
    <x v="2"/>
    <s v="Cloud Storage"/>
    <x v="4"/>
    <n v="16"/>
    <n v="149"/>
    <n v="96.36"/>
    <n v="2384"/>
    <n v="1541.76"/>
    <n v="842.24"/>
  </r>
  <r>
    <n v="2151"/>
    <d v="2025-08-11T00:00:00"/>
    <x v="4"/>
    <x v="0"/>
    <s v="Notebook"/>
    <x v="1"/>
    <n v="14"/>
    <n v="8.75"/>
    <n v="4.46"/>
    <n v="122.5"/>
    <n v="62.44"/>
    <n v="60.06"/>
  </r>
  <r>
    <n v="1423"/>
    <d v="2025-08-12T00:00:00"/>
    <x v="1"/>
    <x v="0"/>
    <s v="Printer Paper"/>
    <x v="5"/>
    <n v="21"/>
    <n v="30.79"/>
    <n v="18.329999999999998"/>
    <n v="646.59"/>
    <n v="384.92999999999995"/>
    <n v="261.66000000000008"/>
  </r>
  <r>
    <n v="1593"/>
    <d v="2025-08-12T00:00:00"/>
    <x v="3"/>
    <x v="3"/>
    <s v="Bookshelf"/>
    <x v="2"/>
    <n v="10"/>
    <n v="136.91"/>
    <n v="77.790000000000006"/>
    <n v="1369.1"/>
    <n v="777.90000000000009"/>
    <n v="591.19999999999982"/>
  </r>
  <r>
    <n v="1811"/>
    <d v="2025-08-12T00:00:00"/>
    <x v="3"/>
    <x v="0"/>
    <s v="Stapler"/>
    <x v="6"/>
    <n v="11"/>
    <n v="8.4700000000000006"/>
    <n v="4.3499999999999996"/>
    <n v="93.17"/>
    <n v="47.849999999999994"/>
    <n v="45.320000000000007"/>
  </r>
  <r>
    <n v="2734"/>
    <d v="2025-08-12T00:00:00"/>
    <x v="2"/>
    <x v="0"/>
    <s v="Printer Paper"/>
    <x v="1"/>
    <n v="24"/>
    <n v="23.08"/>
    <n v="12.77"/>
    <n v="553.91999999999996"/>
    <n v="306.48"/>
    <n v="247.43999999999994"/>
  </r>
  <r>
    <n v="1346"/>
    <d v="2025-08-13T00:00:00"/>
    <x v="1"/>
    <x v="0"/>
    <s v="Printer Paper"/>
    <x v="3"/>
    <n v="28"/>
    <n v="17.170000000000002"/>
    <n v="10.24"/>
    <n v="480.76000000000005"/>
    <n v="286.72000000000003"/>
    <n v="194.04000000000002"/>
  </r>
  <r>
    <n v="2448"/>
    <d v="2025-08-13T00:00:00"/>
    <x v="2"/>
    <x v="1"/>
    <s v="Webcam"/>
    <x v="2"/>
    <n v="31"/>
    <n v="104.55"/>
    <n v="66.87"/>
    <n v="3241.0499999999997"/>
    <n v="2072.9700000000003"/>
    <n v="1168.0799999999995"/>
  </r>
  <r>
    <n v="2753"/>
    <d v="2025-08-13T00:00:00"/>
    <x v="1"/>
    <x v="2"/>
    <s v="Cloud Storage"/>
    <x v="5"/>
    <n v="16"/>
    <n v="211.78"/>
    <n v="153.55000000000001"/>
    <n v="3388.48"/>
    <n v="2456.8000000000002"/>
    <n v="931.67999999999984"/>
  </r>
  <r>
    <n v="1237"/>
    <d v="2025-08-14T00:00:00"/>
    <x v="3"/>
    <x v="0"/>
    <s v="Printer Paper"/>
    <x v="5"/>
    <n v="13"/>
    <n v="17.95"/>
    <n v="11.84"/>
    <n v="233.35"/>
    <n v="153.91999999999999"/>
    <n v="79.430000000000007"/>
  </r>
  <r>
    <n v="1299"/>
    <d v="2025-08-14T00:00:00"/>
    <x v="0"/>
    <x v="0"/>
    <s v="Stapler"/>
    <x v="3"/>
    <n v="3"/>
    <n v="21.17"/>
    <n v="11.49"/>
    <n v="63.510000000000005"/>
    <n v="34.47"/>
    <n v="29.040000000000006"/>
  </r>
  <r>
    <n v="1810"/>
    <d v="2025-08-14T00:00:00"/>
    <x v="0"/>
    <x v="2"/>
    <s v="Cloud Storage"/>
    <x v="0"/>
    <n v="10"/>
    <n v="202.35"/>
    <n v="119.5"/>
    <n v="2023.5"/>
    <n v="1195"/>
    <n v="828.5"/>
  </r>
  <r>
    <n v="1913"/>
    <d v="2025-08-14T00:00:00"/>
    <x v="2"/>
    <x v="0"/>
    <s v="Stapler"/>
    <x v="1"/>
    <n v="26"/>
    <n v="32.479999999999997"/>
    <n v="22.75"/>
    <n v="844.4799999999999"/>
    <n v="591.5"/>
    <n v="252.9799999999999"/>
  </r>
  <r>
    <n v="1387"/>
    <d v="2025-08-15T00:00:00"/>
    <x v="1"/>
    <x v="0"/>
    <s v="Stapler"/>
    <x v="6"/>
    <n v="24"/>
    <n v="54.2"/>
    <n v="40.28"/>
    <n v="1300.8000000000002"/>
    <n v="966.72"/>
    <n v="334.08000000000015"/>
  </r>
  <r>
    <n v="1622"/>
    <d v="2025-08-15T00:00:00"/>
    <x v="3"/>
    <x v="3"/>
    <s v="Filing Cabinet"/>
    <x v="3"/>
    <n v="37"/>
    <n v="168.09"/>
    <n v="111.42"/>
    <n v="6219.33"/>
    <n v="4122.54"/>
    <n v="2096.79"/>
  </r>
  <r>
    <n v="1094"/>
    <d v="2025-08-16T00:00:00"/>
    <x v="4"/>
    <x v="0"/>
    <s v="Desk Chair"/>
    <x v="0"/>
    <n v="21"/>
    <n v="13.01"/>
    <n v="9.66"/>
    <n v="273.20999999999998"/>
    <n v="202.86"/>
    <n v="70.349999999999966"/>
  </r>
  <r>
    <n v="1527"/>
    <d v="2025-08-16T00:00:00"/>
    <x v="4"/>
    <x v="1"/>
    <s v="Headphones"/>
    <x v="2"/>
    <n v="31"/>
    <n v="441.39"/>
    <n v="259.64"/>
    <n v="13683.09"/>
    <n v="8048.8399999999992"/>
    <n v="5634.2500000000009"/>
  </r>
  <r>
    <n v="1602"/>
    <d v="2025-08-16T00:00:00"/>
    <x v="4"/>
    <x v="3"/>
    <s v="Bookshelf"/>
    <x v="7"/>
    <n v="33"/>
    <n v="322.82"/>
    <n v="178.92"/>
    <n v="10653.06"/>
    <n v="5904.36"/>
    <n v="4748.7"/>
  </r>
  <r>
    <n v="1747"/>
    <d v="2025-08-16T00:00:00"/>
    <x v="3"/>
    <x v="2"/>
    <s v="Office Suite"/>
    <x v="6"/>
    <n v="15"/>
    <n v="164.43"/>
    <n v="114.52"/>
    <n v="2466.4500000000003"/>
    <n v="1717.8"/>
    <n v="748.65000000000032"/>
  </r>
  <r>
    <n v="2117"/>
    <d v="2025-08-16T00:00:00"/>
    <x v="3"/>
    <x v="0"/>
    <s v="Printer Paper"/>
    <x v="6"/>
    <n v="22"/>
    <n v="16.850000000000001"/>
    <n v="9.82"/>
    <n v="370.70000000000005"/>
    <n v="216.04000000000002"/>
    <n v="154.66000000000003"/>
  </r>
  <r>
    <n v="2389"/>
    <d v="2025-08-16T00:00:00"/>
    <x v="4"/>
    <x v="2"/>
    <s v="Design Tool"/>
    <x v="2"/>
    <n v="34"/>
    <n v="86.91"/>
    <n v="43.5"/>
    <n v="2954.94"/>
    <n v="1479"/>
    <n v="1475.94"/>
  </r>
  <r>
    <n v="1378"/>
    <d v="2025-08-17T00:00:00"/>
    <x v="2"/>
    <x v="3"/>
    <s v="Filing Cabinet"/>
    <x v="1"/>
    <n v="16"/>
    <n v="458.05"/>
    <n v="280.63"/>
    <n v="7328.8"/>
    <n v="4490.08"/>
    <n v="2838.7200000000003"/>
  </r>
  <r>
    <n v="1690"/>
    <d v="2025-08-18T00:00:00"/>
    <x v="1"/>
    <x v="0"/>
    <s v="Printer Paper"/>
    <x v="0"/>
    <n v="19"/>
    <n v="49.46"/>
    <n v="29.4"/>
    <n v="939.74"/>
    <n v="558.6"/>
    <n v="381.14"/>
  </r>
  <r>
    <n v="2011"/>
    <d v="2025-08-18T00:00:00"/>
    <x v="4"/>
    <x v="0"/>
    <s v="Stapler"/>
    <x v="2"/>
    <n v="10"/>
    <n v="59.88"/>
    <n v="43.94"/>
    <n v="598.80000000000007"/>
    <n v="439.4"/>
    <n v="159.40000000000009"/>
  </r>
  <r>
    <n v="2437"/>
    <d v="2025-08-18T00:00:00"/>
    <x v="3"/>
    <x v="0"/>
    <s v="Desk Chair"/>
    <x v="7"/>
    <n v="35"/>
    <n v="9.4499999999999993"/>
    <n v="6.1"/>
    <n v="330.75"/>
    <n v="213.5"/>
    <n v="117.25"/>
  </r>
  <r>
    <n v="2605"/>
    <d v="2025-08-18T00:00:00"/>
    <x v="2"/>
    <x v="2"/>
    <s v="Design Tool"/>
    <x v="6"/>
    <n v="37"/>
    <n v="115.28"/>
    <n v="65.17"/>
    <n v="4265.3599999999997"/>
    <n v="2411.29"/>
    <n v="1854.0699999999997"/>
  </r>
  <r>
    <n v="1282"/>
    <d v="2025-08-19T00:00:00"/>
    <x v="1"/>
    <x v="3"/>
    <s v="Office Desk"/>
    <x v="2"/>
    <n v="5"/>
    <n v="419.91"/>
    <n v="298.89999999999998"/>
    <n v="2099.5500000000002"/>
    <n v="1494.5"/>
    <n v="605.05000000000018"/>
  </r>
  <r>
    <n v="1167"/>
    <d v="2025-08-20T00:00:00"/>
    <x v="4"/>
    <x v="1"/>
    <s v="Laptop"/>
    <x v="0"/>
    <n v="32"/>
    <n v="561.91999999999996"/>
    <n v="282.11"/>
    <n v="17981.439999999999"/>
    <n v="9027.52"/>
    <n v="8953.9199999999983"/>
  </r>
  <r>
    <n v="1191"/>
    <d v="2025-08-20T00:00:00"/>
    <x v="2"/>
    <x v="1"/>
    <s v="Webcam"/>
    <x v="4"/>
    <n v="4"/>
    <n v="440.88"/>
    <n v="271.39999999999998"/>
    <n v="1763.52"/>
    <n v="1085.5999999999999"/>
    <n v="677.92000000000007"/>
  </r>
  <r>
    <n v="1207"/>
    <d v="2025-08-21T00:00:00"/>
    <x v="1"/>
    <x v="2"/>
    <s v="Design Tool"/>
    <x v="1"/>
    <n v="13"/>
    <n v="159.80000000000001"/>
    <n v="106.05"/>
    <n v="2077.4"/>
    <n v="1378.6499999999999"/>
    <n v="698.75000000000023"/>
  </r>
  <r>
    <n v="1321"/>
    <d v="2025-08-21T00:00:00"/>
    <x v="3"/>
    <x v="1"/>
    <s v="Webcam"/>
    <x v="5"/>
    <n v="36"/>
    <n v="603.77"/>
    <n v="311.52"/>
    <n v="21735.72"/>
    <n v="11214.72"/>
    <n v="10521.000000000002"/>
  </r>
  <r>
    <n v="1693"/>
    <d v="2025-08-21T00:00:00"/>
    <x v="2"/>
    <x v="2"/>
    <s v="Cloud Storage"/>
    <x v="4"/>
    <n v="27"/>
    <n v="219.12"/>
    <n v="116.65"/>
    <n v="5916.24"/>
    <n v="3149.55"/>
    <n v="2766.6899999999996"/>
  </r>
  <r>
    <n v="1739"/>
    <d v="2025-08-21T00:00:00"/>
    <x v="2"/>
    <x v="0"/>
    <s v="Desk Chair"/>
    <x v="4"/>
    <n v="40"/>
    <n v="31.99"/>
    <n v="20.07"/>
    <n v="1279.5999999999999"/>
    <n v="802.8"/>
    <n v="476.79999999999995"/>
  </r>
  <r>
    <n v="2585"/>
    <d v="2025-08-21T00:00:00"/>
    <x v="2"/>
    <x v="0"/>
    <s v="Desk Chair"/>
    <x v="3"/>
    <n v="29"/>
    <n v="44.66"/>
    <n v="33.1"/>
    <n v="1295.1399999999999"/>
    <n v="959.90000000000009"/>
    <n v="335.23999999999978"/>
  </r>
  <r>
    <n v="1103"/>
    <d v="2025-08-23T00:00:00"/>
    <x v="0"/>
    <x v="0"/>
    <s v="Printer Paper"/>
    <x v="1"/>
    <n v="39"/>
    <n v="51.93"/>
    <n v="29.22"/>
    <n v="2025.27"/>
    <n v="1139.58"/>
    <n v="885.69"/>
  </r>
  <r>
    <n v="1888"/>
    <d v="2025-08-23T00:00:00"/>
    <x v="3"/>
    <x v="3"/>
    <s v="Bookshelf"/>
    <x v="1"/>
    <n v="30"/>
    <n v="480.18"/>
    <n v="265.98"/>
    <n v="14405.4"/>
    <n v="7979.4000000000005"/>
    <n v="6425.9999999999991"/>
  </r>
  <r>
    <n v="2063"/>
    <d v="2025-08-23T00:00:00"/>
    <x v="4"/>
    <x v="3"/>
    <s v="Office Desk"/>
    <x v="5"/>
    <n v="17"/>
    <n v="194.67"/>
    <n v="128.56"/>
    <n v="3309.39"/>
    <n v="2185.52"/>
    <n v="1123.8699999999999"/>
  </r>
  <r>
    <n v="1426"/>
    <d v="2025-08-24T00:00:00"/>
    <x v="1"/>
    <x v="2"/>
    <s v="Cloud Storage"/>
    <x v="1"/>
    <n v="12"/>
    <n v="90.46"/>
    <n v="62.05"/>
    <n v="1085.52"/>
    <n v="744.59999999999991"/>
    <n v="340.92000000000007"/>
  </r>
  <r>
    <n v="2057"/>
    <d v="2025-08-24T00:00:00"/>
    <x v="2"/>
    <x v="3"/>
    <s v="Filing Cabinet"/>
    <x v="4"/>
    <n v="14"/>
    <n v="495.42"/>
    <n v="347.21"/>
    <n v="6935.88"/>
    <n v="4860.9399999999996"/>
    <n v="2074.9400000000005"/>
  </r>
  <r>
    <n v="2653"/>
    <d v="2025-08-24T00:00:00"/>
    <x v="3"/>
    <x v="2"/>
    <s v="Antivirus License"/>
    <x v="0"/>
    <n v="24"/>
    <n v="117.05"/>
    <n v="67.12"/>
    <n v="2809.2"/>
    <n v="1610.88"/>
    <n v="1198.3199999999997"/>
  </r>
  <r>
    <n v="1017"/>
    <d v="2025-08-25T00:00:00"/>
    <x v="1"/>
    <x v="0"/>
    <s v="Desk Lamp"/>
    <x v="7"/>
    <n v="1"/>
    <n v="38.97"/>
    <n v="27.86"/>
    <n v="38.97"/>
    <n v="27.86"/>
    <n v="11.11"/>
  </r>
  <r>
    <n v="1490"/>
    <d v="2025-08-25T00:00:00"/>
    <x v="2"/>
    <x v="2"/>
    <s v="Cloud Storage"/>
    <x v="4"/>
    <n v="6"/>
    <n v="97.87"/>
    <n v="64.319999999999993"/>
    <n v="587.22"/>
    <n v="385.91999999999996"/>
    <n v="201.30000000000007"/>
  </r>
  <r>
    <n v="2021"/>
    <d v="2025-08-25T00:00:00"/>
    <x v="4"/>
    <x v="1"/>
    <s v="Monitor"/>
    <x v="0"/>
    <n v="32"/>
    <n v="346.54"/>
    <n v="246.4"/>
    <n v="11089.28"/>
    <n v="7884.8"/>
    <n v="3204.4800000000005"/>
  </r>
  <r>
    <n v="2428"/>
    <d v="2025-08-25T00:00:00"/>
    <x v="2"/>
    <x v="0"/>
    <s v="Desk Chair"/>
    <x v="5"/>
    <n v="16"/>
    <n v="8.33"/>
    <n v="5.72"/>
    <n v="133.28"/>
    <n v="91.52"/>
    <n v="41.760000000000005"/>
  </r>
  <r>
    <n v="2020"/>
    <d v="2025-08-26T00:00:00"/>
    <x v="1"/>
    <x v="1"/>
    <s v="Monitor"/>
    <x v="2"/>
    <n v="38"/>
    <n v="558.16"/>
    <n v="303.74"/>
    <n v="21210.079999999998"/>
    <n v="11542.12"/>
    <n v="9667.9599999999973"/>
  </r>
  <r>
    <n v="2309"/>
    <d v="2025-08-26T00:00:00"/>
    <x v="2"/>
    <x v="1"/>
    <s v="Keyboard"/>
    <x v="2"/>
    <n v="32"/>
    <n v="328.49"/>
    <n v="195.76"/>
    <n v="10511.68"/>
    <n v="6264.32"/>
    <n v="4247.3600000000006"/>
  </r>
  <r>
    <n v="2166"/>
    <d v="2025-08-27T00:00:00"/>
    <x v="1"/>
    <x v="3"/>
    <s v="Bookshelf"/>
    <x v="5"/>
    <n v="28"/>
    <n v="389.29"/>
    <n v="267.44"/>
    <n v="10900.12"/>
    <n v="7488.32"/>
    <n v="3411.8000000000011"/>
  </r>
  <r>
    <n v="2000"/>
    <d v="2025-08-28T00:00:00"/>
    <x v="0"/>
    <x v="1"/>
    <s v="Headphones"/>
    <x v="6"/>
    <n v="28"/>
    <n v="717.39"/>
    <n v="457.93"/>
    <n v="20086.919999999998"/>
    <n v="12822.04"/>
    <n v="7264.8799999999974"/>
  </r>
  <r>
    <n v="2213"/>
    <d v="2025-08-28T00:00:00"/>
    <x v="3"/>
    <x v="1"/>
    <s v="Headphones"/>
    <x v="6"/>
    <n v="35"/>
    <n v="600.29"/>
    <n v="344.11"/>
    <n v="21010.149999999998"/>
    <n v="12043.85"/>
    <n v="8966.2999999999975"/>
  </r>
  <r>
    <n v="1161"/>
    <d v="2025-08-29T00:00:00"/>
    <x v="1"/>
    <x v="0"/>
    <s v="Notebook"/>
    <x v="5"/>
    <n v="37"/>
    <n v="52.24"/>
    <n v="36.19"/>
    <n v="1932.88"/>
    <n v="1339.03"/>
    <n v="593.85000000000014"/>
  </r>
  <r>
    <n v="1391"/>
    <d v="2025-08-29T00:00:00"/>
    <x v="0"/>
    <x v="0"/>
    <s v="Desk Lamp"/>
    <x v="2"/>
    <n v="37"/>
    <n v="12.48"/>
    <n v="7.51"/>
    <n v="461.76"/>
    <n v="277.87"/>
    <n v="183.89"/>
  </r>
  <r>
    <n v="1560"/>
    <d v="2025-08-29T00:00:00"/>
    <x v="1"/>
    <x v="3"/>
    <s v="Whiteboard"/>
    <x v="7"/>
    <n v="21"/>
    <n v="175.67"/>
    <n v="105.96"/>
    <n v="3689.0699999999997"/>
    <n v="2225.16"/>
    <n v="1463.9099999999999"/>
  </r>
  <r>
    <n v="2258"/>
    <d v="2025-08-29T00:00:00"/>
    <x v="4"/>
    <x v="2"/>
    <s v="Design Tool"/>
    <x v="7"/>
    <n v="28"/>
    <n v="21.96"/>
    <n v="15.87"/>
    <n v="614.88"/>
    <n v="444.35999999999996"/>
    <n v="170.52000000000004"/>
  </r>
  <r>
    <n v="1727"/>
    <d v="2025-08-30T00:00:00"/>
    <x v="0"/>
    <x v="0"/>
    <s v="Desk Lamp"/>
    <x v="0"/>
    <n v="23"/>
    <n v="44.3"/>
    <n v="30.98"/>
    <n v="1018.9"/>
    <n v="712.54"/>
    <n v="306.36"/>
  </r>
  <r>
    <n v="1482"/>
    <d v="2025-08-31T00:00:00"/>
    <x v="1"/>
    <x v="1"/>
    <s v="Webcam"/>
    <x v="3"/>
    <n v="29"/>
    <n v="443.8"/>
    <n v="281.58"/>
    <n v="12870.2"/>
    <n v="8165.82"/>
    <n v="4704.380000000001"/>
  </r>
  <r>
    <n v="1506"/>
    <d v="2025-08-31T00:00:00"/>
    <x v="3"/>
    <x v="3"/>
    <s v="Whiteboard"/>
    <x v="2"/>
    <n v="7"/>
    <n v="211.24"/>
    <n v="122.1"/>
    <n v="1478.68"/>
    <n v="854.69999999999993"/>
    <n v="623.98000000000013"/>
  </r>
  <r>
    <n v="1657"/>
    <d v="2025-08-31T00:00:00"/>
    <x v="3"/>
    <x v="3"/>
    <s v="Office Desk"/>
    <x v="4"/>
    <n v="21"/>
    <n v="460.89"/>
    <n v="245.35"/>
    <n v="9678.69"/>
    <n v="5152.3499999999995"/>
    <n v="4526.3400000000011"/>
  </r>
  <r>
    <n v="2719"/>
    <d v="2025-08-31T00:00:00"/>
    <x v="1"/>
    <x v="2"/>
    <s v="Antivirus License"/>
    <x v="6"/>
    <n v="14"/>
    <n v="99.95"/>
    <n v="50.53"/>
    <n v="1399.3"/>
    <n v="707.42000000000007"/>
    <n v="691.87999999999988"/>
  </r>
  <r>
    <n v="1780"/>
    <d v="2025-09-01T00:00:00"/>
    <x v="1"/>
    <x v="0"/>
    <s v="Desk Lamp"/>
    <x v="1"/>
    <n v="17"/>
    <n v="20.43"/>
    <n v="12.67"/>
    <n v="347.31"/>
    <n v="215.39"/>
    <n v="131.92000000000002"/>
  </r>
  <r>
    <n v="1011"/>
    <d v="2025-09-02T00:00:00"/>
    <x v="3"/>
    <x v="2"/>
    <s v="Cloud Storage"/>
    <x v="4"/>
    <n v="34"/>
    <n v="210.48"/>
    <n v="111.27"/>
    <n v="7156.32"/>
    <n v="3783.18"/>
    <n v="3373.14"/>
  </r>
  <r>
    <n v="1240"/>
    <d v="2025-09-02T00:00:00"/>
    <x v="0"/>
    <x v="2"/>
    <s v="Cloud Storage"/>
    <x v="1"/>
    <n v="32"/>
    <n v="299.97000000000003"/>
    <n v="191.6"/>
    <n v="9599.0400000000009"/>
    <n v="6131.2"/>
    <n v="3467.8400000000011"/>
  </r>
  <r>
    <n v="2546"/>
    <d v="2025-09-02T00:00:00"/>
    <x v="2"/>
    <x v="2"/>
    <s v="Antivirus License"/>
    <x v="7"/>
    <n v="32"/>
    <n v="286.35000000000002"/>
    <n v="210.88"/>
    <n v="9163.2000000000007"/>
    <n v="6748.16"/>
    <n v="2415.0400000000009"/>
  </r>
  <r>
    <n v="1108"/>
    <d v="2025-09-03T00:00:00"/>
    <x v="1"/>
    <x v="3"/>
    <s v="Whiteboard"/>
    <x v="6"/>
    <n v="7"/>
    <n v="354.98"/>
    <n v="226.42"/>
    <n v="2484.86"/>
    <n v="1584.9399999999998"/>
    <n v="899.9200000000003"/>
  </r>
  <r>
    <n v="1238"/>
    <d v="2025-09-03T00:00:00"/>
    <x v="2"/>
    <x v="2"/>
    <s v="Antivirus License"/>
    <x v="5"/>
    <n v="23"/>
    <n v="217.68"/>
    <n v="125.03"/>
    <n v="5006.6400000000003"/>
    <n v="2875.69"/>
    <n v="2130.9500000000003"/>
  </r>
  <r>
    <n v="2162"/>
    <d v="2025-09-04T00:00:00"/>
    <x v="1"/>
    <x v="0"/>
    <s v="Notebook"/>
    <x v="3"/>
    <n v="1"/>
    <n v="15.69"/>
    <n v="11.64"/>
    <n v="15.69"/>
    <n v="11.64"/>
    <n v="4.0499999999999989"/>
  </r>
  <r>
    <n v="2333"/>
    <d v="2025-09-04T00:00:00"/>
    <x v="4"/>
    <x v="0"/>
    <s v="Stapler"/>
    <x v="5"/>
    <n v="16"/>
    <n v="43.87"/>
    <n v="25.68"/>
    <n v="701.92"/>
    <n v="410.88"/>
    <n v="291.03999999999996"/>
  </r>
  <r>
    <n v="2360"/>
    <d v="2025-09-04T00:00:00"/>
    <x v="4"/>
    <x v="3"/>
    <s v="Whiteboard"/>
    <x v="2"/>
    <n v="31"/>
    <n v="210.34"/>
    <n v="105.75"/>
    <n v="6520.54"/>
    <n v="3278.25"/>
    <n v="3242.29"/>
  </r>
  <r>
    <n v="2373"/>
    <d v="2025-09-04T00:00:00"/>
    <x v="4"/>
    <x v="2"/>
    <s v="Antivirus License"/>
    <x v="3"/>
    <n v="6"/>
    <n v="139.99"/>
    <n v="101.37"/>
    <n v="839.94"/>
    <n v="608.22"/>
    <n v="231.72000000000003"/>
  </r>
  <r>
    <n v="1014"/>
    <d v="2025-09-05T00:00:00"/>
    <x v="4"/>
    <x v="2"/>
    <s v="Antivirus License"/>
    <x v="3"/>
    <n v="24"/>
    <n v="36.22"/>
    <n v="26.06"/>
    <n v="869.28"/>
    <n v="625.43999999999994"/>
    <n v="243.84000000000003"/>
  </r>
  <r>
    <n v="1595"/>
    <d v="2025-09-05T00:00:00"/>
    <x v="0"/>
    <x v="3"/>
    <s v="Filing Cabinet"/>
    <x v="0"/>
    <n v="18"/>
    <n v="120.25"/>
    <n v="84.88"/>
    <n v="2164.5"/>
    <n v="1527.84"/>
    <n v="636.66000000000008"/>
  </r>
  <r>
    <n v="1854"/>
    <d v="2025-09-05T00:00:00"/>
    <x v="4"/>
    <x v="0"/>
    <s v="Printer Paper"/>
    <x v="2"/>
    <n v="37"/>
    <n v="58.43"/>
    <n v="36.450000000000003"/>
    <n v="2161.91"/>
    <n v="1348.65"/>
    <n v="813.25999999999976"/>
  </r>
  <r>
    <n v="2048"/>
    <d v="2025-09-05T00:00:00"/>
    <x v="2"/>
    <x v="1"/>
    <s v="Headphones"/>
    <x v="7"/>
    <n v="36"/>
    <n v="727.54"/>
    <n v="422.31"/>
    <n v="26191.439999999999"/>
    <n v="15203.16"/>
    <n v="10988.279999999999"/>
  </r>
  <r>
    <n v="2093"/>
    <d v="2025-09-05T00:00:00"/>
    <x v="4"/>
    <x v="3"/>
    <s v="Whiteboard"/>
    <x v="5"/>
    <n v="19"/>
    <n v="192.24"/>
    <n v="116.16"/>
    <n v="3652.5600000000004"/>
    <n v="2207.04"/>
    <n v="1445.5200000000004"/>
  </r>
  <r>
    <n v="1323"/>
    <d v="2025-09-06T00:00:00"/>
    <x v="2"/>
    <x v="3"/>
    <s v="Bookshelf"/>
    <x v="2"/>
    <n v="32"/>
    <n v="255.8"/>
    <n v="130.16"/>
    <n v="8185.6"/>
    <n v="4165.12"/>
    <n v="4020.4800000000005"/>
  </r>
  <r>
    <n v="1606"/>
    <d v="2025-09-06T00:00:00"/>
    <x v="4"/>
    <x v="2"/>
    <s v="Office Suite"/>
    <x v="6"/>
    <n v="19"/>
    <n v="270.52999999999997"/>
    <n v="189.54"/>
    <n v="5140.07"/>
    <n v="3601.2599999999998"/>
    <n v="1538.81"/>
  </r>
  <r>
    <n v="1912"/>
    <d v="2025-09-06T00:00:00"/>
    <x v="4"/>
    <x v="3"/>
    <s v="Bookshelf"/>
    <x v="6"/>
    <n v="16"/>
    <n v="338.83"/>
    <n v="173.78"/>
    <n v="5421.28"/>
    <n v="2780.48"/>
    <n v="2640.7999999999997"/>
  </r>
  <r>
    <n v="1984"/>
    <d v="2025-09-07T00:00:00"/>
    <x v="1"/>
    <x v="3"/>
    <s v="Office Desk"/>
    <x v="7"/>
    <n v="19"/>
    <n v="375.37"/>
    <n v="269.47000000000003"/>
    <n v="7132.03"/>
    <n v="5119.93"/>
    <n v="2012.0999999999995"/>
  </r>
  <r>
    <n v="2481"/>
    <d v="2025-09-08T00:00:00"/>
    <x v="4"/>
    <x v="0"/>
    <s v="Desk Lamp"/>
    <x v="1"/>
    <n v="36"/>
    <n v="50.65"/>
    <n v="36.69"/>
    <n v="1823.3999999999999"/>
    <n v="1320.84"/>
    <n v="502.55999999999995"/>
  </r>
  <r>
    <n v="2114"/>
    <d v="2025-09-10T00:00:00"/>
    <x v="4"/>
    <x v="0"/>
    <s v="Notebook"/>
    <x v="4"/>
    <n v="5"/>
    <n v="4.84"/>
    <n v="3.62"/>
    <n v="24.2"/>
    <n v="18.100000000000001"/>
    <n v="6.0999999999999979"/>
  </r>
  <r>
    <n v="2145"/>
    <d v="2025-09-10T00:00:00"/>
    <x v="3"/>
    <x v="0"/>
    <s v="Desk Chair"/>
    <x v="6"/>
    <n v="28"/>
    <n v="30.72"/>
    <n v="22.37"/>
    <n v="860.16"/>
    <n v="626.36"/>
    <n v="233.79999999999995"/>
  </r>
  <r>
    <n v="2199"/>
    <d v="2025-09-10T00:00:00"/>
    <x v="0"/>
    <x v="3"/>
    <s v="Bookshelf"/>
    <x v="4"/>
    <n v="18"/>
    <n v="339.9"/>
    <n v="207.01"/>
    <n v="6118.2"/>
    <n v="3726.18"/>
    <n v="2392.02"/>
  </r>
  <r>
    <n v="1479"/>
    <d v="2025-09-11T00:00:00"/>
    <x v="2"/>
    <x v="3"/>
    <s v="Bookshelf"/>
    <x v="6"/>
    <n v="32"/>
    <n v="175.03"/>
    <n v="129.91"/>
    <n v="5600.96"/>
    <n v="4157.12"/>
    <n v="1443.8400000000001"/>
  </r>
  <r>
    <n v="2256"/>
    <d v="2025-09-11T00:00:00"/>
    <x v="0"/>
    <x v="2"/>
    <s v="Design Tool"/>
    <x v="2"/>
    <n v="29"/>
    <n v="75.36"/>
    <n v="40.39"/>
    <n v="2185.44"/>
    <n v="1171.31"/>
    <n v="1014.1300000000001"/>
  </r>
  <r>
    <n v="2275"/>
    <d v="2025-09-11T00:00:00"/>
    <x v="3"/>
    <x v="3"/>
    <s v="Office Desk"/>
    <x v="7"/>
    <n v="34"/>
    <n v="412.1"/>
    <n v="290.38"/>
    <n v="14011.400000000001"/>
    <n v="9872.92"/>
    <n v="4138.4800000000014"/>
  </r>
  <r>
    <n v="2526"/>
    <d v="2025-09-11T00:00:00"/>
    <x v="0"/>
    <x v="2"/>
    <s v="Antivirus License"/>
    <x v="0"/>
    <n v="24"/>
    <n v="259.81"/>
    <n v="152.53"/>
    <n v="6235.4400000000005"/>
    <n v="3660.7200000000003"/>
    <n v="2574.7200000000003"/>
  </r>
  <r>
    <n v="2710"/>
    <d v="2025-09-11T00:00:00"/>
    <x v="0"/>
    <x v="0"/>
    <s v="Desk Lamp"/>
    <x v="6"/>
    <n v="23"/>
    <n v="39.89"/>
    <n v="21.24"/>
    <n v="917.47"/>
    <n v="488.52"/>
    <n v="428.95000000000005"/>
  </r>
  <r>
    <n v="1698"/>
    <d v="2025-09-12T00:00:00"/>
    <x v="0"/>
    <x v="0"/>
    <s v="Desk Lamp"/>
    <x v="4"/>
    <n v="29"/>
    <n v="11.49"/>
    <n v="7.54"/>
    <n v="333.21"/>
    <n v="218.66"/>
    <n v="114.54999999999998"/>
  </r>
  <r>
    <n v="1117"/>
    <d v="2025-09-13T00:00:00"/>
    <x v="2"/>
    <x v="2"/>
    <s v="Design Tool"/>
    <x v="7"/>
    <n v="33"/>
    <n v="209.98"/>
    <n v="130.54"/>
    <n v="6929.3399999999992"/>
    <n v="4307.82"/>
    <n v="2621.5199999999995"/>
  </r>
  <r>
    <n v="1979"/>
    <d v="2025-09-13T00:00:00"/>
    <x v="3"/>
    <x v="0"/>
    <s v="Printer Paper"/>
    <x v="3"/>
    <n v="29"/>
    <n v="59.37"/>
    <n v="33.43"/>
    <n v="1721.73"/>
    <n v="969.47"/>
    <n v="752.26"/>
  </r>
  <r>
    <n v="1320"/>
    <d v="2025-09-14T00:00:00"/>
    <x v="4"/>
    <x v="3"/>
    <s v="Whiteboard"/>
    <x v="6"/>
    <n v="23"/>
    <n v="206.9"/>
    <n v="135.71"/>
    <n v="4758.7"/>
    <n v="3121.3300000000004"/>
    <n v="1637.3699999999994"/>
  </r>
  <r>
    <n v="2287"/>
    <d v="2025-09-14T00:00:00"/>
    <x v="4"/>
    <x v="3"/>
    <s v="Bookshelf"/>
    <x v="5"/>
    <n v="17"/>
    <n v="269.69"/>
    <n v="200.09"/>
    <n v="4584.7299999999996"/>
    <n v="3401.53"/>
    <n v="1183.1999999999994"/>
  </r>
  <r>
    <n v="2519"/>
    <d v="2025-09-14T00:00:00"/>
    <x v="4"/>
    <x v="1"/>
    <s v="Monitor"/>
    <x v="3"/>
    <n v="36"/>
    <n v="656.92"/>
    <n v="413.68"/>
    <n v="23649.119999999999"/>
    <n v="14892.48"/>
    <n v="8756.64"/>
  </r>
  <r>
    <n v="2388"/>
    <d v="2025-09-15T00:00:00"/>
    <x v="1"/>
    <x v="0"/>
    <s v="Printer Paper"/>
    <x v="7"/>
    <n v="29"/>
    <n v="53.82"/>
    <n v="35.9"/>
    <n v="1560.78"/>
    <n v="1041.0999999999999"/>
    <n v="519.68000000000006"/>
  </r>
  <r>
    <n v="1129"/>
    <d v="2025-09-16T00:00:00"/>
    <x v="0"/>
    <x v="3"/>
    <s v="Filing Cabinet"/>
    <x v="0"/>
    <n v="25"/>
    <n v="331.11"/>
    <n v="219.14"/>
    <n v="8277.75"/>
    <n v="5478.5"/>
    <n v="2799.25"/>
  </r>
  <r>
    <n v="1998"/>
    <d v="2025-09-16T00:00:00"/>
    <x v="2"/>
    <x v="2"/>
    <s v="Antivirus License"/>
    <x v="6"/>
    <n v="25"/>
    <n v="204.78"/>
    <n v="129.65"/>
    <n v="5119.5"/>
    <n v="3241.25"/>
    <n v="1878.25"/>
  </r>
  <r>
    <n v="2594"/>
    <d v="2025-09-16T00:00:00"/>
    <x v="2"/>
    <x v="2"/>
    <s v="Office Suite"/>
    <x v="0"/>
    <n v="40"/>
    <n v="62.47"/>
    <n v="38.17"/>
    <n v="2498.8000000000002"/>
    <n v="1526.8000000000002"/>
    <n v="972"/>
  </r>
  <r>
    <n v="2545"/>
    <d v="2025-09-17T00:00:00"/>
    <x v="3"/>
    <x v="0"/>
    <s v="Stapler"/>
    <x v="4"/>
    <n v="1"/>
    <n v="12.94"/>
    <n v="7.27"/>
    <n v="12.94"/>
    <n v="7.27"/>
    <n v="5.67"/>
  </r>
  <r>
    <n v="1175"/>
    <d v="2025-09-18T00:00:00"/>
    <x v="2"/>
    <x v="1"/>
    <s v="Monitor"/>
    <x v="7"/>
    <n v="36"/>
    <n v="333.04"/>
    <n v="180.94"/>
    <n v="11989.44"/>
    <n v="6513.84"/>
    <n v="5475.6"/>
  </r>
  <r>
    <n v="1564"/>
    <d v="2025-09-18T00:00:00"/>
    <x v="0"/>
    <x v="0"/>
    <s v="Desk Chair"/>
    <x v="6"/>
    <n v="34"/>
    <n v="59.75"/>
    <n v="34.049999999999997"/>
    <n v="2031.5"/>
    <n v="1157.6999999999998"/>
    <n v="873.80000000000018"/>
  </r>
  <r>
    <n v="1797"/>
    <d v="2025-09-19T00:00:00"/>
    <x v="3"/>
    <x v="3"/>
    <s v="Whiteboard"/>
    <x v="4"/>
    <n v="7"/>
    <n v="161.93"/>
    <n v="102.02"/>
    <n v="1133.51"/>
    <n v="714.14"/>
    <n v="419.37"/>
  </r>
  <r>
    <n v="1970"/>
    <d v="2025-09-19T00:00:00"/>
    <x v="2"/>
    <x v="1"/>
    <s v="Keyboard"/>
    <x v="1"/>
    <n v="2"/>
    <n v="215.24"/>
    <n v="147.53"/>
    <n v="430.48"/>
    <n v="295.06"/>
    <n v="135.42000000000002"/>
  </r>
  <r>
    <n v="2176"/>
    <d v="2025-09-19T00:00:00"/>
    <x v="1"/>
    <x v="1"/>
    <s v="Laptop"/>
    <x v="6"/>
    <n v="9"/>
    <n v="180.78"/>
    <n v="133.37"/>
    <n v="1627.02"/>
    <n v="1200.33"/>
    <n v="426.69000000000005"/>
  </r>
  <r>
    <n v="2211"/>
    <d v="2025-09-19T00:00:00"/>
    <x v="4"/>
    <x v="2"/>
    <s v="Cloud Storage"/>
    <x v="4"/>
    <n v="8"/>
    <n v="59.59"/>
    <n v="44.1"/>
    <n v="476.72"/>
    <n v="352.8"/>
    <n v="123.92000000000002"/>
  </r>
  <r>
    <n v="2240"/>
    <d v="2025-09-19T00:00:00"/>
    <x v="1"/>
    <x v="1"/>
    <s v="Laptop"/>
    <x v="3"/>
    <n v="6"/>
    <n v="78.03"/>
    <n v="40.770000000000003"/>
    <n v="468.18"/>
    <n v="244.62"/>
    <n v="223.56"/>
  </r>
  <r>
    <n v="1384"/>
    <d v="2025-09-20T00:00:00"/>
    <x v="0"/>
    <x v="0"/>
    <s v="Stapler"/>
    <x v="1"/>
    <n v="12"/>
    <n v="35.25"/>
    <n v="24.08"/>
    <n v="423"/>
    <n v="288.95999999999998"/>
    <n v="134.04000000000002"/>
  </r>
  <r>
    <n v="2037"/>
    <d v="2025-09-20T00:00:00"/>
    <x v="1"/>
    <x v="3"/>
    <s v="Bookshelf"/>
    <x v="2"/>
    <n v="2"/>
    <n v="375.99"/>
    <n v="260.08"/>
    <n v="751.98"/>
    <n v="520.16"/>
    <n v="231.82000000000005"/>
  </r>
  <r>
    <n v="2164"/>
    <d v="2025-09-20T00:00:00"/>
    <x v="3"/>
    <x v="2"/>
    <s v="Cloud Storage"/>
    <x v="7"/>
    <n v="9"/>
    <n v="83.15"/>
    <n v="43.28"/>
    <n v="748.35"/>
    <n v="389.52"/>
    <n v="358.83000000000004"/>
  </r>
  <r>
    <n v="2422"/>
    <d v="2025-09-20T00:00:00"/>
    <x v="1"/>
    <x v="0"/>
    <s v="Stapler"/>
    <x v="2"/>
    <n v="10"/>
    <n v="21.66"/>
    <n v="13.91"/>
    <n v="216.6"/>
    <n v="139.1"/>
    <n v="77.5"/>
  </r>
  <r>
    <n v="2762"/>
    <d v="2025-09-20T00:00:00"/>
    <x v="4"/>
    <x v="3"/>
    <s v="Whiteboard"/>
    <x v="5"/>
    <n v="19"/>
    <n v="205.39"/>
    <n v="116.13"/>
    <n v="3902.41"/>
    <n v="2206.4699999999998"/>
    <n v="1695.94"/>
  </r>
  <r>
    <n v="1239"/>
    <d v="2025-09-21T00:00:00"/>
    <x v="1"/>
    <x v="1"/>
    <s v="Monitor"/>
    <x v="5"/>
    <n v="8"/>
    <n v="260.39999999999998"/>
    <n v="155.49"/>
    <n v="2083.1999999999998"/>
    <n v="1243.92"/>
    <n v="839.27999999999975"/>
  </r>
  <r>
    <n v="1625"/>
    <d v="2025-09-21T00:00:00"/>
    <x v="2"/>
    <x v="1"/>
    <s v="Webcam"/>
    <x v="7"/>
    <n v="24"/>
    <n v="448.49"/>
    <n v="318.89"/>
    <n v="10763.76"/>
    <n v="7653.36"/>
    <n v="3110.4000000000005"/>
  </r>
  <r>
    <n v="2396"/>
    <d v="2025-09-21T00:00:00"/>
    <x v="4"/>
    <x v="1"/>
    <s v="Headphones"/>
    <x v="3"/>
    <n v="23"/>
    <n v="208.17"/>
    <n v="105.03"/>
    <n v="4787.91"/>
    <n v="2415.69"/>
    <n v="2372.2199999999998"/>
  </r>
  <r>
    <n v="2645"/>
    <d v="2025-09-21T00:00:00"/>
    <x v="3"/>
    <x v="3"/>
    <s v="Bookshelf"/>
    <x v="6"/>
    <n v="27"/>
    <n v="139.15"/>
    <n v="89.32"/>
    <n v="3757.05"/>
    <n v="2411.64"/>
    <n v="1345.4100000000003"/>
  </r>
  <r>
    <n v="1040"/>
    <d v="2025-09-22T00:00:00"/>
    <x v="1"/>
    <x v="3"/>
    <s v="Whiteboard"/>
    <x v="2"/>
    <n v="20"/>
    <n v="323.58999999999997"/>
    <n v="199.41"/>
    <n v="6471.7999999999993"/>
    <n v="3988.2"/>
    <n v="2483.5999999999995"/>
  </r>
  <r>
    <n v="1991"/>
    <d v="2025-09-22T00:00:00"/>
    <x v="4"/>
    <x v="3"/>
    <s v="Bookshelf"/>
    <x v="5"/>
    <n v="28"/>
    <n v="118.64"/>
    <n v="71.569999999999993"/>
    <n v="3321.92"/>
    <n v="2003.9599999999998"/>
    <n v="1317.9600000000003"/>
  </r>
  <r>
    <n v="2511"/>
    <d v="2025-09-22T00:00:00"/>
    <x v="2"/>
    <x v="3"/>
    <s v="Whiteboard"/>
    <x v="3"/>
    <n v="40"/>
    <n v="488.81"/>
    <n v="309.44"/>
    <n v="19552.400000000001"/>
    <n v="12377.6"/>
    <n v="7174.8000000000011"/>
  </r>
  <r>
    <n v="1379"/>
    <d v="2025-09-23T00:00:00"/>
    <x v="4"/>
    <x v="0"/>
    <s v="Desk Lamp"/>
    <x v="5"/>
    <n v="21"/>
    <n v="12.61"/>
    <n v="8.5500000000000007"/>
    <n v="264.81"/>
    <n v="179.55"/>
    <n v="85.259999999999991"/>
  </r>
  <r>
    <n v="2292"/>
    <d v="2025-09-23T00:00:00"/>
    <x v="3"/>
    <x v="1"/>
    <s v="Laptop"/>
    <x v="2"/>
    <n v="1"/>
    <n v="855.3"/>
    <n v="549.13"/>
    <n v="855.3"/>
    <n v="549.13"/>
    <n v="306.16999999999996"/>
  </r>
  <r>
    <n v="2412"/>
    <d v="2025-09-23T00:00:00"/>
    <x v="3"/>
    <x v="2"/>
    <s v="Design Tool"/>
    <x v="4"/>
    <n v="1"/>
    <n v="90.82"/>
    <n v="48.32"/>
    <n v="90.82"/>
    <n v="48.32"/>
    <n v="42.499999999999993"/>
  </r>
  <r>
    <n v="1134"/>
    <d v="2025-09-24T00:00:00"/>
    <x v="0"/>
    <x v="2"/>
    <s v="Office Suite"/>
    <x v="1"/>
    <n v="12"/>
    <n v="66.349999999999994"/>
    <n v="40.43"/>
    <n v="796.19999999999993"/>
    <n v="485.15999999999997"/>
    <n v="311.03999999999996"/>
  </r>
  <r>
    <n v="2449"/>
    <d v="2025-09-24T00:00:00"/>
    <x v="4"/>
    <x v="1"/>
    <s v="Webcam"/>
    <x v="1"/>
    <n v="9"/>
    <n v="114.19"/>
    <n v="68.28"/>
    <n v="1027.71"/>
    <n v="614.52"/>
    <n v="413.19000000000005"/>
  </r>
  <r>
    <n v="1005"/>
    <d v="2025-09-25T00:00:00"/>
    <x v="4"/>
    <x v="0"/>
    <s v="Desk Chair"/>
    <x v="2"/>
    <n v="15"/>
    <n v="59.16"/>
    <n v="35.200000000000003"/>
    <n v="887.4"/>
    <n v="528"/>
    <n v="359.4"/>
  </r>
  <r>
    <n v="1373"/>
    <d v="2025-09-25T00:00:00"/>
    <x v="3"/>
    <x v="1"/>
    <s v="Laptop"/>
    <x v="5"/>
    <n v="33"/>
    <n v="149.15"/>
    <n v="103.11"/>
    <n v="4921.95"/>
    <n v="3402.63"/>
    <n v="1519.3199999999997"/>
  </r>
  <r>
    <n v="2236"/>
    <d v="2025-09-25T00:00:00"/>
    <x v="4"/>
    <x v="2"/>
    <s v="Cloud Storage"/>
    <x v="5"/>
    <n v="20"/>
    <n v="202.63"/>
    <n v="116.53"/>
    <n v="4052.6"/>
    <n v="2330.6"/>
    <n v="1722"/>
  </r>
  <r>
    <n v="2533"/>
    <d v="2025-09-26T00:00:00"/>
    <x v="2"/>
    <x v="0"/>
    <s v="Stapler"/>
    <x v="7"/>
    <n v="28"/>
    <n v="39.33"/>
    <n v="25.99"/>
    <n v="1101.24"/>
    <n v="727.71999999999991"/>
    <n v="373.5200000000001"/>
  </r>
  <r>
    <n v="2791"/>
    <d v="2025-09-26T00:00:00"/>
    <x v="1"/>
    <x v="3"/>
    <s v="Filing Cabinet"/>
    <x v="1"/>
    <n v="39"/>
    <n v="401.01"/>
    <n v="217.81"/>
    <n v="15639.39"/>
    <n v="8494.59"/>
    <n v="7144.7999999999993"/>
  </r>
  <r>
    <n v="2397"/>
    <d v="2025-09-27T00:00:00"/>
    <x v="3"/>
    <x v="1"/>
    <s v="Monitor"/>
    <x v="1"/>
    <n v="22"/>
    <n v="194.69"/>
    <n v="142.35"/>
    <n v="4283.18"/>
    <n v="3131.7"/>
    <n v="1151.4800000000005"/>
  </r>
  <r>
    <n v="2751"/>
    <d v="2025-09-27T00:00:00"/>
    <x v="2"/>
    <x v="2"/>
    <s v="Cloud Storage"/>
    <x v="6"/>
    <n v="3"/>
    <n v="66.19"/>
    <n v="41.21"/>
    <n v="198.57"/>
    <n v="123.63"/>
    <n v="74.94"/>
  </r>
  <r>
    <n v="1342"/>
    <d v="2025-09-28T00:00:00"/>
    <x v="4"/>
    <x v="1"/>
    <s v="Headphones"/>
    <x v="5"/>
    <n v="12"/>
    <n v="155.62"/>
    <n v="104.65"/>
    <n v="1867.44"/>
    <n v="1255.8000000000002"/>
    <n v="611.63999999999987"/>
  </r>
  <r>
    <n v="2646"/>
    <d v="2025-09-28T00:00:00"/>
    <x v="2"/>
    <x v="0"/>
    <s v="Stapler"/>
    <x v="4"/>
    <n v="1"/>
    <n v="33.78"/>
    <n v="22.25"/>
    <n v="33.78"/>
    <n v="22.25"/>
    <n v="11.530000000000001"/>
  </r>
  <r>
    <n v="1450"/>
    <d v="2025-09-30T00:00:00"/>
    <x v="1"/>
    <x v="3"/>
    <s v="Office Desk"/>
    <x v="5"/>
    <n v="15"/>
    <n v="470.69"/>
    <n v="293.17"/>
    <n v="7060.35"/>
    <n v="4397.55"/>
    <n v="2662.8"/>
  </r>
  <r>
    <n v="1699"/>
    <d v="2025-09-30T00:00:00"/>
    <x v="2"/>
    <x v="2"/>
    <s v="Office Suite"/>
    <x v="6"/>
    <n v="22"/>
    <n v="226.06"/>
    <n v="149.53"/>
    <n v="4973.32"/>
    <n v="3289.66"/>
    <n v="1683.6599999999999"/>
  </r>
  <r>
    <n v="1909"/>
    <d v="2025-09-30T00:00:00"/>
    <x v="1"/>
    <x v="1"/>
    <s v="Keyboard"/>
    <x v="2"/>
    <n v="19"/>
    <n v="775.43"/>
    <n v="409.91"/>
    <n v="14733.169999999998"/>
    <n v="7788.2900000000009"/>
    <n v="6944.8799999999974"/>
  </r>
  <r>
    <n v="2237"/>
    <d v="2025-09-30T00:00:00"/>
    <x v="2"/>
    <x v="1"/>
    <s v="Monitor"/>
    <x v="7"/>
    <n v="22"/>
    <n v="523.41999999999996"/>
    <n v="285.31"/>
    <n v="11515.24"/>
    <n v="6276.82"/>
    <n v="5238.42"/>
  </r>
  <r>
    <n v="2272"/>
    <d v="2025-09-30T00:00:00"/>
    <x v="4"/>
    <x v="1"/>
    <s v="Webcam"/>
    <x v="4"/>
    <n v="30"/>
    <n v="566.17999999999995"/>
    <n v="346.71"/>
    <n v="16985.399999999998"/>
    <n v="10401.299999999999"/>
    <n v="6584.0999999999985"/>
  </r>
  <r>
    <n v="2521"/>
    <d v="2025-09-30T00:00:00"/>
    <x v="3"/>
    <x v="1"/>
    <s v="Laptop"/>
    <x v="4"/>
    <n v="39"/>
    <n v="466.77"/>
    <n v="301.3"/>
    <n v="18204.03"/>
    <n v="11750.7"/>
    <n v="6453.3299999999981"/>
  </r>
  <r>
    <n v="1871"/>
    <d v="2025-10-01T00:00:00"/>
    <x v="4"/>
    <x v="3"/>
    <s v="Office Desk"/>
    <x v="0"/>
    <n v="32"/>
    <n v="420.5"/>
    <n v="218.28"/>
    <n v="13456"/>
    <n v="6984.96"/>
    <n v="6471.04"/>
  </r>
  <r>
    <n v="1894"/>
    <d v="2025-10-01T00:00:00"/>
    <x v="4"/>
    <x v="3"/>
    <s v="Office Desk"/>
    <x v="6"/>
    <n v="33"/>
    <n v="496.32"/>
    <n v="369.44"/>
    <n v="16378.56"/>
    <n v="12191.52"/>
    <n v="4187.0399999999991"/>
  </r>
  <r>
    <n v="2338"/>
    <d v="2025-10-01T00:00:00"/>
    <x v="4"/>
    <x v="3"/>
    <s v="Whiteboard"/>
    <x v="7"/>
    <n v="15"/>
    <n v="395.73"/>
    <n v="232.84"/>
    <n v="5935.9500000000007"/>
    <n v="3492.6"/>
    <n v="2443.3500000000008"/>
  </r>
  <r>
    <n v="2536"/>
    <d v="2025-10-01T00:00:00"/>
    <x v="3"/>
    <x v="1"/>
    <s v="Keyboard"/>
    <x v="2"/>
    <n v="6"/>
    <n v="496.46"/>
    <n v="316.83"/>
    <n v="2978.7599999999998"/>
    <n v="1900.98"/>
    <n v="1077.7799999999997"/>
  </r>
  <r>
    <n v="1443"/>
    <d v="2025-10-02T00:00:00"/>
    <x v="3"/>
    <x v="1"/>
    <s v="Headphones"/>
    <x v="1"/>
    <n v="35"/>
    <n v="724.83"/>
    <n v="505.31"/>
    <n v="25369.050000000003"/>
    <n v="17685.849999999999"/>
    <n v="7683.2000000000044"/>
  </r>
  <r>
    <n v="1453"/>
    <d v="2025-10-02T00:00:00"/>
    <x v="0"/>
    <x v="2"/>
    <s v="Antivirus License"/>
    <x v="5"/>
    <n v="30"/>
    <n v="241.89"/>
    <n v="154.19999999999999"/>
    <n v="7256.7"/>
    <n v="4626"/>
    <n v="2630.7"/>
  </r>
  <r>
    <n v="1473"/>
    <d v="2025-10-02T00:00:00"/>
    <x v="4"/>
    <x v="2"/>
    <s v="Antivirus License"/>
    <x v="0"/>
    <n v="15"/>
    <n v="44.58"/>
    <n v="26.55"/>
    <n v="668.69999999999993"/>
    <n v="398.25"/>
    <n v="270.44999999999993"/>
  </r>
  <r>
    <n v="2214"/>
    <d v="2025-10-03T00:00:00"/>
    <x v="2"/>
    <x v="2"/>
    <s v="Cloud Storage"/>
    <x v="6"/>
    <n v="6"/>
    <n v="155.55000000000001"/>
    <n v="92.89"/>
    <n v="933.30000000000007"/>
    <n v="557.34"/>
    <n v="375.96000000000004"/>
  </r>
  <r>
    <n v="2234"/>
    <d v="2025-10-03T00:00:00"/>
    <x v="4"/>
    <x v="0"/>
    <s v="Stapler"/>
    <x v="6"/>
    <n v="27"/>
    <n v="28.78"/>
    <n v="16.82"/>
    <n v="777.06000000000006"/>
    <n v="454.14"/>
    <n v="322.92000000000007"/>
  </r>
  <r>
    <n v="2680"/>
    <d v="2025-10-03T00:00:00"/>
    <x v="1"/>
    <x v="1"/>
    <s v="Monitor"/>
    <x v="5"/>
    <n v="40"/>
    <n v="577.94000000000005"/>
    <n v="397.34"/>
    <n v="23117.600000000002"/>
    <n v="15893.599999999999"/>
    <n v="7224.0000000000036"/>
  </r>
  <r>
    <n v="1309"/>
    <d v="2025-10-04T00:00:00"/>
    <x v="0"/>
    <x v="3"/>
    <s v="Filing Cabinet"/>
    <x v="3"/>
    <n v="6"/>
    <n v="216.97"/>
    <n v="133.34"/>
    <n v="1301.82"/>
    <n v="800.04"/>
    <n v="501.78"/>
  </r>
  <r>
    <n v="2323"/>
    <d v="2025-10-04T00:00:00"/>
    <x v="1"/>
    <x v="1"/>
    <s v="Monitor"/>
    <x v="1"/>
    <n v="33"/>
    <n v="182.14"/>
    <n v="94.38"/>
    <n v="6010.62"/>
    <n v="3114.54"/>
    <n v="2896.08"/>
  </r>
  <r>
    <n v="2433"/>
    <d v="2025-10-04T00:00:00"/>
    <x v="4"/>
    <x v="2"/>
    <s v="Office Suite"/>
    <x v="3"/>
    <n v="11"/>
    <n v="169.25"/>
    <n v="113.59"/>
    <n v="1861.75"/>
    <n v="1249.49"/>
    <n v="612.26"/>
  </r>
  <r>
    <n v="1125"/>
    <d v="2025-10-05T00:00:00"/>
    <x v="2"/>
    <x v="2"/>
    <s v="Cloud Storage"/>
    <x v="5"/>
    <n v="21"/>
    <n v="104.79"/>
    <n v="59.59"/>
    <n v="2200.59"/>
    <n v="1251.3900000000001"/>
    <n v="949.2"/>
  </r>
  <r>
    <n v="1258"/>
    <d v="2025-10-05T00:00:00"/>
    <x v="0"/>
    <x v="2"/>
    <s v="Cloud Storage"/>
    <x v="7"/>
    <n v="6"/>
    <n v="224.4"/>
    <n v="131.91999999999999"/>
    <n v="1346.4"/>
    <n v="791.52"/>
    <n v="554.88000000000011"/>
  </r>
  <r>
    <n v="1962"/>
    <d v="2025-10-05T00:00:00"/>
    <x v="2"/>
    <x v="0"/>
    <s v="Stapler"/>
    <x v="6"/>
    <n v="7"/>
    <n v="28.19"/>
    <n v="19.12"/>
    <n v="197.33"/>
    <n v="133.84"/>
    <n v="63.490000000000009"/>
  </r>
  <r>
    <n v="1043"/>
    <d v="2025-10-06T00:00:00"/>
    <x v="1"/>
    <x v="0"/>
    <s v="Stapler"/>
    <x v="4"/>
    <n v="26"/>
    <n v="40.4"/>
    <n v="27.98"/>
    <n v="1050.3999999999999"/>
    <n v="727.48"/>
    <n v="322.91999999999985"/>
  </r>
  <r>
    <n v="1286"/>
    <d v="2025-10-07T00:00:00"/>
    <x v="1"/>
    <x v="1"/>
    <s v="Keyboard"/>
    <x v="5"/>
    <n v="31"/>
    <n v="517.39"/>
    <n v="308.93"/>
    <n v="16039.09"/>
    <n v="9576.83"/>
    <n v="6462.26"/>
  </r>
  <r>
    <n v="1547"/>
    <d v="2025-10-07T00:00:00"/>
    <x v="4"/>
    <x v="2"/>
    <s v="Antivirus License"/>
    <x v="4"/>
    <n v="13"/>
    <n v="186.02"/>
    <n v="115.76"/>
    <n v="2418.2600000000002"/>
    <n v="1504.88"/>
    <n v="913.38000000000011"/>
  </r>
  <r>
    <n v="2074"/>
    <d v="2025-10-08T00:00:00"/>
    <x v="0"/>
    <x v="1"/>
    <s v="Webcam"/>
    <x v="6"/>
    <n v="10"/>
    <n v="511.88"/>
    <n v="359.71"/>
    <n v="5118.8"/>
    <n v="3597.1"/>
    <n v="1521.7000000000003"/>
  </r>
  <r>
    <n v="2398"/>
    <d v="2025-10-08T00:00:00"/>
    <x v="4"/>
    <x v="1"/>
    <s v="Headphones"/>
    <x v="6"/>
    <n v="28"/>
    <n v="147"/>
    <n v="80.489999999999995"/>
    <n v="4116"/>
    <n v="2253.7199999999998"/>
    <n v="1862.2800000000002"/>
  </r>
  <r>
    <n v="1925"/>
    <d v="2025-10-09T00:00:00"/>
    <x v="3"/>
    <x v="2"/>
    <s v="Office Suite"/>
    <x v="2"/>
    <n v="33"/>
    <n v="265.63"/>
    <n v="195.93"/>
    <n v="8765.7899999999991"/>
    <n v="6465.6900000000005"/>
    <n v="2300.0999999999985"/>
  </r>
  <r>
    <n v="2264"/>
    <d v="2025-10-09T00:00:00"/>
    <x v="0"/>
    <x v="2"/>
    <s v="Design Tool"/>
    <x v="2"/>
    <n v="28"/>
    <n v="186.02"/>
    <n v="101.56"/>
    <n v="5208.5600000000004"/>
    <n v="2843.6800000000003"/>
    <n v="2364.88"/>
  </r>
  <r>
    <n v="1354"/>
    <d v="2025-10-10T00:00:00"/>
    <x v="1"/>
    <x v="1"/>
    <s v="Keyboard"/>
    <x v="4"/>
    <n v="38"/>
    <n v="863.2"/>
    <n v="442.08"/>
    <n v="32801.599999999999"/>
    <n v="16799.04"/>
    <n v="16002.559999999998"/>
  </r>
  <r>
    <n v="1455"/>
    <d v="2025-10-10T00:00:00"/>
    <x v="2"/>
    <x v="3"/>
    <s v="Bookshelf"/>
    <x v="7"/>
    <n v="25"/>
    <n v="186.72"/>
    <n v="114.25"/>
    <n v="4668"/>
    <n v="2856.25"/>
    <n v="1811.75"/>
  </r>
  <r>
    <n v="1569"/>
    <d v="2025-10-10T00:00:00"/>
    <x v="3"/>
    <x v="1"/>
    <s v="Keyboard"/>
    <x v="5"/>
    <n v="34"/>
    <n v="87.48"/>
    <n v="55.6"/>
    <n v="2974.32"/>
    <n v="1890.4"/>
    <n v="1083.92"/>
  </r>
  <r>
    <n v="2685"/>
    <d v="2025-10-10T00:00:00"/>
    <x v="4"/>
    <x v="1"/>
    <s v="Laptop"/>
    <x v="4"/>
    <n v="14"/>
    <n v="887.71"/>
    <n v="507.3"/>
    <n v="12427.94"/>
    <n v="7102.2"/>
    <n v="5325.7400000000007"/>
  </r>
  <r>
    <n v="1375"/>
    <d v="2025-10-11T00:00:00"/>
    <x v="0"/>
    <x v="3"/>
    <s v="Filing Cabinet"/>
    <x v="2"/>
    <n v="36"/>
    <n v="97.54"/>
    <n v="58.38"/>
    <n v="3511.44"/>
    <n v="2101.6800000000003"/>
    <n v="1409.7599999999998"/>
  </r>
  <r>
    <n v="2029"/>
    <d v="2025-10-11T00:00:00"/>
    <x v="3"/>
    <x v="0"/>
    <s v="Notebook"/>
    <x v="6"/>
    <n v="15"/>
    <n v="18.12"/>
    <n v="12.38"/>
    <n v="271.8"/>
    <n v="185.70000000000002"/>
    <n v="86.1"/>
  </r>
  <r>
    <n v="1317"/>
    <d v="2025-10-12T00:00:00"/>
    <x v="3"/>
    <x v="1"/>
    <s v="Monitor"/>
    <x v="5"/>
    <n v="32"/>
    <n v="559"/>
    <n v="328.38"/>
    <n v="17888"/>
    <n v="10508.16"/>
    <n v="7379.84"/>
  </r>
  <r>
    <n v="1688"/>
    <d v="2025-10-12T00:00:00"/>
    <x v="0"/>
    <x v="1"/>
    <s v="Laptop"/>
    <x v="0"/>
    <n v="16"/>
    <n v="759.07"/>
    <n v="518.44000000000005"/>
    <n v="12145.12"/>
    <n v="8295.0400000000009"/>
    <n v="3850.08"/>
  </r>
  <r>
    <n v="1765"/>
    <d v="2025-10-12T00:00:00"/>
    <x v="1"/>
    <x v="1"/>
    <s v="Keyboard"/>
    <x v="0"/>
    <n v="29"/>
    <n v="104.03"/>
    <n v="76.17"/>
    <n v="3016.87"/>
    <n v="2208.9299999999998"/>
    <n v="807.94"/>
  </r>
  <r>
    <n v="2102"/>
    <d v="2025-10-12T00:00:00"/>
    <x v="1"/>
    <x v="3"/>
    <s v="Whiteboard"/>
    <x v="4"/>
    <n v="36"/>
    <n v="225.47"/>
    <n v="138.77000000000001"/>
    <n v="8116.92"/>
    <n v="4995.72"/>
    <n v="3121.2"/>
  </r>
  <r>
    <n v="2326"/>
    <d v="2025-10-12T00:00:00"/>
    <x v="0"/>
    <x v="0"/>
    <s v="Desk Lamp"/>
    <x v="0"/>
    <n v="32"/>
    <n v="27.67"/>
    <n v="14.42"/>
    <n v="885.44"/>
    <n v="461.44"/>
    <n v="424.00000000000006"/>
  </r>
  <r>
    <n v="2627"/>
    <d v="2025-10-12T00:00:00"/>
    <x v="0"/>
    <x v="1"/>
    <s v="Keyboard"/>
    <x v="7"/>
    <n v="21"/>
    <n v="664.12"/>
    <n v="370.15"/>
    <n v="13946.52"/>
    <n v="7773.15"/>
    <n v="6173.3700000000008"/>
  </r>
  <r>
    <n v="2718"/>
    <d v="2025-10-12T00:00:00"/>
    <x v="4"/>
    <x v="0"/>
    <s v="Printer Paper"/>
    <x v="7"/>
    <n v="28"/>
    <n v="29.91"/>
    <n v="21.92"/>
    <n v="837.48"/>
    <n v="613.76"/>
    <n v="223.72000000000003"/>
  </r>
  <r>
    <n v="2760"/>
    <d v="2025-10-12T00:00:00"/>
    <x v="1"/>
    <x v="3"/>
    <s v="Bookshelf"/>
    <x v="6"/>
    <n v="15"/>
    <n v="235.8"/>
    <n v="118.37"/>
    <n v="3537"/>
    <n v="1775.5500000000002"/>
    <n v="1761.4499999999998"/>
  </r>
  <r>
    <n v="1791"/>
    <d v="2025-10-13T00:00:00"/>
    <x v="0"/>
    <x v="1"/>
    <s v="Headphones"/>
    <x v="3"/>
    <n v="25"/>
    <n v="164.73"/>
    <n v="102.35"/>
    <n v="4118.25"/>
    <n v="2558.75"/>
    <n v="1559.5"/>
  </r>
  <r>
    <n v="2295"/>
    <d v="2025-10-13T00:00:00"/>
    <x v="3"/>
    <x v="2"/>
    <s v="Office Suite"/>
    <x v="2"/>
    <n v="8"/>
    <n v="182.34"/>
    <n v="116.58"/>
    <n v="1458.72"/>
    <n v="932.64"/>
    <n v="526.08000000000004"/>
  </r>
  <r>
    <n v="1046"/>
    <d v="2025-10-14T00:00:00"/>
    <x v="4"/>
    <x v="2"/>
    <s v="Office Suite"/>
    <x v="0"/>
    <n v="29"/>
    <n v="109.52"/>
    <n v="69.55"/>
    <n v="3176.08"/>
    <n v="2016.9499999999998"/>
    <n v="1159.1300000000001"/>
  </r>
  <r>
    <n v="2399"/>
    <d v="2025-10-14T00:00:00"/>
    <x v="2"/>
    <x v="1"/>
    <s v="Monitor"/>
    <x v="4"/>
    <n v="36"/>
    <n v="707.5"/>
    <n v="361.17"/>
    <n v="25470"/>
    <n v="13002.12"/>
    <n v="12467.88"/>
  </r>
  <r>
    <n v="2490"/>
    <d v="2025-10-14T00:00:00"/>
    <x v="4"/>
    <x v="3"/>
    <s v="Office Desk"/>
    <x v="4"/>
    <n v="29"/>
    <n v="148.16999999999999"/>
    <n v="90.72"/>
    <n v="4296.9299999999994"/>
    <n v="2630.88"/>
    <n v="1666.0499999999993"/>
  </r>
  <r>
    <n v="2755"/>
    <d v="2025-10-14T00:00:00"/>
    <x v="4"/>
    <x v="0"/>
    <s v="Notebook"/>
    <x v="3"/>
    <n v="10"/>
    <n v="9.9"/>
    <n v="6.87"/>
    <n v="99"/>
    <n v="68.7"/>
    <n v="30.299999999999997"/>
  </r>
  <r>
    <n v="1741"/>
    <d v="2025-10-15T00:00:00"/>
    <x v="1"/>
    <x v="1"/>
    <s v="Monitor"/>
    <x v="7"/>
    <n v="13"/>
    <n v="439.75"/>
    <n v="261.33"/>
    <n v="5716.75"/>
    <n v="3397.29"/>
    <n v="2319.46"/>
  </r>
  <r>
    <n v="1917"/>
    <d v="2025-10-15T00:00:00"/>
    <x v="1"/>
    <x v="1"/>
    <s v="Laptop"/>
    <x v="4"/>
    <n v="39"/>
    <n v="163.05000000000001"/>
    <n v="84.68"/>
    <n v="6358.9500000000007"/>
    <n v="3302.5200000000004"/>
    <n v="3056.4300000000003"/>
  </r>
  <r>
    <n v="2134"/>
    <d v="2025-10-15T00:00:00"/>
    <x v="1"/>
    <x v="0"/>
    <s v="Notebook"/>
    <x v="3"/>
    <n v="15"/>
    <n v="31.6"/>
    <n v="16.61"/>
    <n v="474"/>
    <n v="249.14999999999998"/>
    <n v="224.85000000000002"/>
  </r>
  <r>
    <n v="2307"/>
    <d v="2025-10-15T00:00:00"/>
    <x v="3"/>
    <x v="0"/>
    <s v="Desk Chair"/>
    <x v="2"/>
    <n v="2"/>
    <n v="14.8"/>
    <n v="7.65"/>
    <n v="29.6"/>
    <n v="15.3"/>
    <n v="14.3"/>
  </r>
  <r>
    <n v="1001"/>
    <d v="2025-10-16T00:00:00"/>
    <x v="3"/>
    <x v="1"/>
    <s v="Headphones"/>
    <x v="7"/>
    <n v="15"/>
    <n v="177.21"/>
    <n v="114.77"/>
    <n v="2658.15"/>
    <n v="1721.55"/>
    <n v="936.60000000000014"/>
  </r>
  <r>
    <n v="1297"/>
    <d v="2025-10-16T00:00:00"/>
    <x v="4"/>
    <x v="2"/>
    <s v="Antivirus License"/>
    <x v="0"/>
    <n v="14"/>
    <n v="50.25"/>
    <n v="25.14"/>
    <n v="703.5"/>
    <n v="351.96000000000004"/>
    <n v="351.53999999999996"/>
  </r>
  <r>
    <n v="1732"/>
    <d v="2025-10-16T00:00:00"/>
    <x v="0"/>
    <x v="0"/>
    <s v="Stapler"/>
    <x v="7"/>
    <n v="16"/>
    <n v="46.8"/>
    <n v="27.8"/>
    <n v="748.8"/>
    <n v="444.8"/>
    <n v="303.99999999999994"/>
  </r>
  <r>
    <n v="1752"/>
    <d v="2025-10-16T00:00:00"/>
    <x v="4"/>
    <x v="1"/>
    <s v="Monitor"/>
    <x v="3"/>
    <n v="36"/>
    <n v="209.21"/>
    <n v="115.01"/>
    <n v="7531.56"/>
    <n v="4140.3600000000006"/>
    <n v="3391.2"/>
  </r>
  <r>
    <n v="1121"/>
    <d v="2025-10-17T00:00:00"/>
    <x v="2"/>
    <x v="3"/>
    <s v="Office Desk"/>
    <x v="6"/>
    <n v="2"/>
    <n v="478"/>
    <n v="321.41000000000003"/>
    <n v="956"/>
    <n v="642.82000000000005"/>
    <n v="313.17999999999995"/>
  </r>
  <r>
    <n v="1380"/>
    <d v="2025-10-18T00:00:00"/>
    <x v="2"/>
    <x v="3"/>
    <s v="Filing Cabinet"/>
    <x v="1"/>
    <n v="22"/>
    <n v="230.67"/>
    <n v="147.15"/>
    <n v="5074.74"/>
    <n v="3237.3"/>
    <n v="1837.4399999999996"/>
  </r>
  <r>
    <n v="1814"/>
    <d v="2025-10-18T00:00:00"/>
    <x v="1"/>
    <x v="0"/>
    <s v="Desk Chair"/>
    <x v="4"/>
    <n v="18"/>
    <n v="8.39"/>
    <n v="6.29"/>
    <n v="151.02000000000001"/>
    <n v="113.22"/>
    <n v="37.800000000000011"/>
  </r>
  <r>
    <n v="2216"/>
    <d v="2025-10-18T00:00:00"/>
    <x v="4"/>
    <x v="1"/>
    <s v="Webcam"/>
    <x v="2"/>
    <n v="4"/>
    <n v="872.09"/>
    <n v="615.64"/>
    <n v="3488.36"/>
    <n v="2462.56"/>
    <n v="1025.8000000000002"/>
  </r>
  <r>
    <n v="1102"/>
    <d v="2025-10-19T00:00:00"/>
    <x v="1"/>
    <x v="1"/>
    <s v="Laptop"/>
    <x v="5"/>
    <n v="16"/>
    <n v="890.61"/>
    <n v="568.70000000000005"/>
    <n v="14249.76"/>
    <n v="9099.2000000000007"/>
    <n v="5150.5599999999995"/>
  </r>
  <r>
    <n v="1368"/>
    <d v="2025-10-19T00:00:00"/>
    <x v="1"/>
    <x v="0"/>
    <s v="Desk Chair"/>
    <x v="5"/>
    <n v="25"/>
    <n v="56.86"/>
    <n v="32.450000000000003"/>
    <n v="1421.5"/>
    <n v="811.25000000000011"/>
    <n v="610.24999999999989"/>
  </r>
  <r>
    <n v="1982"/>
    <d v="2025-10-19T00:00:00"/>
    <x v="1"/>
    <x v="2"/>
    <s v="Office Suite"/>
    <x v="7"/>
    <n v="37"/>
    <n v="271.93"/>
    <n v="193.98"/>
    <n v="10061.41"/>
    <n v="7177.2599999999993"/>
    <n v="2884.1500000000005"/>
  </r>
  <r>
    <n v="1836"/>
    <d v="2025-10-20T00:00:00"/>
    <x v="1"/>
    <x v="1"/>
    <s v="Keyboard"/>
    <x v="4"/>
    <n v="4"/>
    <n v="358.83"/>
    <n v="179.88"/>
    <n v="1435.32"/>
    <n v="719.52"/>
    <n v="715.8"/>
  </r>
  <r>
    <n v="2185"/>
    <d v="2025-10-20T00:00:00"/>
    <x v="3"/>
    <x v="1"/>
    <s v="Laptop"/>
    <x v="7"/>
    <n v="24"/>
    <n v="547.29999999999995"/>
    <n v="371.93"/>
    <n v="13135.199999999999"/>
    <n v="8926.32"/>
    <n v="4208.8799999999992"/>
  </r>
  <r>
    <n v="2552"/>
    <d v="2025-10-20T00:00:00"/>
    <x v="1"/>
    <x v="0"/>
    <s v="Desk Lamp"/>
    <x v="5"/>
    <n v="2"/>
    <n v="14.33"/>
    <n v="9"/>
    <n v="28.66"/>
    <n v="18"/>
    <n v="10.66"/>
  </r>
  <r>
    <n v="1340"/>
    <d v="2025-10-21T00:00:00"/>
    <x v="0"/>
    <x v="2"/>
    <s v="Design Tool"/>
    <x v="0"/>
    <n v="30"/>
    <n v="258.63"/>
    <n v="152.61000000000001"/>
    <n v="7758.9"/>
    <n v="4578.3"/>
    <n v="3180.5999999999995"/>
  </r>
  <r>
    <n v="1865"/>
    <d v="2025-10-21T00:00:00"/>
    <x v="3"/>
    <x v="0"/>
    <s v="Notebook"/>
    <x v="3"/>
    <n v="18"/>
    <n v="38.76"/>
    <n v="28.66"/>
    <n v="697.68"/>
    <n v="515.88"/>
    <n v="181.79999999999995"/>
  </r>
  <r>
    <n v="2227"/>
    <d v="2025-10-21T00:00:00"/>
    <x v="3"/>
    <x v="2"/>
    <s v="Cloud Storage"/>
    <x v="1"/>
    <n v="19"/>
    <n v="114.05"/>
    <n v="77.59"/>
    <n v="2166.9499999999998"/>
    <n v="1474.21"/>
    <n v="692.73999999999978"/>
  </r>
  <r>
    <n v="2381"/>
    <d v="2025-10-21T00:00:00"/>
    <x v="1"/>
    <x v="3"/>
    <s v="Bookshelf"/>
    <x v="4"/>
    <n v="3"/>
    <n v="224.94"/>
    <n v="159.77000000000001"/>
    <n v="674.81999999999994"/>
    <n v="479.31000000000006"/>
    <n v="195.50999999999988"/>
  </r>
  <r>
    <n v="1973"/>
    <d v="2025-10-22T00:00:00"/>
    <x v="1"/>
    <x v="2"/>
    <s v="Antivirus License"/>
    <x v="5"/>
    <n v="9"/>
    <n v="294.89"/>
    <n v="173.82"/>
    <n v="2654.0099999999998"/>
    <n v="1564.3799999999999"/>
    <n v="1089.6299999999999"/>
  </r>
  <r>
    <n v="2231"/>
    <d v="2025-10-22T00:00:00"/>
    <x v="2"/>
    <x v="3"/>
    <s v="Whiteboard"/>
    <x v="4"/>
    <n v="16"/>
    <n v="224.96"/>
    <n v="138.07"/>
    <n v="3599.36"/>
    <n v="2209.12"/>
    <n v="1390.2400000000002"/>
  </r>
  <r>
    <n v="1020"/>
    <d v="2025-10-23T00:00:00"/>
    <x v="3"/>
    <x v="1"/>
    <s v="Keyboard"/>
    <x v="5"/>
    <n v="7"/>
    <n v="268.87"/>
    <n v="153.16"/>
    <n v="1882.0900000000001"/>
    <n v="1072.1199999999999"/>
    <n v="809.97000000000025"/>
  </r>
  <r>
    <n v="1646"/>
    <d v="2025-10-24T00:00:00"/>
    <x v="2"/>
    <x v="1"/>
    <s v="Laptop"/>
    <x v="4"/>
    <n v="9"/>
    <n v="792.01"/>
    <n v="471.94"/>
    <n v="7128.09"/>
    <n v="4247.46"/>
    <n v="2880.63"/>
  </r>
  <r>
    <n v="2531"/>
    <d v="2025-10-24T00:00:00"/>
    <x v="0"/>
    <x v="1"/>
    <s v="Monitor"/>
    <x v="1"/>
    <n v="8"/>
    <n v="731.42"/>
    <n v="427.87"/>
    <n v="5851.36"/>
    <n v="3422.96"/>
    <n v="2428.3999999999996"/>
  </r>
  <r>
    <n v="2643"/>
    <d v="2025-10-24T00:00:00"/>
    <x v="2"/>
    <x v="3"/>
    <s v="Filing Cabinet"/>
    <x v="3"/>
    <n v="6"/>
    <n v="475.89"/>
    <n v="238.13"/>
    <n v="2855.34"/>
    <n v="1428.78"/>
    <n v="1426.5600000000002"/>
  </r>
  <r>
    <n v="1098"/>
    <d v="2025-10-25T00:00:00"/>
    <x v="3"/>
    <x v="2"/>
    <s v="Design Tool"/>
    <x v="6"/>
    <n v="8"/>
    <n v="157.93"/>
    <n v="82.8"/>
    <n v="1263.44"/>
    <n v="662.4"/>
    <n v="601.04000000000008"/>
  </r>
  <r>
    <n v="2443"/>
    <d v="2025-10-25T00:00:00"/>
    <x v="4"/>
    <x v="1"/>
    <s v="Webcam"/>
    <x v="2"/>
    <n v="10"/>
    <n v="890.26"/>
    <n v="557.30999999999995"/>
    <n v="8902.6"/>
    <n v="5573.0999999999995"/>
    <n v="3329.5000000000009"/>
  </r>
  <r>
    <n v="1294"/>
    <d v="2025-10-26T00:00:00"/>
    <x v="4"/>
    <x v="0"/>
    <s v="Desk Lamp"/>
    <x v="5"/>
    <n v="15"/>
    <n v="49.42"/>
    <n v="28.35"/>
    <n v="741.30000000000007"/>
    <n v="425.25"/>
    <n v="316.05000000000007"/>
  </r>
  <r>
    <n v="2409"/>
    <d v="2025-10-26T00:00:00"/>
    <x v="1"/>
    <x v="1"/>
    <s v="Laptop"/>
    <x v="4"/>
    <n v="14"/>
    <n v="672.15"/>
    <n v="450.75"/>
    <n v="9410.1"/>
    <n v="6310.5"/>
    <n v="3099.6000000000004"/>
  </r>
  <r>
    <n v="1358"/>
    <d v="2025-10-27T00:00:00"/>
    <x v="0"/>
    <x v="3"/>
    <s v="Office Desk"/>
    <x v="5"/>
    <n v="36"/>
    <n v="360.21"/>
    <n v="247.45"/>
    <n v="12967.56"/>
    <n v="8908.1999999999989"/>
    <n v="4059.3600000000006"/>
  </r>
  <r>
    <n v="2631"/>
    <d v="2025-10-28T00:00:00"/>
    <x v="4"/>
    <x v="0"/>
    <s v="Desk Lamp"/>
    <x v="3"/>
    <n v="10"/>
    <n v="57.74"/>
    <n v="36.65"/>
    <n v="577.4"/>
    <n v="366.5"/>
    <n v="210.89999999999998"/>
  </r>
  <r>
    <n v="2727"/>
    <d v="2025-10-28T00:00:00"/>
    <x v="2"/>
    <x v="1"/>
    <s v="Laptop"/>
    <x v="4"/>
    <n v="13"/>
    <n v="599.97"/>
    <n v="303.77999999999997"/>
    <n v="7799.6100000000006"/>
    <n v="3949.1399999999994"/>
    <n v="3850.4700000000012"/>
  </r>
  <r>
    <n v="1084"/>
    <d v="2025-10-29T00:00:00"/>
    <x v="0"/>
    <x v="2"/>
    <s v="Antivirus License"/>
    <x v="1"/>
    <n v="33"/>
    <n v="256.61"/>
    <n v="134.69999999999999"/>
    <n v="8468.130000000001"/>
    <n v="4445.0999999999995"/>
    <n v="4023.0300000000016"/>
  </r>
  <r>
    <n v="1182"/>
    <d v="2025-10-29T00:00:00"/>
    <x v="1"/>
    <x v="0"/>
    <s v="Desk Lamp"/>
    <x v="2"/>
    <n v="12"/>
    <n v="50.74"/>
    <n v="35.979999999999997"/>
    <n v="608.88"/>
    <n v="431.76"/>
    <n v="177.12"/>
  </r>
  <r>
    <n v="2623"/>
    <d v="2025-10-29T00:00:00"/>
    <x v="2"/>
    <x v="3"/>
    <s v="Bookshelf"/>
    <x v="7"/>
    <n v="5"/>
    <n v="144.75"/>
    <n v="88.57"/>
    <n v="723.75"/>
    <n v="442.84999999999997"/>
    <n v="280.90000000000003"/>
  </r>
  <r>
    <n v="2750"/>
    <d v="2025-10-29T00:00:00"/>
    <x v="2"/>
    <x v="1"/>
    <s v="Monitor"/>
    <x v="3"/>
    <n v="10"/>
    <n v="318.27999999999997"/>
    <n v="193.35"/>
    <n v="3182.7999999999997"/>
    <n v="1933.5"/>
    <n v="1249.2999999999997"/>
  </r>
  <r>
    <n v="1543"/>
    <d v="2025-10-30T00:00:00"/>
    <x v="3"/>
    <x v="1"/>
    <s v="Keyboard"/>
    <x v="0"/>
    <n v="10"/>
    <n v="648.04999999999995"/>
    <n v="476.3"/>
    <n v="6480.5"/>
    <n v="4763"/>
    <n v="1717.5"/>
  </r>
  <r>
    <n v="1813"/>
    <d v="2025-10-30T00:00:00"/>
    <x v="2"/>
    <x v="1"/>
    <s v="Keyboard"/>
    <x v="6"/>
    <n v="18"/>
    <n v="591.16"/>
    <n v="313.62"/>
    <n v="10640.88"/>
    <n v="5645.16"/>
    <n v="4995.7199999999993"/>
  </r>
  <r>
    <n v="2003"/>
    <d v="2025-10-30T00:00:00"/>
    <x v="1"/>
    <x v="1"/>
    <s v="Laptop"/>
    <x v="0"/>
    <n v="37"/>
    <n v="615.04999999999995"/>
    <n v="310.18"/>
    <n v="22756.85"/>
    <n v="11476.66"/>
    <n v="11280.189999999999"/>
  </r>
  <r>
    <n v="1549"/>
    <d v="2025-10-31T00:00:00"/>
    <x v="1"/>
    <x v="2"/>
    <s v="Office Suite"/>
    <x v="7"/>
    <n v="5"/>
    <n v="151.94"/>
    <n v="110.84"/>
    <n v="759.7"/>
    <n v="554.20000000000005"/>
    <n v="205.5"/>
  </r>
  <r>
    <n v="2799"/>
    <d v="2025-10-31T00:00:00"/>
    <x v="4"/>
    <x v="0"/>
    <s v="Notebook"/>
    <x v="0"/>
    <n v="8"/>
    <n v="55.67"/>
    <n v="30.87"/>
    <n v="445.36"/>
    <n v="246.96"/>
    <n v="198.4"/>
  </r>
  <r>
    <n v="1993"/>
    <d v="2025-11-01T00:00:00"/>
    <x v="0"/>
    <x v="3"/>
    <s v="Bookshelf"/>
    <x v="6"/>
    <n v="31"/>
    <n v="112.08"/>
    <n v="61.81"/>
    <n v="3474.48"/>
    <n v="1916.1100000000001"/>
    <n v="1558.37"/>
  </r>
  <r>
    <n v="2577"/>
    <d v="2025-11-01T00:00:00"/>
    <x v="4"/>
    <x v="0"/>
    <s v="Desk Lamp"/>
    <x v="3"/>
    <n v="37"/>
    <n v="51.9"/>
    <n v="25.99"/>
    <n v="1920.3"/>
    <n v="961.63"/>
    <n v="958.67"/>
  </r>
  <r>
    <n v="1147"/>
    <d v="2025-11-02T00:00:00"/>
    <x v="4"/>
    <x v="3"/>
    <s v="Office Desk"/>
    <x v="5"/>
    <n v="28"/>
    <n v="455.75"/>
    <n v="338.82"/>
    <n v="12761"/>
    <n v="9486.9599999999991"/>
    <n v="3274.0400000000009"/>
  </r>
  <r>
    <n v="1270"/>
    <d v="2025-11-02T00:00:00"/>
    <x v="2"/>
    <x v="0"/>
    <s v="Printer Paper"/>
    <x v="7"/>
    <n v="27"/>
    <n v="21.24"/>
    <n v="11.25"/>
    <n v="573.4799999999999"/>
    <n v="303.75"/>
    <n v="269.7299999999999"/>
  </r>
  <r>
    <n v="2006"/>
    <d v="2025-11-02T00:00:00"/>
    <x v="3"/>
    <x v="0"/>
    <s v="Desk Chair"/>
    <x v="2"/>
    <n v="12"/>
    <n v="52.05"/>
    <n v="35.36"/>
    <n v="624.59999999999991"/>
    <n v="424.32"/>
    <n v="200.27999999999992"/>
  </r>
  <r>
    <n v="2169"/>
    <d v="2025-11-02T00:00:00"/>
    <x v="1"/>
    <x v="3"/>
    <s v="Filing Cabinet"/>
    <x v="1"/>
    <n v="17"/>
    <n v="404.24"/>
    <n v="211.87"/>
    <n v="6872.08"/>
    <n v="3601.79"/>
    <n v="3270.29"/>
  </r>
  <r>
    <n v="2392"/>
    <d v="2025-11-02T00:00:00"/>
    <x v="0"/>
    <x v="1"/>
    <s v="Keyboard"/>
    <x v="3"/>
    <n v="22"/>
    <n v="603.35"/>
    <n v="414.71"/>
    <n v="13273.7"/>
    <n v="9123.619999999999"/>
    <n v="4150.0800000000017"/>
  </r>
  <r>
    <n v="2743"/>
    <d v="2025-11-02T00:00:00"/>
    <x v="3"/>
    <x v="2"/>
    <s v="Office Suite"/>
    <x v="4"/>
    <n v="16"/>
    <n v="96.04"/>
    <n v="64.44"/>
    <n v="1536.64"/>
    <n v="1031.04"/>
    <n v="505.60000000000014"/>
  </r>
  <r>
    <n v="1652"/>
    <d v="2025-11-04T00:00:00"/>
    <x v="2"/>
    <x v="1"/>
    <s v="Monitor"/>
    <x v="1"/>
    <n v="4"/>
    <n v="253.08"/>
    <n v="154.15"/>
    <n v="1012.32"/>
    <n v="616.6"/>
    <n v="395.72"/>
  </r>
  <r>
    <n v="2765"/>
    <d v="2025-11-04T00:00:00"/>
    <x v="1"/>
    <x v="0"/>
    <s v="Notebook"/>
    <x v="7"/>
    <n v="4"/>
    <n v="31.53"/>
    <n v="21.47"/>
    <n v="126.12"/>
    <n v="85.88"/>
    <n v="40.240000000000009"/>
  </r>
  <r>
    <n v="1092"/>
    <d v="2025-11-05T00:00:00"/>
    <x v="2"/>
    <x v="3"/>
    <s v="Office Desk"/>
    <x v="2"/>
    <n v="39"/>
    <n v="459.23"/>
    <n v="256.02999999999997"/>
    <n v="17909.97"/>
    <n v="9985.1699999999983"/>
    <n v="7924.8000000000029"/>
  </r>
  <r>
    <n v="1976"/>
    <d v="2025-11-05T00:00:00"/>
    <x v="1"/>
    <x v="3"/>
    <s v="Bookshelf"/>
    <x v="5"/>
    <n v="38"/>
    <n v="339.34"/>
    <n v="173.48"/>
    <n v="12894.919999999998"/>
    <n v="6592.24"/>
    <n v="6302.6799999999985"/>
  </r>
  <r>
    <n v="2076"/>
    <d v="2025-11-05T00:00:00"/>
    <x v="0"/>
    <x v="2"/>
    <s v="Office Suite"/>
    <x v="4"/>
    <n v="38"/>
    <n v="272.36"/>
    <n v="158.13"/>
    <n v="10349.68"/>
    <n v="6008.94"/>
    <n v="4340.7400000000007"/>
  </r>
  <r>
    <n v="1082"/>
    <d v="2025-11-06T00:00:00"/>
    <x v="2"/>
    <x v="0"/>
    <s v="Stapler"/>
    <x v="4"/>
    <n v="23"/>
    <n v="46.48"/>
    <n v="33.340000000000003"/>
    <n v="1069.04"/>
    <n v="766.82"/>
    <n v="302.21999999999991"/>
  </r>
  <r>
    <n v="1908"/>
    <d v="2025-11-06T00:00:00"/>
    <x v="2"/>
    <x v="3"/>
    <s v="Office Desk"/>
    <x v="3"/>
    <n v="7"/>
    <n v="471.65"/>
    <n v="324.25"/>
    <n v="3301.5499999999997"/>
    <n v="2269.75"/>
    <n v="1031.7999999999997"/>
  </r>
  <r>
    <n v="2505"/>
    <d v="2025-11-06T00:00:00"/>
    <x v="4"/>
    <x v="1"/>
    <s v="Headphones"/>
    <x v="4"/>
    <n v="7"/>
    <n v="636.87"/>
    <n v="422.13"/>
    <n v="4458.09"/>
    <n v="2954.91"/>
    <n v="1503.1800000000003"/>
  </r>
  <r>
    <n v="1999"/>
    <d v="2025-11-07T00:00:00"/>
    <x v="4"/>
    <x v="1"/>
    <s v="Webcam"/>
    <x v="5"/>
    <n v="2"/>
    <n v="824.45"/>
    <n v="466.34"/>
    <n v="1648.9"/>
    <n v="932.68"/>
    <n v="716.22000000000014"/>
  </r>
  <r>
    <n v="2555"/>
    <d v="2025-11-07T00:00:00"/>
    <x v="0"/>
    <x v="1"/>
    <s v="Laptop"/>
    <x v="3"/>
    <n v="8"/>
    <n v="154.68"/>
    <n v="82.02"/>
    <n v="1237.44"/>
    <n v="656.16"/>
    <n v="581.28000000000009"/>
  </r>
  <r>
    <n v="2584"/>
    <d v="2025-11-07T00:00:00"/>
    <x v="4"/>
    <x v="1"/>
    <s v="Webcam"/>
    <x v="3"/>
    <n v="16"/>
    <n v="370.28"/>
    <n v="231.84"/>
    <n v="5924.48"/>
    <n v="3709.44"/>
    <n v="2215.0399999999995"/>
  </r>
  <r>
    <n v="2586"/>
    <d v="2025-11-08T00:00:00"/>
    <x v="1"/>
    <x v="1"/>
    <s v="Laptop"/>
    <x v="6"/>
    <n v="17"/>
    <n v="315.45999999999998"/>
    <n v="227.15"/>
    <n v="5362.82"/>
    <n v="3861.55"/>
    <n v="1501.2699999999995"/>
  </r>
  <r>
    <n v="1076"/>
    <d v="2025-11-09T00:00:00"/>
    <x v="2"/>
    <x v="1"/>
    <s v="Keyboard"/>
    <x v="3"/>
    <n v="21"/>
    <n v="272.02"/>
    <n v="192.11"/>
    <n v="5712.42"/>
    <n v="4034.3100000000004"/>
    <n v="1678.1099999999997"/>
  </r>
  <r>
    <n v="1414"/>
    <d v="2025-11-10T00:00:00"/>
    <x v="2"/>
    <x v="1"/>
    <s v="Webcam"/>
    <x v="2"/>
    <n v="31"/>
    <n v="371.81"/>
    <n v="239.31"/>
    <n v="11526.11"/>
    <n v="7418.61"/>
    <n v="4107.5000000000009"/>
  </r>
  <r>
    <n v="2391"/>
    <d v="2025-11-10T00:00:00"/>
    <x v="3"/>
    <x v="2"/>
    <s v="Office Suite"/>
    <x v="0"/>
    <n v="8"/>
    <n v="223.2"/>
    <n v="121.49"/>
    <n v="1785.6"/>
    <n v="971.92"/>
    <n v="813.68"/>
  </r>
  <r>
    <n v="1251"/>
    <d v="2025-11-11T00:00:00"/>
    <x v="4"/>
    <x v="1"/>
    <s v="Webcam"/>
    <x v="6"/>
    <n v="14"/>
    <n v="873.23"/>
    <n v="498.53"/>
    <n v="12225.220000000001"/>
    <n v="6979.42"/>
    <n v="5245.8000000000011"/>
  </r>
  <r>
    <n v="1682"/>
    <d v="2025-11-11T00:00:00"/>
    <x v="0"/>
    <x v="0"/>
    <s v="Desk Lamp"/>
    <x v="6"/>
    <n v="15"/>
    <n v="27.44"/>
    <n v="20.25"/>
    <n v="411.6"/>
    <n v="303.75"/>
    <n v="107.85000000000002"/>
  </r>
  <r>
    <n v="2182"/>
    <d v="2025-11-11T00:00:00"/>
    <x v="2"/>
    <x v="2"/>
    <s v="Cloud Storage"/>
    <x v="2"/>
    <n v="7"/>
    <n v="97.24"/>
    <n v="54.74"/>
    <n v="680.68"/>
    <n v="383.18"/>
    <n v="297.49999999999994"/>
  </r>
  <r>
    <n v="2254"/>
    <d v="2025-11-11T00:00:00"/>
    <x v="3"/>
    <x v="1"/>
    <s v="Laptop"/>
    <x v="1"/>
    <n v="13"/>
    <n v="831.12"/>
    <n v="434.59"/>
    <n v="10804.56"/>
    <n v="5649.67"/>
    <n v="5154.8899999999994"/>
  </r>
  <r>
    <n v="2319"/>
    <d v="2025-11-11T00:00:00"/>
    <x v="4"/>
    <x v="2"/>
    <s v="Cloud Storage"/>
    <x v="7"/>
    <n v="9"/>
    <n v="206.1"/>
    <n v="126.04"/>
    <n v="1854.8999999999999"/>
    <n v="1134.3600000000001"/>
    <n v="720.53999999999974"/>
  </r>
  <r>
    <n v="2742"/>
    <d v="2025-11-11T00:00:00"/>
    <x v="0"/>
    <x v="0"/>
    <s v="Printer Paper"/>
    <x v="6"/>
    <n v="4"/>
    <n v="49.8"/>
    <n v="27.53"/>
    <n v="199.2"/>
    <n v="110.12"/>
    <n v="89.079999999999984"/>
  </r>
  <r>
    <n v="1785"/>
    <d v="2025-11-12T00:00:00"/>
    <x v="0"/>
    <x v="3"/>
    <s v="Whiteboard"/>
    <x v="1"/>
    <n v="17"/>
    <n v="358.29"/>
    <n v="189.6"/>
    <n v="6090.93"/>
    <n v="3223.2"/>
    <n v="2867.7300000000005"/>
  </r>
  <r>
    <n v="2235"/>
    <d v="2025-11-12T00:00:00"/>
    <x v="2"/>
    <x v="0"/>
    <s v="Desk Lamp"/>
    <x v="7"/>
    <n v="16"/>
    <n v="13.89"/>
    <n v="9.23"/>
    <n v="222.24"/>
    <n v="147.68"/>
    <n v="74.56"/>
  </r>
  <r>
    <n v="1039"/>
    <d v="2025-11-13T00:00:00"/>
    <x v="2"/>
    <x v="3"/>
    <s v="Whiteboard"/>
    <x v="0"/>
    <n v="36"/>
    <n v="474.95"/>
    <n v="344.67"/>
    <n v="17098.2"/>
    <n v="12408.12"/>
    <n v="4690.08"/>
  </r>
  <r>
    <n v="1441"/>
    <d v="2025-11-13T00:00:00"/>
    <x v="0"/>
    <x v="1"/>
    <s v="Monitor"/>
    <x v="6"/>
    <n v="21"/>
    <n v="72.66"/>
    <n v="40.75"/>
    <n v="1525.86"/>
    <n v="855.75"/>
    <n v="670.1099999999999"/>
  </r>
  <r>
    <n v="1118"/>
    <d v="2025-11-14T00:00:00"/>
    <x v="4"/>
    <x v="1"/>
    <s v="Monitor"/>
    <x v="6"/>
    <n v="39"/>
    <n v="106.02"/>
    <n v="73.260000000000005"/>
    <n v="4134.78"/>
    <n v="2857.1400000000003"/>
    <n v="1277.6399999999994"/>
  </r>
  <r>
    <n v="1143"/>
    <d v="2025-11-15T00:00:00"/>
    <x v="3"/>
    <x v="3"/>
    <s v="Office Desk"/>
    <x v="2"/>
    <n v="25"/>
    <n v="242.49"/>
    <n v="166.55"/>
    <n v="6062.25"/>
    <n v="4163.75"/>
    <n v="1898.5"/>
  </r>
  <r>
    <n v="1306"/>
    <d v="2025-11-15T00:00:00"/>
    <x v="4"/>
    <x v="2"/>
    <s v="Office Suite"/>
    <x v="2"/>
    <n v="25"/>
    <n v="262.73"/>
    <n v="162.55000000000001"/>
    <n v="6568.25"/>
    <n v="4063.7500000000005"/>
    <n v="2504.4999999999995"/>
  </r>
  <r>
    <n v="1981"/>
    <d v="2025-11-15T00:00:00"/>
    <x v="3"/>
    <x v="0"/>
    <s v="Desk Chair"/>
    <x v="1"/>
    <n v="1"/>
    <n v="26.26"/>
    <n v="14.35"/>
    <n v="26.26"/>
    <n v="14.35"/>
    <n v="11.910000000000002"/>
  </r>
  <r>
    <n v="2027"/>
    <d v="2025-11-15T00:00:00"/>
    <x v="3"/>
    <x v="3"/>
    <s v="Office Desk"/>
    <x v="7"/>
    <n v="5"/>
    <n v="195.97"/>
    <n v="123.11"/>
    <n v="979.85"/>
    <n v="615.54999999999995"/>
    <n v="364.30000000000007"/>
  </r>
  <r>
    <n v="2032"/>
    <d v="2025-11-15T00:00:00"/>
    <x v="2"/>
    <x v="2"/>
    <s v="Cloud Storage"/>
    <x v="5"/>
    <n v="35"/>
    <n v="266.64999999999998"/>
    <n v="183.65"/>
    <n v="9332.75"/>
    <n v="6427.75"/>
    <n v="2905"/>
  </r>
  <r>
    <n v="2084"/>
    <d v="2025-11-15T00:00:00"/>
    <x v="2"/>
    <x v="2"/>
    <s v="Office Suite"/>
    <x v="3"/>
    <n v="25"/>
    <n v="236.51"/>
    <n v="171.35"/>
    <n v="5912.75"/>
    <n v="4283.75"/>
    <n v="1629"/>
  </r>
  <r>
    <n v="1026"/>
    <d v="2025-11-16T00:00:00"/>
    <x v="4"/>
    <x v="0"/>
    <s v="Printer Paper"/>
    <x v="6"/>
    <n v="9"/>
    <n v="20.100000000000001"/>
    <n v="10.41"/>
    <n v="180.9"/>
    <n v="93.69"/>
    <n v="87.210000000000008"/>
  </r>
  <r>
    <n v="1180"/>
    <d v="2025-11-16T00:00:00"/>
    <x v="1"/>
    <x v="0"/>
    <s v="Notebook"/>
    <x v="2"/>
    <n v="7"/>
    <n v="43.89"/>
    <n v="22"/>
    <n v="307.23"/>
    <n v="154"/>
    <n v="153.23000000000002"/>
  </r>
  <r>
    <n v="1896"/>
    <d v="2025-11-16T00:00:00"/>
    <x v="3"/>
    <x v="3"/>
    <s v="Whiteboard"/>
    <x v="4"/>
    <n v="35"/>
    <n v="116.05"/>
    <n v="84.64"/>
    <n v="4061.75"/>
    <n v="2962.4"/>
    <n v="1099.3499999999999"/>
  </r>
  <r>
    <n v="1038"/>
    <d v="2025-11-17T00:00:00"/>
    <x v="0"/>
    <x v="3"/>
    <s v="Whiteboard"/>
    <x v="3"/>
    <n v="22"/>
    <n v="132.34"/>
    <n v="82.95"/>
    <n v="2911.48"/>
    <n v="1824.9"/>
    <n v="1086.58"/>
  </r>
  <r>
    <n v="1648"/>
    <d v="2025-11-17T00:00:00"/>
    <x v="1"/>
    <x v="1"/>
    <s v="Laptop"/>
    <x v="0"/>
    <n v="33"/>
    <n v="580.51"/>
    <n v="430.75"/>
    <n v="19156.829999999998"/>
    <n v="14214.75"/>
    <n v="4942.0799999999981"/>
  </r>
  <r>
    <n v="2590"/>
    <d v="2025-11-17T00:00:00"/>
    <x v="2"/>
    <x v="0"/>
    <s v="Stapler"/>
    <x v="6"/>
    <n v="38"/>
    <n v="41.21"/>
    <n v="21.12"/>
    <n v="1565.98"/>
    <n v="802.56000000000006"/>
    <n v="763.42"/>
  </r>
  <r>
    <n v="2780"/>
    <d v="2025-11-17T00:00:00"/>
    <x v="2"/>
    <x v="2"/>
    <s v="Design Tool"/>
    <x v="2"/>
    <n v="29"/>
    <n v="190.79"/>
    <n v="131.21"/>
    <n v="5532.91"/>
    <n v="3805.09"/>
    <n v="1727.8199999999997"/>
  </r>
  <r>
    <n v="1929"/>
    <d v="2025-11-18T00:00:00"/>
    <x v="3"/>
    <x v="2"/>
    <s v="Cloud Storage"/>
    <x v="5"/>
    <n v="21"/>
    <n v="33.1"/>
    <n v="18.82"/>
    <n v="695.1"/>
    <n v="395.22"/>
    <n v="299.88"/>
  </r>
  <r>
    <n v="2288"/>
    <d v="2025-11-18T00:00:00"/>
    <x v="1"/>
    <x v="2"/>
    <s v="Office Suite"/>
    <x v="1"/>
    <n v="8"/>
    <n v="264.79000000000002"/>
    <n v="145.63999999999999"/>
    <n v="2118.3200000000002"/>
    <n v="1165.1199999999999"/>
    <n v="953.20000000000027"/>
  </r>
  <r>
    <n v="2574"/>
    <d v="2025-11-18T00:00:00"/>
    <x v="0"/>
    <x v="2"/>
    <s v="Office Suite"/>
    <x v="4"/>
    <n v="17"/>
    <n v="61.7"/>
    <n v="36.299999999999997"/>
    <n v="1048.9000000000001"/>
    <n v="617.09999999999991"/>
    <n v="431.80000000000018"/>
  </r>
  <r>
    <n v="2638"/>
    <d v="2025-11-18T00:00:00"/>
    <x v="1"/>
    <x v="2"/>
    <s v="Cloud Storage"/>
    <x v="3"/>
    <n v="1"/>
    <n v="127.44"/>
    <n v="66.680000000000007"/>
    <n v="127.44"/>
    <n v="66.680000000000007"/>
    <n v="60.759999999999991"/>
  </r>
  <r>
    <n v="1042"/>
    <d v="2025-11-19T00:00:00"/>
    <x v="4"/>
    <x v="0"/>
    <s v="Notebook"/>
    <x v="1"/>
    <n v="2"/>
    <n v="59.08"/>
    <n v="36.270000000000003"/>
    <n v="118.16"/>
    <n v="72.540000000000006"/>
    <n v="45.61999999999999"/>
  </r>
  <r>
    <n v="1074"/>
    <d v="2025-11-19T00:00:00"/>
    <x v="4"/>
    <x v="1"/>
    <s v="Monitor"/>
    <x v="4"/>
    <n v="34"/>
    <n v="607.27"/>
    <n v="400.01"/>
    <n v="20647.18"/>
    <n v="13600.34"/>
    <n v="7046.84"/>
  </r>
  <r>
    <n v="1097"/>
    <d v="2025-11-19T00:00:00"/>
    <x v="4"/>
    <x v="2"/>
    <s v="Design Tool"/>
    <x v="3"/>
    <n v="15"/>
    <n v="111.84"/>
    <n v="72.98"/>
    <n v="1677.6000000000001"/>
    <n v="1094.7"/>
    <n v="582.90000000000009"/>
  </r>
  <r>
    <n v="1199"/>
    <d v="2025-11-19T00:00:00"/>
    <x v="4"/>
    <x v="0"/>
    <s v="Printer Paper"/>
    <x v="1"/>
    <n v="34"/>
    <n v="20.13"/>
    <n v="14.49"/>
    <n v="684.42"/>
    <n v="492.66"/>
    <n v="191.75999999999993"/>
  </r>
  <r>
    <n v="2250"/>
    <d v="2025-11-19T00:00:00"/>
    <x v="4"/>
    <x v="2"/>
    <s v="Design Tool"/>
    <x v="5"/>
    <n v="33"/>
    <n v="115.8"/>
    <n v="85.2"/>
    <n v="3821.4"/>
    <n v="2811.6"/>
    <n v="1009.8000000000002"/>
  </r>
  <r>
    <n v="2301"/>
    <d v="2025-11-19T00:00:00"/>
    <x v="2"/>
    <x v="2"/>
    <s v="Design Tool"/>
    <x v="6"/>
    <n v="6"/>
    <n v="120.43"/>
    <n v="74.260000000000005"/>
    <n v="722.58"/>
    <n v="445.56000000000006"/>
    <n v="277.02"/>
  </r>
  <r>
    <n v="1228"/>
    <d v="2025-11-20T00:00:00"/>
    <x v="2"/>
    <x v="0"/>
    <s v="Printer Paper"/>
    <x v="7"/>
    <n v="17"/>
    <n v="43.77"/>
    <n v="32.729999999999997"/>
    <n v="744.09"/>
    <n v="556.41"/>
    <n v="187.68000000000006"/>
  </r>
  <r>
    <n v="1271"/>
    <d v="2025-11-20T00:00:00"/>
    <x v="3"/>
    <x v="0"/>
    <s v="Notebook"/>
    <x v="2"/>
    <n v="26"/>
    <n v="29.51"/>
    <n v="17.170000000000002"/>
    <n v="767.26"/>
    <n v="446.42000000000007"/>
    <n v="320.83999999999992"/>
  </r>
  <r>
    <n v="2343"/>
    <d v="2025-11-20T00:00:00"/>
    <x v="2"/>
    <x v="2"/>
    <s v="Design Tool"/>
    <x v="5"/>
    <n v="2"/>
    <n v="189.84"/>
    <n v="112.62"/>
    <n v="379.68"/>
    <n v="225.24"/>
    <n v="154.44"/>
  </r>
  <r>
    <n v="2085"/>
    <d v="2025-11-21T00:00:00"/>
    <x v="2"/>
    <x v="2"/>
    <s v="Antivirus License"/>
    <x v="5"/>
    <n v="32"/>
    <n v="267.95999999999998"/>
    <n v="145.91"/>
    <n v="8574.7199999999993"/>
    <n v="4669.12"/>
    <n v="3905.5999999999995"/>
  </r>
  <r>
    <n v="1536"/>
    <d v="2025-11-22T00:00:00"/>
    <x v="0"/>
    <x v="0"/>
    <s v="Desk Lamp"/>
    <x v="5"/>
    <n v="12"/>
    <n v="3.6"/>
    <n v="2.17"/>
    <n v="43.2"/>
    <n v="26.04"/>
    <n v="17.160000000000004"/>
  </r>
  <r>
    <n v="1620"/>
    <d v="2025-11-22T00:00:00"/>
    <x v="0"/>
    <x v="3"/>
    <s v="Whiteboard"/>
    <x v="5"/>
    <n v="11"/>
    <n v="263.12"/>
    <n v="187.3"/>
    <n v="2894.32"/>
    <n v="2060.3000000000002"/>
    <n v="834.02"/>
  </r>
  <r>
    <n v="1341"/>
    <d v="2025-11-24T00:00:00"/>
    <x v="4"/>
    <x v="2"/>
    <s v="Antivirus License"/>
    <x v="3"/>
    <n v="3"/>
    <n v="112.03"/>
    <n v="81.069999999999993"/>
    <n v="336.09000000000003"/>
    <n v="243.20999999999998"/>
    <n v="92.880000000000052"/>
  </r>
  <r>
    <n v="1764"/>
    <d v="2025-11-24T00:00:00"/>
    <x v="4"/>
    <x v="0"/>
    <s v="Stapler"/>
    <x v="5"/>
    <n v="12"/>
    <n v="4.96"/>
    <n v="3.34"/>
    <n v="59.519999999999996"/>
    <n v="40.08"/>
    <n v="19.439999999999998"/>
  </r>
  <r>
    <n v="1396"/>
    <d v="2025-11-25T00:00:00"/>
    <x v="2"/>
    <x v="2"/>
    <s v="Design Tool"/>
    <x v="2"/>
    <n v="34"/>
    <n v="235.23"/>
    <n v="138.22999999999999"/>
    <n v="7997.82"/>
    <n v="4699.82"/>
    <n v="3298"/>
  </r>
  <r>
    <n v="1474"/>
    <d v="2025-11-25T00:00:00"/>
    <x v="1"/>
    <x v="0"/>
    <s v="Stapler"/>
    <x v="7"/>
    <n v="37"/>
    <n v="58.32"/>
    <n v="37.07"/>
    <n v="2157.84"/>
    <n v="1371.59"/>
    <n v="786.25000000000023"/>
  </r>
  <r>
    <n v="1501"/>
    <d v="2025-11-25T00:00:00"/>
    <x v="4"/>
    <x v="1"/>
    <s v="Monitor"/>
    <x v="5"/>
    <n v="23"/>
    <n v="115.62"/>
    <n v="68.66"/>
    <n v="2659.26"/>
    <n v="1579.1799999999998"/>
    <n v="1080.0800000000004"/>
  </r>
  <r>
    <n v="2001"/>
    <d v="2025-11-25T00:00:00"/>
    <x v="4"/>
    <x v="2"/>
    <s v="Cloud Storage"/>
    <x v="0"/>
    <n v="11"/>
    <n v="86.7"/>
    <n v="63.02"/>
    <n v="953.7"/>
    <n v="693.22"/>
    <n v="260.48"/>
  </r>
  <r>
    <n v="2625"/>
    <d v="2025-11-25T00:00:00"/>
    <x v="0"/>
    <x v="2"/>
    <s v="Office Suite"/>
    <x v="2"/>
    <n v="13"/>
    <n v="67.52"/>
    <n v="34.99"/>
    <n v="877.76"/>
    <n v="454.87"/>
    <n v="422.89"/>
  </r>
  <r>
    <n v="1519"/>
    <d v="2025-11-26T00:00:00"/>
    <x v="4"/>
    <x v="2"/>
    <s v="Design Tool"/>
    <x v="3"/>
    <n v="38"/>
    <n v="55.72"/>
    <n v="31.96"/>
    <n v="2117.36"/>
    <n v="1214.48"/>
    <n v="902.88000000000011"/>
  </r>
  <r>
    <n v="1607"/>
    <d v="2025-11-26T00:00:00"/>
    <x v="4"/>
    <x v="0"/>
    <s v="Desk Chair"/>
    <x v="4"/>
    <n v="7"/>
    <n v="32.79"/>
    <n v="19.63"/>
    <n v="229.53"/>
    <n v="137.41"/>
    <n v="92.12"/>
  </r>
  <r>
    <n v="1326"/>
    <d v="2025-11-27T00:00:00"/>
    <x v="4"/>
    <x v="1"/>
    <s v="Monitor"/>
    <x v="5"/>
    <n v="15"/>
    <n v="685.14"/>
    <n v="387.2"/>
    <n v="10277.1"/>
    <n v="5808"/>
    <n v="4469.1000000000004"/>
  </r>
  <r>
    <n v="1400"/>
    <d v="2025-11-27T00:00:00"/>
    <x v="2"/>
    <x v="0"/>
    <s v="Stapler"/>
    <x v="4"/>
    <n v="12"/>
    <n v="34.630000000000003"/>
    <n v="20.3"/>
    <n v="415.56000000000006"/>
    <n v="243.60000000000002"/>
    <n v="171.96000000000004"/>
  </r>
  <r>
    <n v="1328"/>
    <d v="2025-11-28T00:00:00"/>
    <x v="2"/>
    <x v="3"/>
    <s v="Whiteboard"/>
    <x v="2"/>
    <n v="10"/>
    <n v="251.86"/>
    <n v="183.02"/>
    <n v="2518.6000000000004"/>
    <n v="1830.2"/>
    <n v="688.40000000000032"/>
  </r>
  <r>
    <n v="1440"/>
    <d v="2025-11-28T00:00:00"/>
    <x v="4"/>
    <x v="3"/>
    <s v="Bookshelf"/>
    <x v="2"/>
    <n v="36"/>
    <n v="348.18"/>
    <n v="251.34"/>
    <n v="12534.48"/>
    <n v="9048.24"/>
    <n v="3486.24"/>
  </r>
  <r>
    <n v="1889"/>
    <d v="2025-11-28T00:00:00"/>
    <x v="0"/>
    <x v="0"/>
    <s v="Desk Lamp"/>
    <x v="5"/>
    <n v="29"/>
    <n v="22.32"/>
    <n v="13.56"/>
    <n v="647.28"/>
    <n v="393.24"/>
    <n v="254.03999999999996"/>
  </r>
  <r>
    <n v="2731"/>
    <d v="2025-11-29T00:00:00"/>
    <x v="0"/>
    <x v="0"/>
    <s v="Desk Chair"/>
    <x v="0"/>
    <n v="12"/>
    <n v="40.770000000000003"/>
    <n v="20.65"/>
    <n v="489.24"/>
    <n v="247.79999999999998"/>
    <n v="241.44000000000003"/>
  </r>
  <r>
    <n v="1089"/>
    <d v="2025-11-30T00:00:00"/>
    <x v="0"/>
    <x v="2"/>
    <s v="Office Suite"/>
    <x v="7"/>
    <n v="30"/>
    <n v="271.69"/>
    <n v="167.45"/>
    <n v="8150.7"/>
    <n v="5023.5"/>
    <n v="3127.2"/>
  </r>
  <r>
    <n v="1262"/>
    <d v="2025-11-30T00:00:00"/>
    <x v="0"/>
    <x v="2"/>
    <s v="Antivirus License"/>
    <x v="2"/>
    <n v="38"/>
    <n v="36.93"/>
    <n v="25.75"/>
    <n v="1403.34"/>
    <n v="978.5"/>
    <n v="424.83999999999992"/>
  </r>
  <r>
    <n v="2188"/>
    <d v="2025-11-30T00:00:00"/>
    <x v="4"/>
    <x v="3"/>
    <s v="Bookshelf"/>
    <x v="0"/>
    <n v="29"/>
    <n v="373.62"/>
    <n v="258.60000000000002"/>
    <n v="10834.98"/>
    <n v="7499.4000000000005"/>
    <n v="3335.579999999999"/>
  </r>
  <r>
    <n v="2209"/>
    <d v="2025-11-30T00:00:00"/>
    <x v="0"/>
    <x v="3"/>
    <s v="Bookshelf"/>
    <x v="4"/>
    <n v="12"/>
    <n v="266.94"/>
    <n v="195.89"/>
    <n v="3203.2799999999997"/>
    <n v="2350.6799999999998"/>
    <n v="852.59999999999991"/>
  </r>
  <r>
    <n v="2259"/>
    <d v="2025-11-30T00:00:00"/>
    <x v="4"/>
    <x v="3"/>
    <s v="Bookshelf"/>
    <x v="3"/>
    <n v="4"/>
    <n v="387.82"/>
    <n v="273.19"/>
    <n v="1551.28"/>
    <n v="1092.76"/>
    <n v="458.52"/>
  </r>
  <r>
    <n v="1663"/>
    <d v="2025-12-01T00:00:00"/>
    <x v="4"/>
    <x v="0"/>
    <s v="Desk Lamp"/>
    <x v="6"/>
    <n v="19"/>
    <n v="34.409999999999997"/>
    <n v="21.6"/>
    <n v="653.79"/>
    <n v="410.40000000000003"/>
    <n v="243.38999999999993"/>
  </r>
  <r>
    <n v="1990"/>
    <d v="2025-12-01T00:00:00"/>
    <x v="3"/>
    <x v="2"/>
    <s v="Antivirus License"/>
    <x v="6"/>
    <n v="25"/>
    <n v="58.58"/>
    <n v="35.700000000000003"/>
    <n v="1464.5"/>
    <n v="892.50000000000011"/>
    <n v="571.99999999999989"/>
  </r>
  <r>
    <n v="2217"/>
    <d v="2025-12-01T00:00:00"/>
    <x v="2"/>
    <x v="0"/>
    <s v="Desk Lamp"/>
    <x v="5"/>
    <n v="3"/>
    <n v="8.6199999999999992"/>
    <n v="5.85"/>
    <n v="25.86"/>
    <n v="17.549999999999997"/>
    <n v="8.3100000000000023"/>
  </r>
  <r>
    <n v="1208"/>
    <d v="2025-12-02T00:00:00"/>
    <x v="4"/>
    <x v="3"/>
    <s v="Whiteboard"/>
    <x v="4"/>
    <n v="30"/>
    <n v="151.09"/>
    <n v="93.99"/>
    <n v="4532.7"/>
    <n v="2819.7"/>
    <n v="1713"/>
  </r>
  <r>
    <n v="1615"/>
    <d v="2025-12-02T00:00:00"/>
    <x v="1"/>
    <x v="2"/>
    <s v="Cloud Storage"/>
    <x v="1"/>
    <n v="33"/>
    <n v="125.78"/>
    <n v="84.16"/>
    <n v="4150.74"/>
    <n v="2777.2799999999997"/>
    <n v="1373.46"/>
  </r>
  <r>
    <n v="1957"/>
    <d v="2025-12-02T00:00:00"/>
    <x v="0"/>
    <x v="2"/>
    <s v="Office Suite"/>
    <x v="0"/>
    <n v="40"/>
    <n v="38.090000000000003"/>
    <n v="21.85"/>
    <n v="1523.6000000000001"/>
    <n v="874"/>
    <n v="649.60000000000014"/>
  </r>
  <r>
    <n v="1640"/>
    <d v="2025-12-03T00:00:00"/>
    <x v="2"/>
    <x v="3"/>
    <s v="Whiteboard"/>
    <x v="4"/>
    <n v="9"/>
    <n v="427.24"/>
    <n v="234.84"/>
    <n v="3845.16"/>
    <n v="2113.56"/>
    <n v="1731.6"/>
  </r>
  <r>
    <n v="1953"/>
    <d v="2025-12-03T00:00:00"/>
    <x v="1"/>
    <x v="1"/>
    <s v="Monitor"/>
    <x v="6"/>
    <n v="15"/>
    <n v="613.87"/>
    <n v="420.66"/>
    <n v="9208.0499999999993"/>
    <n v="6309.9000000000005"/>
    <n v="2898.1499999999987"/>
  </r>
  <r>
    <n v="2108"/>
    <d v="2025-12-04T00:00:00"/>
    <x v="4"/>
    <x v="2"/>
    <s v="Office Suite"/>
    <x v="6"/>
    <n v="32"/>
    <n v="63.95"/>
    <n v="45.94"/>
    <n v="2046.4"/>
    <n v="1470.08"/>
    <n v="576.32000000000016"/>
  </r>
  <r>
    <n v="1173"/>
    <d v="2025-12-05T00:00:00"/>
    <x v="3"/>
    <x v="2"/>
    <s v="Design Tool"/>
    <x v="7"/>
    <n v="4"/>
    <n v="193.53"/>
    <n v="137.46"/>
    <n v="774.12"/>
    <n v="549.84"/>
    <n v="224.27999999999997"/>
  </r>
  <r>
    <n v="1934"/>
    <d v="2025-12-05T00:00:00"/>
    <x v="2"/>
    <x v="0"/>
    <s v="Notebook"/>
    <x v="3"/>
    <n v="13"/>
    <n v="49.3"/>
    <n v="24.71"/>
    <n v="640.9"/>
    <n v="321.23"/>
    <n v="319.66999999999996"/>
  </r>
  <r>
    <n v="1935"/>
    <d v="2025-12-05T00:00:00"/>
    <x v="3"/>
    <x v="3"/>
    <s v="Office Desk"/>
    <x v="3"/>
    <n v="4"/>
    <n v="218.32"/>
    <n v="153.51"/>
    <n v="873.28"/>
    <n v="614.04"/>
    <n v="259.24"/>
  </r>
  <r>
    <n v="1948"/>
    <d v="2025-12-05T00:00:00"/>
    <x v="0"/>
    <x v="0"/>
    <s v="Printer Paper"/>
    <x v="3"/>
    <n v="11"/>
    <n v="54.29"/>
    <n v="33.590000000000003"/>
    <n v="597.18999999999994"/>
    <n v="369.49"/>
    <n v="227.69999999999993"/>
  </r>
  <r>
    <n v="1968"/>
    <d v="2025-12-05T00:00:00"/>
    <x v="0"/>
    <x v="1"/>
    <s v="Laptop"/>
    <x v="2"/>
    <n v="10"/>
    <n v="567.17999999999995"/>
    <n v="350.76"/>
    <n v="5671.7999999999993"/>
    <n v="3507.6"/>
    <n v="2164.1999999999994"/>
  </r>
  <r>
    <n v="2031"/>
    <d v="2025-12-05T00:00:00"/>
    <x v="4"/>
    <x v="2"/>
    <s v="Office Suite"/>
    <x v="5"/>
    <n v="31"/>
    <n v="255.39"/>
    <n v="183.56"/>
    <n v="7917.0899999999992"/>
    <n v="5690.36"/>
    <n v="2226.7299999999996"/>
  </r>
  <r>
    <n v="2069"/>
    <d v="2025-12-06T00:00:00"/>
    <x v="1"/>
    <x v="2"/>
    <s v="Office Suite"/>
    <x v="2"/>
    <n v="20"/>
    <n v="179.09"/>
    <n v="120.72"/>
    <n v="3581.8"/>
    <n v="2414.4"/>
    <n v="1167.4000000000001"/>
  </r>
  <r>
    <n v="1459"/>
    <d v="2025-12-07T00:00:00"/>
    <x v="1"/>
    <x v="1"/>
    <s v="Webcam"/>
    <x v="0"/>
    <n v="3"/>
    <n v="673.86"/>
    <n v="466.8"/>
    <n v="2021.58"/>
    <n v="1400.4"/>
    <n v="621.17999999999984"/>
  </r>
  <r>
    <n v="1498"/>
    <d v="2025-12-07T00:00:00"/>
    <x v="4"/>
    <x v="3"/>
    <s v="Office Desk"/>
    <x v="0"/>
    <n v="20"/>
    <n v="82.58"/>
    <n v="48.34"/>
    <n v="1651.6"/>
    <n v="966.80000000000007"/>
    <n v="684.79999999999984"/>
  </r>
  <r>
    <n v="1668"/>
    <d v="2025-12-07T00:00:00"/>
    <x v="2"/>
    <x v="3"/>
    <s v="Office Desk"/>
    <x v="1"/>
    <n v="9"/>
    <n v="86.67"/>
    <n v="61.95"/>
    <n v="780.03"/>
    <n v="557.55000000000007"/>
    <n v="222.4799999999999"/>
  </r>
  <r>
    <n v="1721"/>
    <d v="2025-12-07T00:00:00"/>
    <x v="2"/>
    <x v="1"/>
    <s v="Monitor"/>
    <x v="7"/>
    <n v="11"/>
    <n v="336.55"/>
    <n v="204.62"/>
    <n v="3702.05"/>
    <n v="2250.8200000000002"/>
    <n v="1451.23"/>
  </r>
  <r>
    <n v="2127"/>
    <d v="2025-12-07T00:00:00"/>
    <x v="2"/>
    <x v="0"/>
    <s v="Desk Chair"/>
    <x v="0"/>
    <n v="36"/>
    <n v="45.36"/>
    <n v="32.96"/>
    <n v="1632.96"/>
    <n v="1186.56"/>
    <n v="446.40000000000009"/>
  </r>
  <r>
    <n v="2716"/>
    <d v="2025-12-07T00:00:00"/>
    <x v="0"/>
    <x v="1"/>
    <s v="Laptop"/>
    <x v="5"/>
    <n v="34"/>
    <n v="479.59"/>
    <n v="343.33"/>
    <n v="16306.06"/>
    <n v="11673.22"/>
    <n v="4632.84"/>
  </r>
  <r>
    <n v="1031"/>
    <d v="2025-12-08T00:00:00"/>
    <x v="0"/>
    <x v="1"/>
    <s v="Headphones"/>
    <x v="1"/>
    <n v="28"/>
    <n v="167.05"/>
    <n v="119.47"/>
    <n v="4677.4000000000005"/>
    <n v="3345.16"/>
    <n v="1332.2400000000007"/>
  </r>
  <r>
    <n v="2767"/>
    <d v="2025-12-08T00:00:00"/>
    <x v="0"/>
    <x v="1"/>
    <s v="Keyboard"/>
    <x v="2"/>
    <n v="31"/>
    <n v="334.53"/>
    <n v="219.98"/>
    <n v="10370.429999999998"/>
    <n v="6819.38"/>
    <n v="3551.0499999999984"/>
  </r>
  <r>
    <n v="2785"/>
    <d v="2025-12-08T00:00:00"/>
    <x v="2"/>
    <x v="3"/>
    <s v="Filing Cabinet"/>
    <x v="6"/>
    <n v="7"/>
    <n v="473"/>
    <n v="267.68"/>
    <n v="3311"/>
    <n v="1873.76"/>
    <n v="1437.24"/>
  </r>
  <r>
    <n v="1154"/>
    <d v="2025-12-11T00:00:00"/>
    <x v="2"/>
    <x v="0"/>
    <s v="Desk Chair"/>
    <x v="1"/>
    <n v="5"/>
    <n v="54.22"/>
    <n v="36.35"/>
    <n v="271.10000000000002"/>
    <n v="181.75"/>
    <n v="89.350000000000023"/>
  </r>
  <r>
    <n v="1724"/>
    <d v="2025-12-11T00:00:00"/>
    <x v="3"/>
    <x v="0"/>
    <s v="Desk Chair"/>
    <x v="4"/>
    <n v="4"/>
    <n v="38.69"/>
    <n v="24.75"/>
    <n v="154.76"/>
    <n v="99"/>
    <n v="55.759999999999991"/>
  </r>
  <r>
    <n v="2118"/>
    <d v="2025-12-11T00:00:00"/>
    <x v="3"/>
    <x v="2"/>
    <s v="Cloud Storage"/>
    <x v="7"/>
    <n v="17"/>
    <n v="146.11000000000001"/>
    <n v="82.48"/>
    <n v="2483.8700000000003"/>
    <n v="1402.16"/>
    <n v="1081.7100000000003"/>
  </r>
  <r>
    <n v="1250"/>
    <d v="2025-12-12T00:00:00"/>
    <x v="4"/>
    <x v="2"/>
    <s v="Cloud Storage"/>
    <x v="5"/>
    <n v="38"/>
    <n v="224.66"/>
    <n v="138.08000000000001"/>
    <n v="8537.08"/>
    <n v="5247.0400000000009"/>
    <n v="3290.0399999999991"/>
  </r>
  <r>
    <n v="1608"/>
    <d v="2025-12-12T00:00:00"/>
    <x v="1"/>
    <x v="1"/>
    <s v="Monitor"/>
    <x v="3"/>
    <n v="24"/>
    <n v="879.17"/>
    <n v="466.57"/>
    <n v="21100.079999999998"/>
    <n v="11197.68"/>
    <n v="9902.3999999999978"/>
  </r>
  <r>
    <n v="2159"/>
    <d v="2025-12-12T00:00:00"/>
    <x v="2"/>
    <x v="1"/>
    <s v="Laptop"/>
    <x v="7"/>
    <n v="19"/>
    <n v="372.23"/>
    <n v="273.24"/>
    <n v="7072.3700000000008"/>
    <n v="5191.5600000000004"/>
    <n v="1880.8100000000004"/>
  </r>
  <r>
    <n v="2378"/>
    <d v="2025-12-12T00:00:00"/>
    <x v="2"/>
    <x v="2"/>
    <s v="Design Tool"/>
    <x v="0"/>
    <n v="19"/>
    <n v="280.54000000000002"/>
    <n v="195.98"/>
    <n v="5330.26"/>
    <n v="3723.62"/>
    <n v="1606.6400000000003"/>
  </r>
  <r>
    <n v="1485"/>
    <d v="2025-12-13T00:00:00"/>
    <x v="1"/>
    <x v="0"/>
    <s v="Stapler"/>
    <x v="6"/>
    <n v="21"/>
    <n v="13.2"/>
    <n v="7.27"/>
    <n v="277.2"/>
    <n v="152.66999999999999"/>
    <n v="124.53"/>
  </r>
  <r>
    <n v="2514"/>
    <d v="2025-12-13T00:00:00"/>
    <x v="4"/>
    <x v="1"/>
    <s v="Headphones"/>
    <x v="6"/>
    <n v="25"/>
    <n v="671.26"/>
    <n v="448.57"/>
    <n v="16781.5"/>
    <n v="11214.25"/>
    <n v="5567.25"/>
  </r>
  <r>
    <n v="1397"/>
    <d v="2025-12-14T00:00:00"/>
    <x v="1"/>
    <x v="1"/>
    <s v="Keyboard"/>
    <x v="1"/>
    <n v="17"/>
    <n v="460.8"/>
    <n v="331.4"/>
    <n v="7833.6"/>
    <n v="5633.7999999999993"/>
    <n v="2199.8000000000011"/>
  </r>
  <r>
    <n v="1469"/>
    <d v="2025-12-14T00:00:00"/>
    <x v="1"/>
    <x v="3"/>
    <s v="Office Desk"/>
    <x v="4"/>
    <n v="1"/>
    <n v="358.45"/>
    <n v="211.51"/>
    <n v="358.45"/>
    <n v="211.51"/>
    <n v="146.94"/>
  </r>
  <r>
    <n v="1553"/>
    <d v="2025-12-14T00:00:00"/>
    <x v="4"/>
    <x v="0"/>
    <s v="Stapler"/>
    <x v="7"/>
    <n v="38"/>
    <n v="8.6999999999999993"/>
    <n v="6.04"/>
    <n v="330.59999999999997"/>
    <n v="229.52"/>
    <n v="101.07999999999996"/>
  </r>
  <r>
    <n v="1575"/>
    <d v="2025-12-14T00:00:00"/>
    <x v="0"/>
    <x v="2"/>
    <s v="Office Suite"/>
    <x v="7"/>
    <n v="34"/>
    <n v="211.07"/>
    <n v="154.69999999999999"/>
    <n v="7176.38"/>
    <n v="5259.7999999999993"/>
    <n v="1916.5800000000008"/>
  </r>
  <r>
    <n v="1905"/>
    <d v="2025-12-14T00:00:00"/>
    <x v="1"/>
    <x v="0"/>
    <s v="Desk Lamp"/>
    <x v="6"/>
    <n v="14"/>
    <n v="57.29"/>
    <n v="28.85"/>
    <n v="802.06"/>
    <n v="403.90000000000003"/>
    <n v="398.15999999999991"/>
  </r>
  <r>
    <n v="1933"/>
    <d v="2025-12-14T00:00:00"/>
    <x v="2"/>
    <x v="2"/>
    <s v="Antivirus License"/>
    <x v="5"/>
    <n v="40"/>
    <n v="58.85"/>
    <n v="44.04"/>
    <n v="2354"/>
    <n v="1761.6"/>
    <n v="592.40000000000009"/>
  </r>
  <r>
    <n v="2607"/>
    <d v="2025-12-14T00:00:00"/>
    <x v="2"/>
    <x v="1"/>
    <s v="Headphones"/>
    <x v="3"/>
    <n v="5"/>
    <n v="458.56"/>
    <n v="297.61"/>
    <n v="2292.8000000000002"/>
    <n v="1488.0500000000002"/>
    <n v="804.75"/>
  </r>
  <r>
    <n v="1065"/>
    <d v="2025-12-15T00:00:00"/>
    <x v="0"/>
    <x v="2"/>
    <s v="Antivirus License"/>
    <x v="2"/>
    <n v="37"/>
    <n v="290.33999999999997"/>
    <n v="163.5"/>
    <n v="10742.58"/>
    <n v="6049.5"/>
    <n v="4693.08"/>
  </r>
  <r>
    <n v="1083"/>
    <d v="2025-12-15T00:00:00"/>
    <x v="0"/>
    <x v="2"/>
    <s v="Office Suite"/>
    <x v="6"/>
    <n v="3"/>
    <n v="126.74"/>
    <n v="94.69"/>
    <n v="380.21999999999997"/>
    <n v="284.07"/>
    <n v="96.149999999999977"/>
  </r>
  <r>
    <n v="1430"/>
    <d v="2025-12-15T00:00:00"/>
    <x v="1"/>
    <x v="0"/>
    <s v="Desk Lamp"/>
    <x v="4"/>
    <n v="37"/>
    <n v="39.47"/>
    <n v="24.49"/>
    <n v="1460.3899999999999"/>
    <n v="906.13"/>
    <n v="554.25999999999988"/>
  </r>
  <r>
    <n v="1972"/>
    <d v="2025-12-15T00:00:00"/>
    <x v="3"/>
    <x v="2"/>
    <s v="Cloud Storage"/>
    <x v="6"/>
    <n v="10"/>
    <n v="23.09"/>
    <n v="13.29"/>
    <n v="230.9"/>
    <n v="132.89999999999998"/>
    <n v="98.000000000000028"/>
  </r>
  <r>
    <n v="1995"/>
    <d v="2025-12-15T00:00:00"/>
    <x v="1"/>
    <x v="1"/>
    <s v="Laptop"/>
    <x v="5"/>
    <n v="27"/>
    <n v="652.62"/>
    <n v="348.68"/>
    <n v="17620.740000000002"/>
    <n v="9414.36"/>
    <n v="8206.380000000001"/>
  </r>
  <r>
    <n v="2314"/>
    <d v="2025-12-15T00:00:00"/>
    <x v="1"/>
    <x v="2"/>
    <s v="Office Suite"/>
    <x v="4"/>
    <n v="19"/>
    <n v="139.47999999999999"/>
    <n v="93.69"/>
    <n v="2650.12"/>
    <n v="1780.11"/>
    <n v="870.01"/>
  </r>
  <r>
    <n v="2374"/>
    <d v="2025-12-15T00:00:00"/>
    <x v="0"/>
    <x v="1"/>
    <s v="Laptop"/>
    <x v="4"/>
    <n v="12"/>
    <n v="87.46"/>
    <n v="63.8"/>
    <n v="1049.52"/>
    <n v="765.59999999999991"/>
    <n v="283.92000000000007"/>
  </r>
  <r>
    <n v="2720"/>
    <d v="2025-12-15T00:00:00"/>
    <x v="3"/>
    <x v="3"/>
    <s v="Filing Cabinet"/>
    <x v="3"/>
    <n v="22"/>
    <n v="139.88999999999999"/>
    <n v="82.93"/>
    <n v="3077.58"/>
    <n v="1824.46"/>
    <n v="1253.1199999999999"/>
  </r>
  <r>
    <n v="2754"/>
    <d v="2025-12-16T00:00:00"/>
    <x v="4"/>
    <x v="0"/>
    <s v="Desk Chair"/>
    <x v="3"/>
    <n v="25"/>
    <n v="13.74"/>
    <n v="9.57"/>
    <n v="343.5"/>
    <n v="239.25"/>
    <n v="104.25"/>
  </r>
  <r>
    <n v="1054"/>
    <d v="2025-12-17T00:00:00"/>
    <x v="4"/>
    <x v="3"/>
    <s v="Bookshelf"/>
    <x v="3"/>
    <n v="11"/>
    <n v="90.78"/>
    <n v="60.76"/>
    <n v="998.58"/>
    <n v="668.36"/>
    <n v="330.22"/>
  </r>
  <r>
    <n v="1255"/>
    <d v="2025-12-17T00:00:00"/>
    <x v="0"/>
    <x v="2"/>
    <s v="Antivirus License"/>
    <x v="3"/>
    <n v="1"/>
    <n v="165.44"/>
    <n v="101.13"/>
    <n v="165.44"/>
    <n v="101.13"/>
    <n v="64.31"/>
  </r>
  <r>
    <n v="2375"/>
    <d v="2025-12-17T00:00:00"/>
    <x v="4"/>
    <x v="1"/>
    <s v="Laptop"/>
    <x v="1"/>
    <n v="20"/>
    <n v="337.32"/>
    <n v="220.47"/>
    <n v="6746.4"/>
    <n v="4409.3999999999996"/>
    <n v="2337"/>
  </r>
  <r>
    <n v="1686"/>
    <d v="2025-12-18T00:00:00"/>
    <x v="2"/>
    <x v="2"/>
    <s v="Office Suite"/>
    <x v="4"/>
    <n v="23"/>
    <n v="75.239999999999995"/>
    <n v="43.29"/>
    <n v="1730.52"/>
    <n v="995.67"/>
    <n v="734.85"/>
  </r>
  <r>
    <n v="2248"/>
    <d v="2025-12-18T00:00:00"/>
    <x v="4"/>
    <x v="3"/>
    <s v="Whiteboard"/>
    <x v="6"/>
    <n v="22"/>
    <n v="399.1"/>
    <n v="207.56"/>
    <n v="8780.2000000000007"/>
    <n v="4566.32"/>
    <n v="4213.880000000001"/>
  </r>
  <r>
    <n v="2321"/>
    <d v="2025-12-19T00:00:00"/>
    <x v="2"/>
    <x v="1"/>
    <s v="Headphones"/>
    <x v="2"/>
    <n v="33"/>
    <n v="721.99"/>
    <n v="362.59"/>
    <n v="23825.670000000002"/>
    <n v="11965.47"/>
    <n v="11860.200000000003"/>
  </r>
  <r>
    <n v="1572"/>
    <d v="2025-12-20T00:00:00"/>
    <x v="0"/>
    <x v="0"/>
    <s v="Printer Paper"/>
    <x v="5"/>
    <n v="18"/>
    <n v="27.11"/>
    <n v="16.62"/>
    <n v="487.98"/>
    <n v="299.16000000000003"/>
    <n v="188.82"/>
  </r>
  <r>
    <n v="1815"/>
    <d v="2025-12-20T00:00:00"/>
    <x v="2"/>
    <x v="3"/>
    <s v="Bookshelf"/>
    <x v="3"/>
    <n v="21"/>
    <n v="413.99"/>
    <n v="291.12"/>
    <n v="8693.7900000000009"/>
    <n v="6113.52"/>
    <n v="2580.2700000000004"/>
  </r>
  <r>
    <n v="1188"/>
    <d v="2025-12-21T00:00:00"/>
    <x v="4"/>
    <x v="1"/>
    <s v="Headphones"/>
    <x v="5"/>
    <n v="40"/>
    <n v="245.51"/>
    <n v="183.45"/>
    <n v="9820.4"/>
    <n v="7338"/>
    <n v="2482.3999999999996"/>
  </r>
  <r>
    <n v="2242"/>
    <d v="2025-12-21T00:00:00"/>
    <x v="0"/>
    <x v="3"/>
    <s v="Filing Cabinet"/>
    <x v="3"/>
    <n v="36"/>
    <n v="148.57"/>
    <n v="108.09"/>
    <n v="5348.5199999999995"/>
    <n v="3891.2400000000002"/>
    <n v="1457.2799999999993"/>
  </r>
  <r>
    <n v="2312"/>
    <d v="2025-12-21T00:00:00"/>
    <x v="2"/>
    <x v="0"/>
    <s v="Desk Lamp"/>
    <x v="6"/>
    <n v="7"/>
    <n v="10.32"/>
    <n v="7.57"/>
    <n v="72.240000000000009"/>
    <n v="52.99"/>
    <n v="19.250000000000007"/>
  </r>
  <r>
    <n v="2344"/>
    <d v="2025-12-21T00:00:00"/>
    <x v="3"/>
    <x v="2"/>
    <s v="Office Suite"/>
    <x v="6"/>
    <n v="14"/>
    <n v="220.18"/>
    <n v="159.55000000000001"/>
    <n v="3082.52"/>
    <n v="2233.7000000000003"/>
    <n v="848.81999999999971"/>
  </r>
  <r>
    <n v="1694"/>
    <d v="2025-12-22T00:00:00"/>
    <x v="1"/>
    <x v="1"/>
    <s v="Monitor"/>
    <x v="4"/>
    <n v="31"/>
    <n v="87.39"/>
    <n v="46.29"/>
    <n v="2709.09"/>
    <n v="1434.99"/>
    <n v="1274.1000000000001"/>
  </r>
  <r>
    <n v="2034"/>
    <d v="2025-12-22T00:00:00"/>
    <x v="0"/>
    <x v="2"/>
    <s v="Cloud Storage"/>
    <x v="6"/>
    <n v="16"/>
    <n v="258.27999999999997"/>
    <n v="155.55000000000001"/>
    <n v="4132.4799999999996"/>
    <n v="2488.8000000000002"/>
    <n v="1643.6799999999994"/>
  </r>
  <r>
    <n v="1401"/>
    <d v="2025-12-23T00:00:00"/>
    <x v="2"/>
    <x v="0"/>
    <s v="Desk Chair"/>
    <x v="7"/>
    <n v="29"/>
    <n v="57.11"/>
    <n v="39.78"/>
    <n v="1656.19"/>
    <n v="1153.6200000000001"/>
    <n v="502.56999999999994"/>
  </r>
  <r>
    <n v="1859"/>
    <d v="2025-12-23T00:00:00"/>
    <x v="1"/>
    <x v="3"/>
    <s v="Bookshelf"/>
    <x v="6"/>
    <n v="40"/>
    <n v="342.9"/>
    <n v="201.92"/>
    <n v="13716"/>
    <n v="8076.7999999999993"/>
    <n v="5639.2000000000007"/>
  </r>
  <r>
    <n v="1994"/>
    <d v="2025-12-23T00:00:00"/>
    <x v="4"/>
    <x v="0"/>
    <s v="Stapler"/>
    <x v="0"/>
    <n v="24"/>
    <n v="19.68"/>
    <n v="11.16"/>
    <n v="472.32"/>
    <n v="267.84000000000003"/>
    <n v="204.47999999999996"/>
  </r>
  <r>
    <n v="1070"/>
    <d v="2025-12-24T00:00:00"/>
    <x v="4"/>
    <x v="2"/>
    <s v="Antivirus License"/>
    <x v="7"/>
    <n v="17"/>
    <n v="281.43"/>
    <n v="170.63"/>
    <n v="4784.3100000000004"/>
    <n v="2900.71"/>
    <n v="1883.6000000000004"/>
  </r>
  <r>
    <n v="1716"/>
    <d v="2025-12-24T00:00:00"/>
    <x v="1"/>
    <x v="0"/>
    <s v="Desk Chair"/>
    <x v="7"/>
    <n v="26"/>
    <n v="18.809999999999999"/>
    <n v="10.32"/>
    <n v="489.05999999999995"/>
    <n v="268.32"/>
    <n v="220.73999999999995"/>
  </r>
  <r>
    <n v="2197"/>
    <d v="2025-12-24T00:00:00"/>
    <x v="4"/>
    <x v="3"/>
    <s v="Whiteboard"/>
    <x v="5"/>
    <n v="24"/>
    <n v="214.46"/>
    <n v="158.6"/>
    <n v="5147.04"/>
    <n v="3806.3999999999996"/>
    <n v="1340.6400000000003"/>
  </r>
  <r>
    <n v="2092"/>
    <d v="2025-12-25T00:00:00"/>
    <x v="1"/>
    <x v="3"/>
    <s v="Bookshelf"/>
    <x v="4"/>
    <n v="28"/>
    <n v="131.05000000000001"/>
    <n v="77.55"/>
    <n v="3669.4000000000005"/>
    <n v="2171.4"/>
    <n v="1498.0000000000005"/>
  </r>
  <r>
    <n v="2191"/>
    <d v="2025-12-25T00:00:00"/>
    <x v="2"/>
    <x v="3"/>
    <s v="Filing Cabinet"/>
    <x v="4"/>
    <n v="24"/>
    <n v="215.56"/>
    <n v="139.13999999999999"/>
    <n v="5173.4400000000005"/>
    <n v="3339.3599999999997"/>
    <n v="1834.0800000000008"/>
  </r>
  <r>
    <n v="2383"/>
    <d v="2025-12-25T00:00:00"/>
    <x v="2"/>
    <x v="3"/>
    <s v="Bookshelf"/>
    <x v="2"/>
    <n v="11"/>
    <n v="284.5"/>
    <n v="152.79"/>
    <n v="3129.5"/>
    <n v="1680.6899999999998"/>
    <n v="1448.8100000000002"/>
  </r>
  <r>
    <n v="2535"/>
    <d v="2025-12-25T00:00:00"/>
    <x v="1"/>
    <x v="1"/>
    <s v="Monitor"/>
    <x v="7"/>
    <n v="5"/>
    <n v="166.09"/>
    <n v="109.08"/>
    <n v="830.45"/>
    <n v="545.4"/>
    <n v="285.05000000000007"/>
  </r>
  <r>
    <n v="1324"/>
    <d v="2025-12-26T00:00:00"/>
    <x v="1"/>
    <x v="0"/>
    <s v="Printer Paper"/>
    <x v="7"/>
    <n v="35"/>
    <n v="30.12"/>
    <n v="17.32"/>
    <n v="1054.2"/>
    <n v="606.20000000000005"/>
    <n v="448"/>
  </r>
  <r>
    <n v="1857"/>
    <d v="2025-12-26T00:00:00"/>
    <x v="4"/>
    <x v="1"/>
    <s v="Monitor"/>
    <x v="7"/>
    <n v="3"/>
    <n v="508.2"/>
    <n v="289.39"/>
    <n v="1524.6"/>
    <n v="868.17"/>
    <n v="656.43"/>
  </r>
  <r>
    <n v="2049"/>
    <d v="2025-12-26T00:00:00"/>
    <x v="2"/>
    <x v="1"/>
    <s v="Laptop"/>
    <x v="6"/>
    <n v="5"/>
    <n v="375.58"/>
    <n v="203.4"/>
    <n v="1877.8999999999999"/>
    <n v="1017"/>
    <n v="860.89999999999986"/>
  </r>
  <r>
    <n v="2271"/>
    <d v="2025-12-26T00:00:00"/>
    <x v="1"/>
    <x v="0"/>
    <s v="Notebook"/>
    <x v="4"/>
    <n v="37"/>
    <n v="4.1100000000000003"/>
    <n v="2.83"/>
    <n v="152.07000000000002"/>
    <n v="104.71000000000001"/>
    <n v="47.360000000000014"/>
  </r>
  <r>
    <n v="1363"/>
    <d v="2025-12-27T00:00:00"/>
    <x v="4"/>
    <x v="0"/>
    <s v="Notebook"/>
    <x v="0"/>
    <n v="29"/>
    <n v="41.91"/>
    <n v="26.34"/>
    <n v="1215.3899999999999"/>
    <n v="763.86"/>
    <n v="451.52999999999986"/>
  </r>
  <r>
    <n v="2655"/>
    <d v="2025-12-28T00:00:00"/>
    <x v="1"/>
    <x v="1"/>
    <s v="Laptop"/>
    <x v="3"/>
    <n v="26"/>
    <n v="244.43"/>
    <n v="125.44"/>
    <n v="6355.18"/>
    <n v="3261.44"/>
    <n v="3093.7400000000002"/>
  </r>
  <r>
    <n v="2775"/>
    <d v="2025-12-28T00:00:00"/>
    <x v="0"/>
    <x v="3"/>
    <s v="Whiteboard"/>
    <x v="2"/>
    <n v="10"/>
    <n v="351.59"/>
    <n v="214.31"/>
    <n v="3515.8999999999996"/>
    <n v="2143.1"/>
    <n v="1372.7999999999997"/>
  </r>
  <r>
    <n v="1061"/>
    <d v="2025-12-29T00:00:00"/>
    <x v="2"/>
    <x v="2"/>
    <s v="Antivirus License"/>
    <x v="3"/>
    <n v="19"/>
    <n v="182.84"/>
    <n v="113.05"/>
    <n v="3473.96"/>
    <n v="2147.9499999999998"/>
    <n v="1326.0100000000002"/>
  </r>
  <r>
    <n v="1275"/>
    <d v="2025-12-29T00:00:00"/>
    <x v="4"/>
    <x v="1"/>
    <s v="Laptop"/>
    <x v="7"/>
    <n v="34"/>
    <n v="406.97"/>
    <n v="262.57"/>
    <n v="13836.980000000001"/>
    <n v="8927.3799999999992"/>
    <n v="4909.6000000000022"/>
  </r>
  <r>
    <n v="1737"/>
    <d v="2025-12-29T00:00:00"/>
    <x v="3"/>
    <x v="1"/>
    <s v="Monitor"/>
    <x v="1"/>
    <n v="13"/>
    <n v="221.01"/>
    <n v="164.49"/>
    <n v="2873.13"/>
    <n v="2138.37"/>
    <n v="734.76000000000022"/>
  </r>
  <r>
    <n v="1890"/>
    <d v="2025-12-30T00:00:00"/>
    <x v="2"/>
    <x v="0"/>
    <s v="Notebook"/>
    <x v="3"/>
    <n v="10"/>
    <n v="59.68"/>
    <n v="41.27"/>
    <n v="596.79999999999995"/>
    <n v="412.70000000000005"/>
    <n v="184.0999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03AB43-6F7A-4A52-8EBF-63DAC370F34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10" firstHeaderRow="1" firstDataRow="2" firstDataCol="1"/>
  <pivotFields count="12">
    <pivotField showAll="0"/>
    <pivotField numFmtId="164" showAll="0"/>
    <pivotField axis="axisRow" showAll="0">
      <items count="6">
        <item x="0"/>
        <item x="3"/>
        <item x="4"/>
        <item x="2"/>
        <item x="1"/>
        <item t="default"/>
      </items>
    </pivotField>
    <pivotField axis="axisCol" showAll="0">
      <items count="5">
        <item x="1"/>
        <item x="3"/>
        <item x="0"/>
        <item x="2"/>
        <item t="default"/>
      </items>
    </pivotField>
    <pivotField showAll="0"/>
    <pivotField showAll="0">
      <items count="9">
        <item x="2"/>
        <item x="0"/>
        <item x="4"/>
        <item x="7"/>
        <item x="1"/>
        <item x="5"/>
        <item x="3"/>
        <item x="6"/>
        <item t="default"/>
      </items>
    </pivotField>
    <pivotField showAll="0"/>
    <pivotField numFmtId="165" showAll="0"/>
    <pivotField numFmtId="165" showAll="0"/>
    <pivotField dataField="1" numFmtId="165" showAll="0"/>
    <pivotField numFmtId="165" showAll="0"/>
    <pivotField numFmtId="165" showAll="0"/>
  </pivotFields>
  <rowFields count="1">
    <field x="2"/>
  </rowFields>
  <rowItems count="6">
    <i>
      <x/>
    </i>
    <i>
      <x v="1"/>
    </i>
    <i>
      <x v="2"/>
    </i>
    <i>
      <x v="3"/>
    </i>
    <i>
      <x v="4"/>
    </i>
    <i t="grand">
      <x/>
    </i>
  </rowItems>
  <colFields count="1">
    <field x="3"/>
  </colFields>
  <colItems count="5">
    <i>
      <x/>
    </i>
    <i>
      <x v="1"/>
    </i>
    <i>
      <x v="2"/>
    </i>
    <i>
      <x v="3"/>
    </i>
    <i t="grand">
      <x/>
    </i>
  </colItems>
  <dataFields count="1">
    <dataField name="Sum of Revenue" fld="9" baseField="0" baseItem="0" numFmtId="165"/>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CB4DD3-2C26-47EA-A8EF-A1D277512B27}" sourceName="Region">
  <pivotTables>
    <pivotTable tabId="3" name="PivotTable1"/>
  </pivotTables>
  <data>
    <tabular pivotCacheId="638910314">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CC8902-2E8C-4D46-8AEC-C3A48B950E93}" sourceName="Category">
  <pivotTables>
    <pivotTable tabId="3" name="PivotTable1"/>
  </pivotTables>
  <data>
    <tabular pivotCacheId="638910314">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0E46410-0355-4D6F-8CC6-3A46C332BA10}" sourceName="Salesperson">
  <pivotTables>
    <pivotTable tabId="3" name="PivotTable1"/>
  </pivotTables>
  <data>
    <tabular pivotCacheId="638910314">
      <items count="8">
        <i x="2" s="1"/>
        <i x="0" s="1"/>
        <i x="4" s="1"/>
        <i x="7" s="1"/>
        <i x="1" s="1"/>
        <i x="5"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C259F82-9844-489B-B79D-DFDB9380AD68}" cache="Slicer_Region" caption="Region" rowHeight="234950"/>
  <slicer name="Category 1" xr10:uid="{2A5062AE-637B-4001-80AC-5943342A7062}" cache="Slicer_Category" caption="Category" rowHeight="234950"/>
  <slicer name="Salesperson 1" xr10:uid="{8B95DC9D-E83E-41D6-8CCE-DA96FBEBE3F0}"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L1801" totalsRowShown="0">
  <autoFilter ref="A1:L1801" xr:uid="{00000000-0009-0000-0100-000001000000}"/>
  <tableColumns count="12">
    <tableColumn id="1" xr3:uid="{00000000-0010-0000-0000-000001000000}" name="OrderID"/>
    <tableColumn id="2" xr3:uid="{00000000-0010-0000-0000-000002000000}" name="Date"/>
    <tableColumn id="3" xr3:uid="{00000000-0010-0000-0000-000003000000}" name="Region"/>
    <tableColumn id="4" xr3:uid="{00000000-0010-0000-0000-000004000000}" name="Category"/>
    <tableColumn id="5" xr3:uid="{00000000-0010-0000-0000-000005000000}" name="Product"/>
    <tableColumn id="6" xr3:uid="{00000000-0010-0000-0000-000006000000}" name="Salesperson"/>
    <tableColumn id="7" xr3:uid="{00000000-0010-0000-0000-000007000000}" name="Units Sold"/>
    <tableColumn id="8" xr3:uid="{00000000-0010-0000-0000-000008000000}" name="Unit Price"/>
    <tableColumn id="9" xr3:uid="{00000000-0010-0000-0000-000009000000}" name="Unit Cost"/>
    <tableColumn id="10" xr3:uid="{00000000-0010-0000-0000-00000A000000}" name="Revenue"/>
    <tableColumn id="11" xr3:uid="{00000000-0010-0000-0000-00000B000000}" name="Cost"/>
    <tableColumn id="12" xr3:uid="{00000000-0010-0000-0000-00000C000000}" name="Profi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E177-AAD8-4DF2-BFC2-7789B86F71FA}">
  <dimension ref="A3:F10"/>
  <sheetViews>
    <sheetView tabSelected="1" workbookViewId="0">
      <selection activeCell="I24" sqref="I24"/>
    </sheetView>
  </sheetViews>
  <sheetFormatPr defaultRowHeight="14.4" x14ac:dyDescent="0.3"/>
  <cols>
    <col min="1" max="1" width="14.88671875" bestFit="1" customWidth="1"/>
    <col min="2" max="2" width="15.5546875" bestFit="1" customWidth="1"/>
    <col min="3" max="3" width="12.6640625" bestFit="1" customWidth="1"/>
    <col min="4" max="4" width="13.5546875" bestFit="1" customWidth="1"/>
    <col min="5" max="6" width="12.6640625" bestFit="1" customWidth="1"/>
    <col min="7" max="7" width="26.6640625" customWidth="1"/>
  </cols>
  <sheetData>
    <row r="3" spans="1:6" x14ac:dyDescent="0.3">
      <c r="A3" s="9" t="s">
        <v>60</v>
      </c>
      <c r="B3" s="9" t="s">
        <v>57</v>
      </c>
    </row>
    <row r="4" spans="1:6" x14ac:dyDescent="0.3">
      <c r="A4" s="9" t="s">
        <v>59</v>
      </c>
      <c r="B4" t="s">
        <v>17</v>
      </c>
      <c r="C4" t="s">
        <v>29</v>
      </c>
      <c r="D4" t="s">
        <v>13</v>
      </c>
      <c r="E4" t="s">
        <v>20</v>
      </c>
      <c r="F4" t="s">
        <v>58</v>
      </c>
    </row>
    <row r="5" spans="1:6" x14ac:dyDescent="0.3">
      <c r="A5" s="10" t="s">
        <v>12</v>
      </c>
      <c r="B5" s="3">
        <v>858105.00999999989</v>
      </c>
      <c r="C5" s="3">
        <v>421643.45000000013</v>
      </c>
      <c r="D5" s="3">
        <v>55773.710000000006</v>
      </c>
      <c r="E5" s="3">
        <v>307504.99000000011</v>
      </c>
      <c r="F5" s="3">
        <v>1643027.1600000001</v>
      </c>
    </row>
    <row r="6" spans="1:6" x14ac:dyDescent="0.3">
      <c r="A6" s="10" t="s">
        <v>26</v>
      </c>
      <c r="B6" s="3">
        <v>997279.82000000018</v>
      </c>
      <c r="C6" s="3">
        <v>461898.87</v>
      </c>
      <c r="D6" s="3">
        <v>53092.500000000015</v>
      </c>
      <c r="E6" s="3">
        <v>228190.00000000009</v>
      </c>
      <c r="F6" s="3">
        <v>1740461.1900000002</v>
      </c>
    </row>
    <row r="7" spans="1:6" x14ac:dyDescent="0.3">
      <c r="A7" s="10" t="s">
        <v>32</v>
      </c>
      <c r="B7" s="3">
        <v>1000567.2199999997</v>
      </c>
      <c r="C7" s="3">
        <v>534887.34000000008</v>
      </c>
      <c r="D7" s="3">
        <v>60422.669999999991</v>
      </c>
      <c r="E7" s="3">
        <v>291742.88000000012</v>
      </c>
      <c r="F7" s="3">
        <v>1887620.1099999999</v>
      </c>
    </row>
    <row r="8" spans="1:6" x14ac:dyDescent="0.3">
      <c r="A8" s="10" t="s">
        <v>23</v>
      </c>
      <c r="B8" s="3">
        <v>890334.97</v>
      </c>
      <c r="C8" s="3">
        <v>406155.99999999994</v>
      </c>
      <c r="D8" s="3">
        <v>63187.339999999989</v>
      </c>
      <c r="E8" s="3">
        <v>325252.16000000003</v>
      </c>
      <c r="F8" s="3">
        <v>1684930.4700000002</v>
      </c>
    </row>
    <row r="9" spans="1:6" x14ac:dyDescent="0.3">
      <c r="A9" s="10" t="s">
        <v>16</v>
      </c>
      <c r="B9" s="3">
        <v>976956.98999999953</v>
      </c>
      <c r="C9" s="3">
        <v>526862.35000000009</v>
      </c>
      <c r="D9" s="3">
        <v>72936.129999999961</v>
      </c>
      <c r="E9" s="3">
        <v>217773.69</v>
      </c>
      <c r="F9" s="3">
        <v>1794529.1599999995</v>
      </c>
    </row>
    <row r="10" spans="1:6" x14ac:dyDescent="0.3">
      <c r="A10" s="10" t="s">
        <v>58</v>
      </c>
      <c r="B10" s="3">
        <v>4723244.0099999988</v>
      </c>
      <c r="C10" s="3">
        <v>2351448.0100000002</v>
      </c>
      <c r="D10" s="3">
        <v>305412.34999999998</v>
      </c>
      <c r="E10" s="3">
        <v>1370463.7200000002</v>
      </c>
      <c r="F10" s="3">
        <v>8750568.0900000017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01"/>
  <sheetViews>
    <sheetView zoomScaleNormal="100" workbookViewId="0">
      <pane ySplit="1" topLeftCell="A2" activePane="bottomLeft" state="frozen"/>
      <selection pane="bottomLeft" activeCell="C2" sqref="C2"/>
    </sheetView>
  </sheetViews>
  <sheetFormatPr defaultColWidth="8.6640625" defaultRowHeight="14.4" x14ac:dyDescent="0.3"/>
  <cols>
    <col min="1" max="4" width="14" customWidth="1"/>
    <col min="5" max="5" width="18" customWidth="1"/>
    <col min="6" max="6" width="16" customWidth="1"/>
    <col min="7" max="12" width="14"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1518</v>
      </c>
      <c r="B2" s="2">
        <v>45292</v>
      </c>
      <c r="C2" t="s">
        <v>12</v>
      </c>
      <c r="D2" t="s">
        <v>13</v>
      </c>
      <c r="E2" t="s">
        <v>14</v>
      </c>
      <c r="F2" t="s">
        <v>15</v>
      </c>
      <c r="G2">
        <v>25</v>
      </c>
      <c r="H2" s="3">
        <v>28.49</v>
      </c>
      <c r="I2" s="3">
        <v>16.38</v>
      </c>
      <c r="J2" s="3">
        <f t="shared" ref="J2:J65" si="0">G2*H2</f>
        <v>712.25</v>
      </c>
      <c r="K2" s="3">
        <f t="shared" ref="K2:K65" si="1">G2*I2</f>
        <v>409.5</v>
      </c>
      <c r="L2" s="3">
        <f t="shared" ref="L2:L65" si="2">J2-K2</f>
        <v>302.75</v>
      </c>
    </row>
    <row r="3" spans="1:12" x14ac:dyDescent="0.3">
      <c r="A3">
        <v>2306</v>
      </c>
      <c r="B3" s="2">
        <v>45292</v>
      </c>
      <c r="C3" t="s">
        <v>16</v>
      </c>
      <c r="D3" t="s">
        <v>17</v>
      </c>
      <c r="E3" t="s">
        <v>18</v>
      </c>
      <c r="F3" t="s">
        <v>19</v>
      </c>
      <c r="G3">
        <v>5</v>
      </c>
      <c r="H3" s="3">
        <v>643.75</v>
      </c>
      <c r="I3" s="3">
        <v>355.55</v>
      </c>
      <c r="J3" s="3">
        <f t="shared" si="0"/>
        <v>3218.75</v>
      </c>
      <c r="K3" s="3">
        <f t="shared" si="1"/>
        <v>1777.75</v>
      </c>
      <c r="L3" s="3">
        <f t="shared" si="2"/>
        <v>1441</v>
      </c>
    </row>
    <row r="4" spans="1:12" x14ac:dyDescent="0.3">
      <c r="A4">
        <v>1077</v>
      </c>
      <c r="B4" s="2">
        <v>45293</v>
      </c>
      <c r="C4" t="s">
        <v>16</v>
      </c>
      <c r="D4" t="s">
        <v>20</v>
      </c>
      <c r="E4" t="s">
        <v>21</v>
      </c>
      <c r="F4" t="s">
        <v>22</v>
      </c>
      <c r="G4">
        <v>13</v>
      </c>
      <c r="H4" s="3">
        <v>143.77000000000001</v>
      </c>
      <c r="I4" s="3">
        <v>73.739999999999995</v>
      </c>
      <c r="J4" s="3">
        <f t="shared" si="0"/>
        <v>1869.0100000000002</v>
      </c>
      <c r="K4" s="3">
        <f t="shared" si="1"/>
        <v>958.61999999999989</v>
      </c>
      <c r="L4" s="3">
        <f t="shared" si="2"/>
        <v>910.39000000000033</v>
      </c>
    </row>
    <row r="5" spans="1:12" x14ac:dyDescent="0.3">
      <c r="A5">
        <v>2423</v>
      </c>
      <c r="B5" s="2">
        <v>45293</v>
      </c>
      <c r="C5" t="s">
        <v>23</v>
      </c>
      <c r="D5" t="s">
        <v>13</v>
      </c>
      <c r="E5" t="s">
        <v>24</v>
      </c>
      <c r="F5" t="s">
        <v>25</v>
      </c>
      <c r="G5">
        <v>20</v>
      </c>
      <c r="H5" s="3">
        <v>27.22</v>
      </c>
      <c r="I5" s="3">
        <v>14.97</v>
      </c>
      <c r="J5" s="3">
        <f t="shared" si="0"/>
        <v>544.4</v>
      </c>
      <c r="K5" s="3">
        <f t="shared" si="1"/>
        <v>299.40000000000003</v>
      </c>
      <c r="L5" s="3">
        <f t="shared" si="2"/>
        <v>244.99999999999994</v>
      </c>
    </row>
    <row r="6" spans="1:12" x14ac:dyDescent="0.3">
      <c r="A6">
        <v>2794</v>
      </c>
      <c r="B6" s="2">
        <v>45293</v>
      </c>
      <c r="C6" t="s">
        <v>16</v>
      </c>
      <c r="D6" t="s">
        <v>13</v>
      </c>
      <c r="E6" t="s">
        <v>24</v>
      </c>
      <c r="F6" t="s">
        <v>15</v>
      </c>
      <c r="G6">
        <v>19</v>
      </c>
      <c r="H6" s="3">
        <v>53</v>
      </c>
      <c r="I6" s="3">
        <v>37.64</v>
      </c>
      <c r="J6" s="3">
        <f t="shared" si="0"/>
        <v>1007</v>
      </c>
      <c r="K6" s="3">
        <f t="shared" si="1"/>
        <v>715.16</v>
      </c>
      <c r="L6" s="3">
        <f t="shared" si="2"/>
        <v>291.84000000000003</v>
      </c>
    </row>
    <row r="7" spans="1:12" x14ac:dyDescent="0.3">
      <c r="A7">
        <v>1339</v>
      </c>
      <c r="B7" s="2">
        <v>45294</v>
      </c>
      <c r="C7" t="s">
        <v>26</v>
      </c>
      <c r="D7" t="s">
        <v>17</v>
      </c>
      <c r="E7" t="s">
        <v>27</v>
      </c>
      <c r="F7" t="s">
        <v>28</v>
      </c>
      <c r="G7">
        <v>10</v>
      </c>
      <c r="H7" s="3">
        <v>857.53</v>
      </c>
      <c r="I7" s="3">
        <v>622.73</v>
      </c>
      <c r="J7" s="3">
        <f t="shared" si="0"/>
        <v>8575.2999999999993</v>
      </c>
      <c r="K7" s="3">
        <f t="shared" si="1"/>
        <v>6227.3</v>
      </c>
      <c r="L7" s="3">
        <f t="shared" si="2"/>
        <v>2347.9999999999991</v>
      </c>
    </row>
    <row r="8" spans="1:12" x14ac:dyDescent="0.3">
      <c r="A8">
        <v>1697</v>
      </c>
      <c r="B8" s="2">
        <v>45294</v>
      </c>
      <c r="C8" t="s">
        <v>26</v>
      </c>
      <c r="D8" t="s">
        <v>29</v>
      </c>
      <c r="E8" t="s">
        <v>30</v>
      </c>
      <c r="F8" t="s">
        <v>22</v>
      </c>
      <c r="G8">
        <v>27</v>
      </c>
      <c r="H8" s="3">
        <v>270</v>
      </c>
      <c r="I8" s="3">
        <v>160.47</v>
      </c>
      <c r="J8" s="3">
        <f t="shared" si="0"/>
        <v>7290</v>
      </c>
      <c r="K8" s="3">
        <f t="shared" si="1"/>
        <v>4332.6899999999996</v>
      </c>
      <c r="L8" s="3">
        <f t="shared" si="2"/>
        <v>2957.3100000000004</v>
      </c>
    </row>
    <row r="9" spans="1:12" x14ac:dyDescent="0.3">
      <c r="A9">
        <v>1872</v>
      </c>
      <c r="B9" s="2">
        <v>45294</v>
      </c>
      <c r="C9" t="s">
        <v>12</v>
      </c>
      <c r="D9" t="s">
        <v>13</v>
      </c>
      <c r="E9" t="s">
        <v>31</v>
      </c>
      <c r="F9" t="s">
        <v>19</v>
      </c>
      <c r="G9">
        <v>25</v>
      </c>
      <c r="H9" s="3">
        <v>48.42</v>
      </c>
      <c r="I9" s="3">
        <v>25.58</v>
      </c>
      <c r="J9" s="3">
        <f t="shared" si="0"/>
        <v>1210.5</v>
      </c>
      <c r="K9" s="3">
        <f t="shared" si="1"/>
        <v>639.5</v>
      </c>
      <c r="L9" s="3">
        <f t="shared" si="2"/>
        <v>571</v>
      </c>
    </row>
    <row r="10" spans="1:12" x14ac:dyDescent="0.3">
      <c r="A10">
        <v>2446</v>
      </c>
      <c r="B10" s="2">
        <v>45294</v>
      </c>
      <c r="C10" t="s">
        <v>32</v>
      </c>
      <c r="D10" t="s">
        <v>13</v>
      </c>
      <c r="E10" t="s">
        <v>14</v>
      </c>
      <c r="F10" t="s">
        <v>33</v>
      </c>
      <c r="G10">
        <v>22</v>
      </c>
      <c r="H10" s="3">
        <v>44.26</v>
      </c>
      <c r="I10" s="3">
        <v>26.31</v>
      </c>
      <c r="J10" s="3">
        <f t="shared" si="0"/>
        <v>973.71999999999991</v>
      </c>
      <c r="K10" s="3">
        <f t="shared" si="1"/>
        <v>578.81999999999994</v>
      </c>
      <c r="L10" s="3">
        <f t="shared" si="2"/>
        <v>394.9</v>
      </c>
    </row>
    <row r="11" spans="1:12" x14ac:dyDescent="0.3">
      <c r="A11">
        <v>2603</v>
      </c>
      <c r="B11" s="2">
        <v>45294</v>
      </c>
      <c r="C11" t="s">
        <v>23</v>
      </c>
      <c r="D11" t="s">
        <v>20</v>
      </c>
      <c r="E11" t="s">
        <v>34</v>
      </c>
      <c r="F11" t="s">
        <v>25</v>
      </c>
      <c r="G11">
        <v>18</v>
      </c>
      <c r="H11" s="3">
        <v>298.68</v>
      </c>
      <c r="I11" s="3">
        <v>208.13</v>
      </c>
      <c r="J11" s="3">
        <f t="shared" si="0"/>
        <v>5376.24</v>
      </c>
      <c r="K11" s="3">
        <f t="shared" si="1"/>
        <v>3746.34</v>
      </c>
      <c r="L11" s="3">
        <f t="shared" si="2"/>
        <v>1629.8999999999996</v>
      </c>
    </row>
    <row r="12" spans="1:12" x14ac:dyDescent="0.3">
      <c r="A12">
        <v>2637</v>
      </c>
      <c r="B12" s="2">
        <v>45294</v>
      </c>
      <c r="C12" t="s">
        <v>26</v>
      </c>
      <c r="D12" t="s">
        <v>17</v>
      </c>
      <c r="E12" t="s">
        <v>35</v>
      </c>
      <c r="F12" t="s">
        <v>36</v>
      </c>
      <c r="G12">
        <v>30</v>
      </c>
      <c r="H12" s="3">
        <v>424.54</v>
      </c>
      <c r="I12" s="3">
        <v>279.27999999999997</v>
      </c>
      <c r="J12" s="3">
        <f t="shared" si="0"/>
        <v>12736.2</v>
      </c>
      <c r="K12" s="3">
        <f t="shared" si="1"/>
        <v>8378.4</v>
      </c>
      <c r="L12" s="3">
        <f t="shared" si="2"/>
        <v>4357.8000000000011</v>
      </c>
    </row>
    <row r="13" spans="1:12" x14ac:dyDescent="0.3">
      <c r="A13">
        <v>1931</v>
      </c>
      <c r="B13" s="2">
        <v>45296</v>
      </c>
      <c r="C13" t="s">
        <v>23</v>
      </c>
      <c r="D13" t="s">
        <v>29</v>
      </c>
      <c r="E13" t="s">
        <v>37</v>
      </c>
      <c r="F13" t="s">
        <v>36</v>
      </c>
      <c r="G13">
        <v>3</v>
      </c>
      <c r="H13" s="3">
        <v>96.43</v>
      </c>
      <c r="I13" s="3">
        <v>49.89</v>
      </c>
      <c r="J13" s="3">
        <f t="shared" si="0"/>
        <v>289.29000000000002</v>
      </c>
      <c r="K13" s="3">
        <f t="shared" si="1"/>
        <v>149.67000000000002</v>
      </c>
      <c r="L13" s="3">
        <f t="shared" si="2"/>
        <v>139.62</v>
      </c>
    </row>
    <row r="14" spans="1:12" x14ac:dyDescent="0.3">
      <c r="A14">
        <v>2688</v>
      </c>
      <c r="B14" s="2">
        <v>45297</v>
      </c>
      <c r="C14" t="s">
        <v>16</v>
      </c>
      <c r="D14" t="s">
        <v>20</v>
      </c>
      <c r="E14" t="s">
        <v>38</v>
      </c>
      <c r="F14" t="s">
        <v>39</v>
      </c>
      <c r="G14">
        <v>1</v>
      </c>
      <c r="H14" s="3">
        <v>129.91999999999999</v>
      </c>
      <c r="I14" s="3">
        <v>72.099999999999994</v>
      </c>
      <c r="J14" s="3">
        <f t="shared" si="0"/>
        <v>129.91999999999999</v>
      </c>
      <c r="K14" s="3">
        <f t="shared" si="1"/>
        <v>72.099999999999994</v>
      </c>
      <c r="L14" s="3">
        <f t="shared" si="2"/>
        <v>57.819999999999993</v>
      </c>
    </row>
    <row r="15" spans="1:12" x14ac:dyDescent="0.3">
      <c r="A15">
        <v>2133</v>
      </c>
      <c r="B15" s="2">
        <v>45298</v>
      </c>
      <c r="C15" t="s">
        <v>32</v>
      </c>
      <c r="D15" t="s">
        <v>20</v>
      </c>
      <c r="E15" t="s">
        <v>21</v>
      </c>
      <c r="F15" t="s">
        <v>19</v>
      </c>
      <c r="G15">
        <v>12</v>
      </c>
      <c r="H15" s="3">
        <v>279.08</v>
      </c>
      <c r="I15" s="3">
        <v>170.46</v>
      </c>
      <c r="J15" s="3">
        <f t="shared" si="0"/>
        <v>3348.96</v>
      </c>
      <c r="K15" s="3">
        <f t="shared" si="1"/>
        <v>2045.52</v>
      </c>
      <c r="L15" s="3">
        <f t="shared" si="2"/>
        <v>1303.44</v>
      </c>
    </row>
    <row r="16" spans="1:12" x14ac:dyDescent="0.3">
      <c r="A16">
        <v>1256</v>
      </c>
      <c r="B16" s="2">
        <v>45300</v>
      </c>
      <c r="C16" t="s">
        <v>32</v>
      </c>
      <c r="D16" t="s">
        <v>17</v>
      </c>
      <c r="E16" t="s">
        <v>18</v>
      </c>
      <c r="F16" t="s">
        <v>19</v>
      </c>
      <c r="G16">
        <v>31</v>
      </c>
      <c r="H16" s="3">
        <v>119.5</v>
      </c>
      <c r="I16" s="3">
        <v>69.11</v>
      </c>
      <c r="J16" s="3">
        <f t="shared" si="0"/>
        <v>3704.5</v>
      </c>
      <c r="K16" s="3">
        <f t="shared" si="1"/>
        <v>2142.41</v>
      </c>
      <c r="L16" s="3">
        <f t="shared" si="2"/>
        <v>1562.0900000000001</v>
      </c>
    </row>
    <row r="17" spans="1:12" x14ac:dyDescent="0.3">
      <c r="A17">
        <v>2559</v>
      </c>
      <c r="B17" s="2">
        <v>45300</v>
      </c>
      <c r="C17" t="s">
        <v>16</v>
      </c>
      <c r="D17" t="s">
        <v>29</v>
      </c>
      <c r="E17" t="s">
        <v>37</v>
      </c>
      <c r="F17" t="s">
        <v>19</v>
      </c>
      <c r="G17">
        <v>39</v>
      </c>
      <c r="H17" s="3">
        <v>432.8</v>
      </c>
      <c r="I17" s="3">
        <v>292.20999999999998</v>
      </c>
      <c r="J17" s="3">
        <f t="shared" si="0"/>
        <v>16879.2</v>
      </c>
      <c r="K17" s="3">
        <f t="shared" si="1"/>
        <v>11396.189999999999</v>
      </c>
      <c r="L17" s="3">
        <f t="shared" si="2"/>
        <v>5483.010000000002</v>
      </c>
    </row>
    <row r="18" spans="1:12" x14ac:dyDescent="0.3">
      <c r="A18">
        <v>2004</v>
      </c>
      <c r="B18" s="2">
        <v>45301</v>
      </c>
      <c r="C18" t="s">
        <v>23</v>
      </c>
      <c r="D18" t="s">
        <v>17</v>
      </c>
      <c r="E18" t="s">
        <v>40</v>
      </c>
      <c r="F18" t="s">
        <v>28</v>
      </c>
      <c r="G18">
        <v>36</v>
      </c>
      <c r="H18" s="3">
        <v>242.99</v>
      </c>
      <c r="I18" s="3">
        <v>158.57</v>
      </c>
      <c r="J18" s="3">
        <f t="shared" si="0"/>
        <v>8747.64</v>
      </c>
      <c r="K18" s="3">
        <f t="shared" si="1"/>
        <v>5708.5199999999995</v>
      </c>
      <c r="L18" s="3">
        <f t="shared" si="2"/>
        <v>3039.12</v>
      </c>
    </row>
    <row r="19" spans="1:12" x14ac:dyDescent="0.3">
      <c r="A19">
        <v>2051</v>
      </c>
      <c r="B19" s="2">
        <v>45301</v>
      </c>
      <c r="C19" t="s">
        <v>32</v>
      </c>
      <c r="D19" t="s">
        <v>17</v>
      </c>
      <c r="E19" t="s">
        <v>18</v>
      </c>
      <c r="F19" t="s">
        <v>15</v>
      </c>
      <c r="G19">
        <v>18</v>
      </c>
      <c r="H19" s="3">
        <v>498.88</v>
      </c>
      <c r="I19" s="3">
        <v>267.08999999999997</v>
      </c>
      <c r="J19" s="3">
        <f t="shared" si="0"/>
        <v>8979.84</v>
      </c>
      <c r="K19" s="3">
        <f t="shared" si="1"/>
        <v>4807.62</v>
      </c>
      <c r="L19" s="3">
        <f t="shared" si="2"/>
        <v>4172.22</v>
      </c>
    </row>
    <row r="20" spans="1:12" x14ac:dyDescent="0.3">
      <c r="A20">
        <v>2615</v>
      </c>
      <c r="B20" s="2">
        <v>45301</v>
      </c>
      <c r="C20" t="s">
        <v>23</v>
      </c>
      <c r="D20" t="s">
        <v>13</v>
      </c>
      <c r="E20" t="s">
        <v>24</v>
      </c>
      <c r="F20" t="s">
        <v>25</v>
      </c>
      <c r="G20">
        <v>12</v>
      </c>
      <c r="H20" s="3">
        <v>13.32</v>
      </c>
      <c r="I20" s="3">
        <v>9.8699999999999992</v>
      </c>
      <c r="J20" s="3">
        <f t="shared" si="0"/>
        <v>159.84</v>
      </c>
      <c r="K20" s="3">
        <f t="shared" si="1"/>
        <v>118.44</v>
      </c>
      <c r="L20" s="3">
        <f t="shared" si="2"/>
        <v>41.400000000000006</v>
      </c>
    </row>
    <row r="21" spans="1:12" x14ac:dyDescent="0.3">
      <c r="A21">
        <v>2071</v>
      </c>
      <c r="B21" s="2">
        <v>45302</v>
      </c>
      <c r="C21" t="s">
        <v>12</v>
      </c>
      <c r="D21" t="s">
        <v>29</v>
      </c>
      <c r="E21" t="s">
        <v>41</v>
      </c>
      <c r="F21" t="s">
        <v>25</v>
      </c>
      <c r="G21">
        <v>16</v>
      </c>
      <c r="H21" s="3">
        <v>475.92</v>
      </c>
      <c r="I21" s="3">
        <v>326.89</v>
      </c>
      <c r="J21" s="3">
        <f t="shared" si="0"/>
        <v>7614.72</v>
      </c>
      <c r="K21" s="3">
        <f t="shared" si="1"/>
        <v>5230.24</v>
      </c>
      <c r="L21" s="3">
        <f t="shared" si="2"/>
        <v>2384.4800000000005</v>
      </c>
    </row>
    <row r="22" spans="1:12" x14ac:dyDescent="0.3">
      <c r="A22">
        <v>2276</v>
      </c>
      <c r="B22" s="2">
        <v>45303</v>
      </c>
      <c r="C22" t="s">
        <v>32</v>
      </c>
      <c r="D22" t="s">
        <v>29</v>
      </c>
      <c r="E22" t="s">
        <v>37</v>
      </c>
      <c r="F22" t="s">
        <v>19</v>
      </c>
      <c r="G22">
        <v>19</v>
      </c>
      <c r="H22" s="3">
        <v>400.2</v>
      </c>
      <c r="I22" s="3">
        <v>246.62</v>
      </c>
      <c r="J22" s="3">
        <f t="shared" si="0"/>
        <v>7603.8</v>
      </c>
      <c r="K22" s="3">
        <f t="shared" si="1"/>
        <v>4685.78</v>
      </c>
      <c r="L22" s="3">
        <f t="shared" si="2"/>
        <v>2918.0200000000004</v>
      </c>
    </row>
    <row r="23" spans="1:12" x14ac:dyDescent="0.3">
      <c r="A23">
        <v>1269</v>
      </c>
      <c r="B23" s="2">
        <v>45304</v>
      </c>
      <c r="C23" t="s">
        <v>12</v>
      </c>
      <c r="D23" t="s">
        <v>17</v>
      </c>
      <c r="E23" t="s">
        <v>18</v>
      </c>
      <c r="F23" t="s">
        <v>33</v>
      </c>
      <c r="G23">
        <v>25</v>
      </c>
      <c r="H23" s="3">
        <v>832.99</v>
      </c>
      <c r="I23" s="3">
        <v>583.74</v>
      </c>
      <c r="J23" s="3">
        <f t="shared" si="0"/>
        <v>20824.75</v>
      </c>
      <c r="K23" s="3">
        <f t="shared" si="1"/>
        <v>14593.5</v>
      </c>
      <c r="L23" s="3">
        <f t="shared" si="2"/>
        <v>6231.25</v>
      </c>
    </row>
    <row r="24" spans="1:12" x14ac:dyDescent="0.3">
      <c r="A24">
        <v>1310</v>
      </c>
      <c r="B24" s="2">
        <v>45304</v>
      </c>
      <c r="C24" t="s">
        <v>16</v>
      </c>
      <c r="D24" t="s">
        <v>20</v>
      </c>
      <c r="E24" t="s">
        <v>42</v>
      </c>
      <c r="F24" t="s">
        <v>36</v>
      </c>
      <c r="G24">
        <v>10</v>
      </c>
      <c r="H24" s="3">
        <v>283.10000000000002</v>
      </c>
      <c r="I24" s="3">
        <v>207.01</v>
      </c>
      <c r="J24" s="3">
        <f t="shared" si="0"/>
        <v>2831</v>
      </c>
      <c r="K24" s="3">
        <f t="shared" si="1"/>
        <v>2070.1</v>
      </c>
      <c r="L24" s="3">
        <f t="shared" si="2"/>
        <v>760.90000000000009</v>
      </c>
    </row>
    <row r="25" spans="1:12" x14ac:dyDescent="0.3">
      <c r="A25">
        <v>1596</v>
      </c>
      <c r="B25" s="2">
        <v>45305</v>
      </c>
      <c r="C25" t="s">
        <v>12</v>
      </c>
      <c r="D25" t="s">
        <v>29</v>
      </c>
      <c r="E25" t="s">
        <v>43</v>
      </c>
      <c r="F25" t="s">
        <v>28</v>
      </c>
      <c r="G25">
        <v>27</v>
      </c>
      <c r="H25" s="3">
        <v>123.02</v>
      </c>
      <c r="I25" s="3">
        <v>68.31</v>
      </c>
      <c r="J25" s="3">
        <f t="shared" si="0"/>
        <v>3321.54</v>
      </c>
      <c r="K25" s="3">
        <f t="shared" si="1"/>
        <v>1844.3700000000001</v>
      </c>
      <c r="L25" s="3">
        <f t="shared" si="2"/>
        <v>1477.1699999999998</v>
      </c>
    </row>
    <row r="26" spans="1:12" x14ac:dyDescent="0.3">
      <c r="A26">
        <v>1667</v>
      </c>
      <c r="B26" s="2">
        <v>45305</v>
      </c>
      <c r="C26" t="s">
        <v>12</v>
      </c>
      <c r="D26" t="s">
        <v>20</v>
      </c>
      <c r="E26" t="s">
        <v>21</v>
      </c>
      <c r="F26" t="s">
        <v>36</v>
      </c>
      <c r="G26">
        <v>39</v>
      </c>
      <c r="H26" s="3">
        <v>192.69</v>
      </c>
      <c r="I26" s="3">
        <v>129.62</v>
      </c>
      <c r="J26" s="3">
        <f t="shared" si="0"/>
        <v>7514.91</v>
      </c>
      <c r="K26" s="3">
        <f t="shared" si="1"/>
        <v>5055.18</v>
      </c>
      <c r="L26" s="3">
        <f t="shared" si="2"/>
        <v>2459.7299999999996</v>
      </c>
    </row>
    <row r="27" spans="1:12" x14ac:dyDescent="0.3">
      <c r="A27">
        <v>2619</v>
      </c>
      <c r="B27" s="2">
        <v>45305</v>
      </c>
      <c r="C27" t="s">
        <v>32</v>
      </c>
      <c r="D27" t="s">
        <v>20</v>
      </c>
      <c r="E27" t="s">
        <v>34</v>
      </c>
      <c r="F27" t="s">
        <v>36</v>
      </c>
      <c r="G27">
        <v>17</v>
      </c>
      <c r="H27" s="3">
        <v>61.24</v>
      </c>
      <c r="I27" s="3">
        <v>32.32</v>
      </c>
      <c r="J27" s="3">
        <f t="shared" si="0"/>
        <v>1041.08</v>
      </c>
      <c r="K27" s="3">
        <f t="shared" si="1"/>
        <v>549.44000000000005</v>
      </c>
      <c r="L27" s="3">
        <f t="shared" si="2"/>
        <v>491.63999999999987</v>
      </c>
    </row>
    <row r="28" spans="1:12" x14ac:dyDescent="0.3">
      <c r="A28">
        <v>2682</v>
      </c>
      <c r="B28" s="2">
        <v>45305</v>
      </c>
      <c r="C28" t="s">
        <v>26</v>
      </c>
      <c r="D28" t="s">
        <v>20</v>
      </c>
      <c r="E28" t="s">
        <v>21</v>
      </c>
      <c r="F28" t="s">
        <v>22</v>
      </c>
      <c r="G28">
        <v>5</v>
      </c>
      <c r="H28" s="3">
        <v>32.340000000000003</v>
      </c>
      <c r="I28" s="3">
        <v>21.79</v>
      </c>
      <c r="J28" s="3">
        <f t="shared" si="0"/>
        <v>161.70000000000002</v>
      </c>
      <c r="K28" s="3">
        <f t="shared" si="1"/>
        <v>108.94999999999999</v>
      </c>
      <c r="L28" s="3">
        <f t="shared" si="2"/>
        <v>52.750000000000028</v>
      </c>
    </row>
    <row r="29" spans="1:12" x14ac:dyDescent="0.3">
      <c r="A29">
        <v>2701</v>
      </c>
      <c r="B29" s="2">
        <v>45305</v>
      </c>
      <c r="C29" t="s">
        <v>12</v>
      </c>
      <c r="D29" t="s">
        <v>17</v>
      </c>
      <c r="E29" t="s">
        <v>44</v>
      </c>
      <c r="F29" t="s">
        <v>22</v>
      </c>
      <c r="G29">
        <v>18</v>
      </c>
      <c r="H29" s="3">
        <v>847.17</v>
      </c>
      <c r="I29" s="3">
        <v>575.42999999999995</v>
      </c>
      <c r="J29" s="3">
        <f t="shared" si="0"/>
        <v>15249.06</v>
      </c>
      <c r="K29" s="3">
        <f t="shared" si="1"/>
        <v>10357.74</v>
      </c>
      <c r="L29" s="3">
        <f t="shared" si="2"/>
        <v>4891.32</v>
      </c>
    </row>
    <row r="30" spans="1:12" x14ac:dyDescent="0.3">
      <c r="A30">
        <v>1832</v>
      </c>
      <c r="B30" s="2">
        <v>45306</v>
      </c>
      <c r="C30" t="s">
        <v>16</v>
      </c>
      <c r="D30" t="s">
        <v>13</v>
      </c>
      <c r="E30" t="s">
        <v>45</v>
      </c>
      <c r="F30" t="s">
        <v>36</v>
      </c>
      <c r="G30">
        <v>35</v>
      </c>
      <c r="H30" s="3">
        <v>16.920000000000002</v>
      </c>
      <c r="I30" s="3">
        <v>11.94</v>
      </c>
      <c r="J30" s="3">
        <f t="shared" si="0"/>
        <v>592.20000000000005</v>
      </c>
      <c r="K30" s="3">
        <f t="shared" si="1"/>
        <v>417.9</v>
      </c>
      <c r="L30" s="3">
        <f t="shared" si="2"/>
        <v>174.30000000000007</v>
      </c>
    </row>
    <row r="31" spans="1:12" x14ac:dyDescent="0.3">
      <c r="A31">
        <v>2418</v>
      </c>
      <c r="B31" s="2">
        <v>45306</v>
      </c>
      <c r="C31" t="s">
        <v>23</v>
      </c>
      <c r="D31" t="s">
        <v>17</v>
      </c>
      <c r="E31" t="s">
        <v>35</v>
      </c>
      <c r="F31" t="s">
        <v>28</v>
      </c>
      <c r="G31">
        <v>23</v>
      </c>
      <c r="H31" s="3">
        <v>314.68</v>
      </c>
      <c r="I31" s="3">
        <v>223.38</v>
      </c>
      <c r="J31" s="3">
        <f t="shared" si="0"/>
        <v>7237.64</v>
      </c>
      <c r="K31" s="3">
        <f t="shared" si="1"/>
        <v>5137.74</v>
      </c>
      <c r="L31" s="3">
        <f t="shared" si="2"/>
        <v>2099.9000000000005</v>
      </c>
    </row>
    <row r="32" spans="1:12" x14ac:dyDescent="0.3">
      <c r="A32">
        <v>2484</v>
      </c>
      <c r="B32" s="2">
        <v>45307</v>
      </c>
      <c r="C32" t="s">
        <v>16</v>
      </c>
      <c r="D32" t="s">
        <v>20</v>
      </c>
      <c r="E32" t="s">
        <v>21</v>
      </c>
      <c r="F32" t="s">
        <v>25</v>
      </c>
      <c r="G32">
        <v>10</v>
      </c>
      <c r="H32" s="3">
        <v>114.32</v>
      </c>
      <c r="I32" s="3">
        <v>83.56</v>
      </c>
      <c r="J32" s="3">
        <f t="shared" si="0"/>
        <v>1143.1999999999998</v>
      </c>
      <c r="K32" s="3">
        <f t="shared" si="1"/>
        <v>835.6</v>
      </c>
      <c r="L32" s="3">
        <f t="shared" si="2"/>
        <v>307.5999999999998</v>
      </c>
    </row>
    <row r="33" spans="1:12" x14ac:dyDescent="0.3">
      <c r="A33">
        <v>1253</v>
      </c>
      <c r="B33" s="2">
        <v>45308</v>
      </c>
      <c r="C33" t="s">
        <v>26</v>
      </c>
      <c r="D33" t="s">
        <v>13</v>
      </c>
      <c r="E33" t="s">
        <v>14</v>
      </c>
      <c r="F33" t="s">
        <v>28</v>
      </c>
      <c r="G33">
        <v>1</v>
      </c>
      <c r="H33" s="3">
        <v>27.38</v>
      </c>
      <c r="I33" s="3">
        <v>19.73</v>
      </c>
      <c r="J33" s="3">
        <f t="shared" si="0"/>
        <v>27.38</v>
      </c>
      <c r="K33" s="3">
        <f t="shared" si="1"/>
        <v>19.73</v>
      </c>
      <c r="L33" s="3">
        <f t="shared" si="2"/>
        <v>7.6499999999999986</v>
      </c>
    </row>
    <row r="34" spans="1:12" x14ac:dyDescent="0.3">
      <c r="A34">
        <v>1554</v>
      </c>
      <c r="B34" s="2">
        <v>45308</v>
      </c>
      <c r="C34" t="s">
        <v>23</v>
      </c>
      <c r="D34" t="s">
        <v>17</v>
      </c>
      <c r="E34" t="s">
        <v>27</v>
      </c>
      <c r="F34" t="s">
        <v>22</v>
      </c>
      <c r="G34">
        <v>12</v>
      </c>
      <c r="H34" s="3">
        <v>837.96</v>
      </c>
      <c r="I34" s="3">
        <v>564.26</v>
      </c>
      <c r="J34" s="3">
        <f t="shared" si="0"/>
        <v>10055.52</v>
      </c>
      <c r="K34" s="3">
        <f t="shared" si="1"/>
        <v>6771.12</v>
      </c>
      <c r="L34" s="3">
        <f t="shared" si="2"/>
        <v>3284.4000000000005</v>
      </c>
    </row>
    <row r="35" spans="1:12" x14ac:dyDescent="0.3">
      <c r="A35">
        <v>2357</v>
      </c>
      <c r="B35" s="2">
        <v>45308</v>
      </c>
      <c r="C35" t="s">
        <v>12</v>
      </c>
      <c r="D35" t="s">
        <v>20</v>
      </c>
      <c r="E35" t="s">
        <v>34</v>
      </c>
      <c r="F35" t="s">
        <v>28</v>
      </c>
      <c r="G35">
        <v>38</v>
      </c>
      <c r="H35" s="3">
        <v>104.55</v>
      </c>
      <c r="I35" s="3">
        <v>58.67</v>
      </c>
      <c r="J35" s="3">
        <f t="shared" si="0"/>
        <v>3972.9</v>
      </c>
      <c r="K35" s="3">
        <f t="shared" si="1"/>
        <v>2229.46</v>
      </c>
      <c r="L35" s="3">
        <f t="shared" si="2"/>
        <v>1743.44</v>
      </c>
    </row>
    <row r="36" spans="1:12" x14ac:dyDescent="0.3">
      <c r="A36">
        <v>2358</v>
      </c>
      <c r="B36" s="2">
        <v>45308</v>
      </c>
      <c r="C36" t="s">
        <v>12</v>
      </c>
      <c r="D36" t="s">
        <v>20</v>
      </c>
      <c r="E36" t="s">
        <v>38</v>
      </c>
      <c r="F36" t="s">
        <v>28</v>
      </c>
      <c r="G36">
        <v>26</v>
      </c>
      <c r="H36" s="3">
        <v>149.72</v>
      </c>
      <c r="I36" s="3">
        <v>90.42</v>
      </c>
      <c r="J36" s="3">
        <f t="shared" si="0"/>
        <v>3892.72</v>
      </c>
      <c r="K36" s="3">
        <f t="shared" si="1"/>
        <v>2350.92</v>
      </c>
      <c r="L36" s="3">
        <f t="shared" si="2"/>
        <v>1541.7999999999997</v>
      </c>
    </row>
    <row r="37" spans="1:12" x14ac:dyDescent="0.3">
      <c r="A37">
        <v>2561</v>
      </c>
      <c r="B37" s="2">
        <v>45309</v>
      </c>
      <c r="C37" t="s">
        <v>26</v>
      </c>
      <c r="D37" t="s">
        <v>13</v>
      </c>
      <c r="E37" t="s">
        <v>14</v>
      </c>
      <c r="F37" t="s">
        <v>25</v>
      </c>
      <c r="G37">
        <v>10</v>
      </c>
      <c r="H37" s="3">
        <v>27.16</v>
      </c>
      <c r="I37" s="3">
        <v>16.07</v>
      </c>
      <c r="J37" s="3">
        <f t="shared" si="0"/>
        <v>271.60000000000002</v>
      </c>
      <c r="K37" s="3">
        <f t="shared" si="1"/>
        <v>160.69999999999999</v>
      </c>
      <c r="L37" s="3">
        <f t="shared" si="2"/>
        <v>110.90000000000003</v>
      </c>
    </row>
    <row r="38" spans="1:12" x14ac:dyDescent="0.3">
      <c r="A38">
        <v>1846</v>
      </c>
      <c r="B38" s="2">
        <v>45310</v>
      </c>
      <c r="C38" t="s">
        <v>16</v>
      </c>
      <c r="D38" t="s">
        <v>13</v>
      </c>
      <c r="E38" t="s">
        <v>45</v>
      </c>
      <c r="F38" t="s">
        <v>22</v>
      </c>
      <c r="G38">
        <v>25</v>
      </c>
      <c r="H38" s="3">
        <v>20.47</v>
      </c>
      <c r="I38" s="3">
        <v>11.96</v>
      </c>
      <c r="J38" s="3">
        <f t="shared" si="0"/>
        <v>511.75</v>
      </c>
      <c r="K38" s="3">
        <f t="shared" si="1"/>
        <v>299</v>
      </c>
      <c r="L38" s="3">
        <f t="shared" si="2"/>
        <v>212.75</v>
      </c>
    </row>
    <row r="39" spans="1:12" x14ac:dyDescent="0.3">
      <c r="A39">
        <v>1624</v>
      </c>
      <c r="B39" s="2">
        <v>45311</v>
      </c>
      <c r="C39" t="s">
        <v>16</v>
      </c>
      <c r="D39" t="s">
        <v>13</v>
      </c>
      <c r="E39" t="s">
        <v>46</v>
      </c>
      <c r="F39" t="s">
        <v>28</v>
      </c>
      <c r="G39">
        <v>14</v>
      </c>
      <c r="H39" s="3">
        <v>49.96</v>
      </c>
      <c r="I39" s="3">
        <v>32.950000000000003</v>
      </c>
      <c r="J39" s="3">
        <f t="shared" si="0"/>
        <v>699.44</v>
      </c>
      <c r="K39" s="3">
        <f t="shared" si="1"/>
        <v>461.30000000000007</v>
      </c>
      <c r="L39" s="3">
        <f t="shared" si="2"/>
        <v>238.14</v>
      </c>
    </row>
    <row r="40" spans="1:12" x14ac:dyDescent="0.3">
      <c r="A40">
        <v>1291</v>
      </c>
      <c r="B40" s="2">
        <v>45312</v>
      </c>
      <c r="C40" t="s">
        <v>16</v>
      </c>
      <c r="D40" t="s">
        <v>20</v>
      </c>
      <c r="E40" t="s">
        <v>42</v>
      </c>
      <c r="F40" t="s">
        <v>33</v>
      </c>
      <c r="G40">
        <v>40</v>
      </c>
      <c r="H40" s="3">
        <v>277.26</v>
      </c>
      <c r="I40" s="3">
        <v>197.15</v>
      </c>
      <c r="J40" s="3">
        <f t="shared" si="0"/>
        <v>11090.4</v>
      </c>
      <c r="K40" s="3">
        <f t="shared" si="1"/>
        <v>7886</v>
      </c>
      <c r="L40" s="3">
        <f t="shared" si="2"/>
        <v>3204.3999999999996</v>
      </c>
    </row>
    <row r="41" spans="1:12" x14ac:dyDescent="0.3">
      <c r="A41">
        <v>1629</v>
      </c>
      <c r="B41" s="2">
        <v>45312</v>
      </c>
      <c r="C41" t="s">
        <v>26</v>
      </c>
      <c r="D41" t="s">
        <v>17</v>
      </c>
      <c r="E41" t="s">
        <v>40</v>
      </c>
      <c r="F41" t="s">
        <v>15</v>
      </c>
      <c r="G41">
        <v>5</v>
      </c>
      <c r="H41" s="3">
        <v>816.48</v>
      </c>
      <c r="I41" s="3">
        <v>426.67</v>
      </c>
      <c r="J41" s="3">
        <f t="shared" si="0"/>
        <v>4082.4</v>
      </c>
      <c r="K41" s="3">
        <f t="shared" si="1"/>
        <v>2133.35</v>
      </c>
      <c r="L41" s="3">
        <f t="shared" si="2"/>
        <v>1949.0500000000002</v>
      </c>
    </row>
    <row r="42" spans="1:12" x14ac:dyDescent="0.3">
      <c r="A42">
        <v>1816</v>
      </c>
      <c r="B42" s="2">
        <v>45312</v>
      </c>
      <c r="C42" t="s">
        <v>23</v>
      </c>
      <c r="D42" t="s">
        <v>20</v>
      </c>
      <c r="E42" t="s">
        <v>42</v>
      </c>
      <c r="F42" t="s">
        <v>25</v>
      </c>
      <c r="G42">
        <v>14</v>
      </c>
      <c r="H42" s="3">
        <v>187.75</v>
      </c>
      <c r="I42" s="3">
        <v>102.32</v>
      </c>
      <c r="J42" s="3">
        <f t="shared" si="0"/>
        <v>2628.5</v>
      </c>
      <c r="K42" s="3">
        <f t="shared" si="1"/>
        <v>1432.48</v>
      </c>
      <c r="L42" s="3">
        <f t="shared" si="2"/>
        <v>1196.02</v>
      </c>
    </row>
    <row r="43" spans="1:12" x14ac:dyDescent="0.3">
      <c r="A43">
        <v>2207</v>
      </c>
      <c r="B43" s="2">
        <v>45312</v>
      </c>
      <c r="C43" t="s">
        <v>16</v>
      </c>
      <c r="D43" t="s">
        <v>17</v>
      </c>
      <c r="E43" t="s">
        <v>35</v>
      </c>
      <c r="F43" t="s">
        <v>22</v>
      </c>
      <c r="G43">
        <v>24</v>
      </c>
      <c r="H43" s="3">
        <v>140.21</v>
      </c>
      <c r="I43" s="3">
        <v>81.56</v>
      </c>
      <c r="J43" s="3">
        <f t="shared" si="0"/>
        <v>3365.04</v>
      </c>
      <c r="K43" s="3">
        <f t="shared" si="1"/>
        <v>1957.44</v>
      </c>
      <c r="L43" s="3">
        <f t="shared" si="2"/>
        <v>1407.6</v>
      </c>
    </row>
    <row r="44" spans="1:12" x14ac:dyDescent="0.3">
      <c r="A44">
        <v>1634</v>
      </c>
      <c r="B44" s="2">
        <v>45313</v>
      </c>
      <c r="C44" t="s">
        <v>16</v>
      </c>
      <c r="D44" t="s">
        <v>17</v>
      </c>
      <c r="E44" t="s">
        <v>27</v>
      </c>
      <c r="F44" t="s">
        <v>39</v>
      </c>
      <c r="G44">
        <v>17</v>
      </c>
      <c r="H44" s="3">
        <v>524.29</v>
      </c>
      <c r="I44" s="3">
        <v>368.61</v>
      </c>
      <c r="J44" s="3">
        <f t="shared" si="0"/>
        <v>8912.93</v>
      </c>
      <c r="K44" s="3">
        <f t="shared" si="1"/>
        <v>6266.37</v>
      </c>
      <c r="L44" s="3">
        <f t="shared" si="2"/>
        <v>2646.5600000000004</v>
      </c>
    </row>
    <row r="45" spans="1:12" x14ac:dyDescent="0.3">
      <c r="A45">
        <v>2478</v>
      </c>
      <c r="B45" s="2">
        <v>45313</v>
      </c>
      <c r="C45" t="s">
        <v>16</v>
      </c>
      <c r="D45" t="s">
        <v>29</v>
      </c>
      <c r="E45" t="s">
        <v>37</v>
      </c>
      <c r="F45" t="s">
        <v>19</v>
      </c>
      <c r="G45">
        <v>13</v>
      </c>
      <c r="H45" s="3">
        <v>418.97</v>
      </c>
      <c r="I45" s="3">
        <v>291.24</v>
      </c>
      <c r="J45" s="3">
        <f t="shared" si="0"/>
        <v>5446.6100000000006</v>
      </c>
      <c r="K45" s="3">
        <f t="shared" si="1"/>
        <v>3786.12</v>
      </c>
      <c r="L45" s="3">
        <f t="shared" si="2"/>
        <v>1660.4900000000007</v>
      </c>
    </row>
    <row r="46" spans="1:12" x14ac:dyDescent="0.3">
      <c r="A46">
        <v>1436</v>
      </c>
      <c r="B46" s="2">
        <v>45314</v>
      </c>
      <c r="C46" t="s">
        <v>12</v>
      </c>
      <c r="D46" t="s">
        <v>17</v>
      </c>
      <c r="E46" t="s">
        <v>40</v>
      </c>
      <c r="F46" t="s">
        <v>15</v>
      </c>
      <c r="G46">
        <v>9</v>
      </c>
      <c r="H46" s="3">
        <v>660.76</v>
      </c>
      <c r="I46" s="3">
        <v>411.91</v>
      </c>
      <c r="J46" s="3">
        <f t="shared" si="0"/>
        <v>5946.84</v>
      </c>
      <c r="K46" s="3">
        <f t="shared" si="1"/>
        <v>3707.19</v>
      </c>
      <c r="L46" s="3">
        <f t="shared" si="2"/>
        <v>2239.65</v>
      </c>
    </row>
    <row r="47" spans="1:12" x14ac:dyDescent="0.3">
      <c r="A47">
        <v>2368</v>
      </c>
      <c r="B47" s="2">
        <v>45314</v>
      </c>
      <c r="C47" t="s">
        <v>23</v>
      </c>
      <c r="D47" t="s">
        <v>20</v>
      </c>
      <c r="E47" t="s">
        <v>38</v>
      </c>
      <c r="F47" t="s">
        <v>33</v>
      </c>
      <c r="G47">
        <v>33</v>
      </c>
      <c r="H47" s="3">
        <v>34.36</v>
      </c>
      <c r="I47" s="3">
        <v>22.26</v>
      </c>
      <c r="J47" s="3">
        <f t="shared" si="0"/>
        <v>1133.8799999999999</v>
      </c>
      <c r="K47" s="3">
        <f t="shared" si="1"/>
        <v>734.58</v>
      </c>
      <c r="L47" s="3">
        <f t="shared" si="2"/>
        <v>399.29999999999984</v>
      </c>
    </row>
    <row r="48" spans="1:12" x14ac:dyDescent="0.3">
      <c r="A48">
        <v>2111</v>
      </c>
      <c r="B48" s="2">
        <v>45315</v>
      </c>
      <c r="C48" t="s">
        <v>32</v>
      </c>
      <c r="D48" t="s">
        <v>13</v>
      </c>
      <c r="E48" t="s">
        <v>24</v>
      </c>
      <c r="F48" t="s">
        <v>28</v>
      </c>
      <c r="G48">
        <v>6</v>
      </c>
      <c r="H48" s="3">
        <v>4.3</v>
      </c>
      <c r="I48" s="3">
        <v>2.57</v>
      </c>
      <c r="J48" s="3">
        <f t="shared" si="0"/>
        <v>25.799999999999997</v>
      </c>
      <c r="K48" s="3">
        <f t="shared" si="1"/>
        <v>15.419999999999998</v>
      </c>
      <c r="L48" s="3">
        <f t="shared" si="2"/>
        <v>10.379999999999999</v>
      </c>
    </row>
    <row r="49" spans="1:12" x14ac:dyDescent="0.3">
      <c r="A49">
        <v>1722</v>
      </c>
      <c r="B49" s="2">
        <v>45316</v>
      </c>
      <c r="C49" t="s">
        <v>16</v>
      </c>
      <c r="D49" t="s">
        <v>29</v>
      </c>
      <c r="E49" t="s">
        <v>43</v>
      </c>
      <c r="F49" t="s">
        <v>39</v>
      </c>
      <c r="G49">
        <v>7</v>
      </c>
      <c r="H49" s="3">
        <v>429.66</v>
      </c>
      <c r="I49" s="3">
        <v>270.64999999999998</v>
      </c>
      <c r="J49" s="3">
        <f t="shared" si="0"/>
        <v>3007.6200000000003</v>
      </c>
      <c r="K49" s="3">
        <f t="shared" si="1"/>
        <v>1894.5499999999997</v>
      </c>
      <c r="L49" s="3">
        <f t="shared" si="2"/>
        <v>1113.0700000000006</v>
      </c>
    </row>
    <row r="50" spans="1:12" x14ac:dyDescent="0.3">
      <c r="A50">
        <v>2139</v>
      </c>
      <c r="B50" s="2">
        <v>45316</v>
      </c>
      <c r="C50" t="s">
        <v>32</v>
      </c>
      <c r="D50" t="s">
        <v>20</v>
      </c>
      <c r="E50" t="s">
        <v>21</v>
      </c>
      <c r="F50" t="s">
        <v>33</v>
      </c>
      <c r="G50">
        <v>36</v>
      </c>
      <c r="H50" s="3">
        <v>160.82</v>
      </c>
      <c r="I50" s="3">
        <v>114.84</v>
      </c>
      <c r="J50" s="3">
        <f t="shared" si="0"/>
        <v>5789.5199999999995</v>
      </c>
      <c r="K50" s="3">
        <f t="shared" si="1"/>
        <v>4134.24</v>
      </c>
      <c r="L50" s="3">
        <f t="shared" si="2"/>
        <v>1655.2799999999997</v>
      </c>
    </row>
    <row r="51" spans="1:12" x14ac:dyDescent="0.3">
      <c r="A51">
        <v>2228</v>
      </c>
      <c r="B51" s="2">
        <v>45317</v>
      </c>
      <c r="C51" t="s">
        <v>23</v>
      </c>
      <c r="D51" t="s">
        <v>17</v>
      </c>
      <c r="E51" t="s">
        <v>44</v>
      </c>
      <c r="F51" t="s">
        <v>15</v>
      </c>
      <c r="G51">
        <v>36</v>
      </c>
      <c r="H51" s="3">
        <v>195.32</v>
      </c>
      <c r="I51" s="3">
        <v>100.84</v>
      </c>
      <c r="J51" s="3">
        <f t="shared" si="0"/>
        <v>7031.5199999999995</v>
      </c>
      <c r="K51" s="3">
        <f t="shared" si="1"/>
        <v>3630.2400000000002</v>
      </c>
      <c r="L51" s="3">
        <f t="shared" si="2"/>
        <v>3401.2799999999993</v>
      </c>
    </row>
    <row r="52" spans="1:12" x14ac:dyDescent="0.3">
      <c r="A52">
        <v>2692</v>
      </c>
      <c r="B52" s="2">
        <v>45317</v>
      </c>
      <c r="C52" t="s">
        <v>16</v>
      </c>
      <c r="D52" t="s">
        <v>13</v>
      </c>
      <c r="E52" t="s">
        <v>45</v>
      </c>
      <c r="F52" t="s">
        <v>28</v>
      </c>
      <c r="G52">
        <v>8</v>
      </c>
      <c r="H52" s="3">
        <v>22.62</v>
      </c>
      <c r="I52" s="3">
        <v>14.42</v>
      </c>
      <c r="J52" s="3">
        <f t="shared" si="0"/>
        <v>180.96</v>
      </c>
      <c r="K52" s="3">
        <f t="shared" si="1"/>
        <v>115.36</v>
      </c>
      <c r="L52" s="3">
        <f t="shared" si="2"/>
        <v>65.600000000000009</v>
      </c>
    </row>
    <row r="53" spans="1:12" x14ac:dyDescent="0.3">
      <c r="A53">
        <v>1114</v>
      </c>
      <c r="B53" s="2">
        <v>45318</v>
      </c>
      <c r="C53" t="s">
        <v>16</v>
      </c>
      <c r="D53" t="s">
        <v>29</v>
      </c>
      <c r="E53" t="s">
        <v>30</v>
      </c>
      <c r="F53" t="s">
        <v>19</v>
      </c>
      <c r="G53">
        <v>18</v>
      </c>
      <c r="H53" s="3">
        <v>222.73</v>
      </c>
      <c r="I53" s="3">
        <v>159.80000000000001</v>
      </c>
      <c r="J53" s="3">
        <f t="shared" si="0"/>
        <v>4009.14</v>
      </c>
      <c r="K53" s="3">
        <f t="shared" si="1"/>
        <v>2876.4</v>
      </c>
      <c r="L53" s="3">
        <f t="shared" si="2"/>
        <v>1132.7399999999998</v>
      </c>
    </row>
    <row r="54" spans="1:12" x14ac:dyDescent="0.3">
      <c r="A54">
        <v>2488</v>
      </c>
      <c r="B54" s="2">
        <v>45318</v>
      </c>
      <c r="C54" t="s">
        <v>26</v>
      </c>
      <c r="D54" t="s">
        <v>17</v>
      </c>
      <c r="E54" t="s">
        <v>18</v>
      </c>
      <c r="F54" t="s">
        <v>22</v>
      </c>
      <c r="G54">
        <v>40</v>
      </c>
      <c r="H54" s="3">
        <v>604.55999999999995</v>
      </c>
      <c r="I54" s="3">
        <v>413.78</v>
      </c>
      <c r="J54" s="3">
        <f t="shared" si="0"/>
        <v>24182.399999999998</v>
      </c>
      <c r="K54" s="3">
        <f t="shared" si="1"/>
        <v>16551.199999999997</v>
      </c>
      <c r="L54" s="3">
        <f t="shared" si="2"/>
        <v>7631.2000000000007</v>
      </c>
    </row>
    <row r="55" spans="1:12" x14ac:dyDescent="0.3">
      <c r="A55">
        <v>1260</v>
      </c>
      <c r="B55" s="2">
        <v>45319</v>
      </c>
      <c r="C55" t="s">
        <v>32</v>
      </c>
      <c r="D55" t="s">
        <v>13</v>
      </c>
      <c r="E55" t="s">
        <v>46</v>
      </c>
      <c r="F55" t="s">
        <v>39</v>
      </c>
      <c r="G55">
        <v>26</v>
      </c>
      <c r="H55" s="3">
        <v>6.11</v>
      </c>
      <c r="I55" s="3">
        <v>3.81</v>
      </c>
      <c r="J55" s="3">
        <f t="shared" si="0"/>
        <v>158.86000000000001</v>
      </c>
      <c r="K55" s="3">
        <f t="shared" si="1"/>
        <v>99.06</v>
      </c>
      <c r="L55" s="3">
        <f t="shared" si="2"/>
        <v>59.800000000000011</v>
      </c>
    </row>
    <row r="56" spans="1:12" x14ac:dyDescent="0.3">
      <c r="A56">
        <v>2431</v>
      </c>
      <c r="B56" s="2">
        <v>45319</v>
      </c>
      <c r="C56" t="s">
        <v>26</v>
      </c>
      <c r="D56" t="s">
        <v>17</v>
      </c>
      <c r="E56" t="s">
        <v>40</v>
      </c>
      <c r="F56" t="s">
        <v>39</v>
      </c>
      <c r="G56">
        <v>12</v>
      </c>
      <c r="H56" s="3">
        <v>750.74</v>
      </c>
      <c r="I56" s="3">
        <v>530.64</v>
      </c>
      <c r="J56" s="3">
        <f t="shared" si="0"/>
        <v>9008.880000000001</v>
      </c>
      <c r="K56" s="3">
        <f t="shared" si="1"/>
        <v>6367.68</v>
      </c>
      <c r="L56" s="3">
        <f t="shared" si="2"/>
        <v>2641.2000000000007</v>
      </c>
    </row>
    <row r="57" spans="1:12" x14ac:dyDescent="0.3">
      <c r="A57">
        <v>2470</v>
      </c>
      <c r="B57" s="2">
        <v>45319</v>
      </c>
      <c r="C57" t="s">
        <v>23</v>
      </c>
      <c r="D57" t="s">
        <v>13</v>
      </c>
      <c r="E57" t="s">
        <v>14</v>
      </c>
      <c r="F57" t="s">
        <v>25</v>
      </c>
      <c r="G57">
        <v>21</v>
      </c>
      <c r="H57" s="3">
        <v>15.13</v>
      </c>
      <c r="I57" s="3">
        <v>8.5299999999999994</v>
      </c>
      <c r="J57" s="3">
        <f t="shared" si="0"/>
        <v>317.73</v>
      </c>
      <c r="K57" s="3">
        <f t="shared" si="1"/>
        <v>179.13</v>
      </c>
      <c r="L57" s="3">
        <f t="shared" si="2"/>
        <v>138.60000000000002</v>
      </c>
    </row>
    <row r="58" spans="1:12" x14ac:dyDescent="0.3">
      <c r="A58">
        <v>1410</v>
      </c>
      <c r="B58" s="2">
        <v>45320</v>
      </c>
      <c r="C58" t="s">
        <v>23</v>
      </c>
      <c r="D58" t="s">
        <v>17</v>
      </c>
      <c r="E58" t="s">
        <v>40</v>
      </c>
      <c r="F58" t="s">
        <v>25</v>
      </c>
      <c r="G58">
        <v>25</v>
      </c>
      <c r="H58" s="3">
        <v>592.28</v>
      </c>
      <c r="I58" s="3">
        <v>342.89</v>
      </c>
      <c r="J58" s="3">
        <f t="shared" si="0"/>
        <v>14807</v>
      </c>
      <c r="K58" s="3">
        <f t="shared" si="1"/>
        <v>8572.25</v>
      </c>
      <c r="L58" s="3">
        <f t="shared" si="2"/>
        <v>6234.75</v>
      </c>
    </row>
    <row r="59" spans="1:12" x14ac:dyDescent="0.3">
      <c r="A59">
        <v>1696</v>
      </c>
      <c r="B59" s="2">
        <v>45320</v>
      </c>
      <c r="C59" t="s">
        <v>12</v>
      </c>
      <c r="D59" t="s">
        <v>13</v>
      </c>
      <c r="E59" t="s">
        <v>46</v>
      </c>
      <c r="F59" t="s">
        <v>36</v>
      </c>
      <c r="G59">
        <v>4</v>
      </c>
      <c r="H59" s="3">
        <v>20.39</v>
      </c>
      <c r="I59" s="3">
        <v>13.97</v>
      </c>
      <c r="J59" s="3">
        <f t="shared" si="0"/>
        <v>81.56</v>
      </c>
      <c r="K59" s="3">
        <f t="shared" si="1"/>
        <v>55.88</v>
      </c>
      <c r="L59" s="3">
        <f t="shared" si="2"/>
        <v>25.68</v>
      </c>
    </row>
    <row r="60" spans="1:12" x14ac:dyDescent="0.3">
      <c r="A60">
        <v>1915</v>
      </c>
      <c r="B60" s="2">
        <v>45320</v>
      </c>
      <c r="C60" t="s">
        <v>16</v>
      </c>
      <c r="D60" t="s">
        <v>17</v>
      </c>
      <c r="E60" t="s">
        <v>35</v>
      </c>
      <c r="F60" t="s">
        <v>36</v>
      </c>
      <c r="G60">
        <v>2</v>
      </c>
      <c r="H60" s="3">
        <v>683.57</v>
      </c>
      <c r="I60" s="3">
        <v>402.99</v>
      </c>
      <c r="J60" s="3">
        <f t="shared" si="0"/>
        <v>1367.14</v>
      </c>
      <c r="K60" s="3">
        <f t="shared" si="1"/>
        <v>805.98</v>
      </c>
      <c r="L60" s="3">
        <f t="shared" si="2"/>
        <v>561.16000000000008</v>
      </c>
    </row>
    <row r="61" spans="1:12" x14ac:dyDescent="0.3">
      <c r="A61">
        <v>1236</v>
      </c>
      <c r="B61" s="2">
        <v>45321</v>
      </c>
      <c r="C61" t="s">
        <v>16</v>
      </c>
      <c r="D61" t="s">
        <v>13</v>
      </c>
      <c r="E61" t="s">
        <v>14</v>
      </c>
      <c r="F61" t="s">
        <v>36</v>
      </c>
      <c r="G61">
        <v>25</v>
      </c>
      <c r="H61" s="3">
        <v>15.24</v>
      </c>
      <c r="I61" s="3">
        <v>10.65</v>
      </c>
      <c r="J61" s="3">
        <f t="shared" si="0"/>
        <v>381</v>
      </c>
      <c r="K61" s="3">
        <f t="shared" si="1"/>
        <v>266.25</v>
      </c>
      <c r="L61" s="3">
        <f t="shared" si="2"/>
        <v>114.75</v>
      </c>
    </row>
    <row r="62" spans="1:12" x14ac:dyDescent="0.3">
      <c r="A62">
        <v>1800</v>
      </c>
      <c r="B62" s="2">
        <v>45321</v>
      </c>
      <c r="C62" t="s">
        <v>12</v>
      </c>
      <c r="D62" t="s">
        <v>29</v>
      </c>
      <c r="E62" t="s">
        <v>41</v>
      </c>
      <c r="F62" t="s">
        <v>15</v>
      </c>
      <c r="G62">
        <v>15</v>
      </c>
      <c r="H62" s="3">
        <v>479.63</v>
      </c>
      <c r="I62" s="3">
        <v>319.61</v>
      </c>
      <c r="J62" s="3">
        <f t="shared" si="0"/>
        <v>7194.45</v>
      </c>
      <c r="K62" s="3">
        <f t="shared" si="1"/>
        <v>4794.1500000000005</v>
      </c>
      <c r="L62" s="3">
        <f t="shared" si="2"/>
        <v>2400.2999999999993</v>
      </c>
    </row>
    <row r="63" spans="1:12" x14ac:dyDescent="0.3">
      <c r="A63">
        <v>1513</v>
      </c>
      <c r="B63" s="2">
        <v>45322</v>
      </c>
      <c r="C63" t="s">
        <v>26</v>
      </c>
      <c r="D63" t="s">
        <v>20</v>
      </c>
      <c r="E63" t="s">
        <v>42</v>
      </c>
      <c r="F63" t="s">
        <v>33</v>
      </c>
      <c r="G63">
        <v>31</v>
      </c>
      <c r="H63" s="3">
        <v>189.24</v>
      </c>
      <c r="I63" s="3">
        <v>100.65</v>
      </c>
      <c r="J63" s="3">
        <f t="shared" si="0"/>
        <v>5866.4400000000005</v>
      </c>
      <c r="K63" s="3">
        <f t="shared" si="1"/>
        <v>3120.15</v>
      </c>
      <c r="L63" s="3">
        <f t="shared" si="2"/>
        <v>2746.2900000000004</v>
      </c>
    </row>
    <row r="64" spans="1:12" x14ac:dyDescent="0.3">
      <c r="A64">
        <v>1749</v>
      </c>
      <c r="B64" s="2">
        <v>45322</v>
      </c>
      <c r="C64" t="s">
        <v>32</v>
      </c>
      <c r="D64" t="s">
        <v>13</v>
      </c>
      <c r="E64" t="s">
        <v>46</v>
      </c>
      <c r="F64" t="s">
        <v>19</v>
      </c>
      <c r="G64">
        <v>20</v>
      </c>
      <c r="H64" s="3">
        <v>3.55</v>
      </c>
      <c r="I64" s="3">
        <v>2.08</v>
      </c>
      <c r="J64" s="3">
        <f t="shared" si="0"/>
        <v>71</v>
      </c>
      <c r="K64" s="3">
        <f t="shared" si="1"/>
        <v>41.6</v>
      </c>
      <c r="L64" s="3">
        <f t="shared" si="2"/>
        <v>29.4</v>
      </c>
    </row>
    <row r="65" spans="1:12" x14ac:dyDescent="0.3">
      <c r="A65">
        <v>1151</v>
      </c>
      <c r="B65" s="2">
        <v>45323</v>
      </c>
      <c r="C65" t="s">
        <v>12</v>
      </c>
      <c r="D65" t="s">
        <v>20</v>
      </c>
      <c r="E65" t="s">
        <v>42</v>
      </c>
      <c r="F65" t="s">
        <v>19</v>
      </c>
      <c r="G65">
        <v>5</v>
      </c>
      <c r="H65" s="3">
        <v>285.85000000000002</v>
      </c>
      <c r="I65" s="3">
        <v>145.24</v>
      </c>
      <c r="J65" s="3">
        <f t="shared" si="0"/>
        <v>1429.25</v>
      </c>
      <c r="K65" s="3">
        <f t="shared" si="1"/>
        <v>726.2</v>
      </c>
      <c r="L65" s="3">
        <f t="shared" si="2"/>
        <v>703.05</v>
      </c>
    </row>
    <row r="66" spans="1:12" x14ac:dyDescent="0.3">
      <c r="A66">
        <v>2113</v>
      </c>
      <c r="B66" s="2">
        <v>45323</v>
      </c>
      <c r="C66" t="s">
        <v>12</v>
      </c>
      <c r="D66" t="s">
        <v>20</v>
      </c>
      <c r="E66" t="s">
        <v>21</v>
      </c>
      <c r="F66" t="s">
        <v>39</v>
      </c>
      <c r="G66">
        <v>39</v>
      </c>
      <c r="H66" s="3">
        <v>149.19</v>
      </c>
      <c r="I66" s="3">
        <v>98.52</v>
      </c>
      <c r="J66" s="3">
        <f t="shared" ref="J66:J129" si="3">G66*H66</f>
        <v>5818.41</v>
      </c>
      <c r="K66" s="3">
        <f t="shared" ref="K66:K129" si="4">G66*I66</f>
        <v>3842.2799999999997</v>
      </c>
      <c r="L66" s="3">
        <f t="shared" ref="L66:L129" si="5">J66-K66</f>
        <v>1976.13</v>
      </c>
    </row>
    <row r="67" spans="1:12" x14ac:dyDescent="0.3">
      <c r="A67">
        <v>2442</v>
      </c>
      <c r="B67" s="2">
        <v>45323</v>
      </c>
      <c r="C67" t="s">
        <v>26</v>
      </c>
      <c r="D67" t="s">
        <v>29</v>
      </c>
      <c r="E67" t="s">
        <v>37</v>
      </c>
      <c r="F67" t="s">
        <v>25</v>
      </c>
      <c r="G67">
        <v>6</v>
      </c>
      <c r="H67" s="3">
        <v>418.26</v>
      </c>
      <c r="I67" s="3">
        <v>302.64</v>
      </c>
      <c r="J67" s="3">
        <f t="shared" si="3"/>
        <v>2509.56</v>
      </c>
      <c r="K67" s="3">
        <f t="shared" si="4"/>
        <v>1815.84</v>
      </c>
      <c r="L67" s="3">
        <f t="shared" si="5"/>
        <v>693.72</v>
      </c>
    </row>
    <row r="68" spans="1:12" x14ac:dyDescent="0.3">
      <c r="A68">
        <v>2480</v>
      </c>
      <c r="B68" s="2">
        <v>45323</v>
      </c>
      <c r="C68" t="s">
        <v>23</v>
      </c>
      <c r="D68" t="s">
        <v>13</v>
      </c>
      <c r="E68" t="s">
        <v>24</v>
      </c>
      <c r="F68" t="s">
        <v>15</v>
      </c>
      <c r="G68">
        <v>36</v>
      </c>
      <c r="H68" s="3">
        <v>44.29</v>
      </c>
      <c r="I68" s="3">
        <v>29.57</v>
      </c>
      <c r="J68" s="3">
        <f t="shared" si="3"/>
        <v>1594.44</v>
      </c>
      <c r="K68" s="3">
        <f t="shared" si="4"/>
        <v>1064.52</v>
      </c>
      <c r="L68" s="3">
        <f t="shared" si="5"/>
        <v>529.92000000000007</v>
      </c>
    </row>
    <row r="69" spans="1:12" x14ac:dyDescent="0.3">
      <c r="A69">
        <v>1002</v>
      </c>
      <c r="B69" s="2">
        <v>45324</v>
      </c>
      <c r="C69" t="s">
        <v>26</v>
      </c>
      <c r="D69" t="s">
        <v>17</v>
      </c>
      <c r="E69" t="s">
        <v>44</v>
      </c>
      <c r="F69" t="s">
        <v>39</v>
      </c>
      <c r="G69">
        <v>33</v>
      </c>
      <c r="H69" s="3">
        <v>565.70000000000005</v>
      </c>
      <c r="I69" s="3">
        <v>342.18</v>
      </c>
      <c r="J69" s="3">
        <f t="shared" si="3"/>
        <v>18668.100000000002</v>
      </c>
      <c r="K69" s="3">
        <f t="shared" si="4"/>
        <v>11291.94</v>
      </c>
      <c r="L69" s="3">
        <f t="shared" si="5"/>
        <v>7376.1600000000017</v>
      </c>
    </row>
    <row r="70" spans="1:12" x14ac:dyDescent="0.3">
      <c r="A70">
        <v>1613</v>
      </c>
      <c r="B70" s="2">
        <v>45324</v>
      </c>
      <c r="C70" t="s">
        <v>23</v>
      </c>
      <c r="D70" t="s">
        <v>17</v>
      </c>
      <c r="E70" t="s">
        <v>18</v>
      </c>
      <c r="F70" t="s">
        <v>28</v>
      </c>
      <c r="G70">
        <v>21</v>
      </c>
      <c r="H70" s="3">
        <v>776.41</v>
      </c>
      <c r="I70" s="3">
        <v>516.20000000000005</v>
      </c>
      <c r="J70" s="3">
        <f t="shared" si="3"/>
        <v>16304.609999999999</v>
      </c>
      <c r="K70" s="3">
        <f t="shared" si="4"/>
        <v>10840.2</v>
      </c>
      <c r="L70" s="3">
        <f t="shared" si="5"/>
        <v>5464.409999999998</v>
      </c>
    </row>
    <row r="71" spans="1:12" x14ac:dyDescent="0.3">
      <c r="A71">
        <v>1960</v>
      </c>
      <c r="B71" s="2">
        <v>45324</v>
      </c>
      <c r="C71" t="s">
        <v>23</v>
      </c>
      <c r="D71" t="s">
        <v>29</v>
      </c>
      <c r="E71" t="s">
        <v>37</v>
      </c>
      <c r="F71" t="s">
        <v>36</v>
      </c>
      <c r="G71">
        <v>28</v>
      </c>
      <c r="H71" s="3">
        <v>455.07</v>
      </c>
      <c r="I71" s="3">
        <v>295.45999999999998</v>
      </c>
      <c r="J71" s="3">
        <f t="shared" si="3"/>
        <v>12741.96</v>
      </c>
      <c r="K71" s="3">
        <f t="shared" si="4"/>
        <v>8272.8799999999992</v>
      </c>
      <c r="L71" s="3">
        <f t="shared" si="5"/>
        <v>4469.08</v>
      </c>
    </row>
    <row r="72" spans="1:12" x14ac:dyDescent="0.3">
      <c r="A72">
        <v>2556</v>
      </c>
      <c r="B72" s="2">
        <v>45324</v>
      </c>
      <c r="C72" t="s">
        <v>23</v>
      </c>
      <c r="D72" t="s">
        <v>13</v>
      </c>
      <c r="E72" t="s">
        <v>31</v>
      </c>
      <c r="F72" t="s">
        <v>28</v>
      </c>
      <c r="G72">
        <v>16</v>
      </c>
      <c r="H72" s="3">
        <v>38.51</v>
      </c>
      <c r="I72" s="3">
        <v>24.76</v>
      </c>
      <c r="J72" s="3">
        <f t="shared" si="3"/>
        <v>616.16</v>
      </c>
      <c r="K72" s="3">
        <f t="shared" si="4"/>
        <v>396.16</v>
      </c>
      <c r="L72" s="3">
        <f t="shared" si="5"/>
        <v>219.99999999999994</v>
      </c>
    </row>
    <row r="73" spans="1:12" x14ac:dyDescent="0.3">
      <c r="A73">
        <v>2532</v>
      </c>
      <c r="B73" s="2">
        <v>45326</v>
      </c>
      <c r="C73" t="s">
        <v>16</v>
      </c>
      <c r="D73" t="s">
        <v>13</v>
      </c>
      <c r="E73" t="s">
        <v>14</v>
      </c>
      <c r="F73" t="s">
        <v>19</v>
      </c>
      <c r="G73">
        <v>7</v>
      </c>
      <c r="H73" s="3">
        <v>19.21</v>
      </c>
      <c r="I73" s="3">
        <v>11.46</v>
      </c>
      <c r="J73" s="3">
        <f t="shared" si="3"/>
        <v>134.47</v>
      </c>
      <c r="K73" s="3">
        <f t="shared" si="4"/>
        <v>80.22</v>
      </c>
      <c r="L73" s="3">
        <f t="shared" si="5"/>
        <v>54.25</v>
      </c>
    </row>
    <row r="74" spans="1:12" x14ac:dyDescent="0.3">
      <c r="A74">
        <v>2671</v>
      </c>
      <c r="B74" s="2">
        <v>45326</v>
      </c>
      <c r="C74" t="s">
        <v>16</v>
      </c>
      <c r="D74" t="s">
        <v>29</v>
      </c>
      <c r="E74" t="s">
        <v>43</v>
      </c>
      <c r="F74" t="s">
        <v>25</v>
      </c>
      <c r="G74">
        <v>3</v>
      </c>
      <c r="H74" s="3">
        <v>386.86</v>
      </c>
      <c r="I74" s="3">
        <v>251.47</v>
      </c>
      <c r="J74" s="3">
        <f t="shared" si="3"/>
        <v>1160.58</v>
      </c>
      <c r="K74" s="3">
        <f t="shared" si="4"/>
        <v>754.41</v>
      </c>
      <c r="L74" s="3">
        <f t="shared" si="5"/>
        <v>406.16999999999996</v>
      </c>
    </row>
    <row r="75" spans="1:12" x14ac:dyDescent="0.3">
      <c r="A75">
        <v>2461</v>
      </c>
      <c r="B75" s="2">
        <v>45327</v>
      </c>
      <c r="C75" t="s">
        <v>26</v>
      </c>
      <c r="D75" t="s">
        <v>17</v>
      </c>
      <c r="E75" t="s">
        <v>35</v>
      </c>
      <c r="F75" t="s">
        <v>28</v>
      </c>
      <c r="G75">
        <v>21</v>
      </c>
      <c r="H75" s="3">
        <v>892.79</v>
      </c>
      <c r="I75" s="3">
        <v>620.25</v>
      </c>
      <c r="J75" s="3">
        <f t="shared" si="3"/>
        <v>18748.59</v>
      </c>
      <c r="K75" s="3">
        <f t="shared" si="4"/>
        <v>13025.25</v>
      </c>
      <c r="L75" s="3">
        <f t="shared" si="5"/>
        <v>5723.34</v>
      </c>
    </row>
    <row r="76" spans="1:12" x14ac:dyDescent="0.3">
      <c r="A76">
        <v>2525</v>
      </c>
      <c r="B76" s="2">
        <v>45328</v>
      </c>
      <c r="C76" t="s">
        <v>32</v>
      </c>
      <c r="D76" t="s">
        <v>13</v>
      </c>
      <c r="E76" t="s">
        <v>14</v>
      </c>
      <c r="F76" t="s">
        <v>36</v>
      </c>
      <c r="G76">
        <v>40</v>
      </c>
      <c r="H76" s="3">
        <v>59.86</v>
      </c>
      <c r="I76" s="3">
        <v>38.33</v>
      </c>
      <c r="J76" s="3">
        <f t="shared" si="3"/>
        <v>2394.4</v>
      </c>
      <c r="K76" s="3">
        <f t="shared" si="4"/>
        <v>1533.1999999999998</v>
      </c>
      <c r="L76" s="3">
        <f t="shared" si="5"/>
        <v>861.20000000000027</v>
      </c>
    </row>
    <row r="77" spans="1:12" x14ac:dyDescent="0.3">
      <c r="A77">
        <v>1687</v>
      </c>
      <c r="B77" s="2">
        <v>45329</v>
      </c>
      <c r="C77" t="s">
        <v>16</v>
      </c>
      <c r="D77" t="s">
        <v>29</v>
      </c>
      <c r="E77" t="s">
        <v>41</v>
      </c>
      <c r="F77" t="s">
        <v>19</v>
      </c>
      <c r="G77">
        <v>34</v>
      </c>
      <c r="H77" s="3">
        <v>118.98</v>
      </c>
      <c r="I77" s="3">
        <v>75</v>
      </c>
      <c r="J77" s="3">
        <f t="shared" si="3"/>
        <v>4045.32</v>
      </c>
      <c r="K77" s="3">
        <f t="shared" si="4"/>
        <v>2550</v>
      </c>
      <c r="L77" s="3">
        <f t="shared" si="5"/>
        <v>1495.3200000000002</v>
      </c>
    </row>
    <row r="78" spans="1:12" x14ac:dyDescent="0.3">
      <c r="A78">
        <v>1331</v>
      </c>
      <c r="B78" s="2">
        <v>45330</v>
      </c>
      <c r="C78" t="s">
        <v>16</v>
      </c>
      <c r="D78" t="s">
        <v>13</v>
      </c>
      <c r="E78" t="s">
        <v>31</v>
      </c>
      <c r="F78" t="s">
        <v>22</v>
      </c>
      <c r="G78">
        <v>21</v>
      </c>
      <c r="H78" s="3">
        <v>33.270000000000003</v>
      </c>
      <c r="I78" s="3">
        <v>22.74</v>
      </c>
      <c r="J78" s="3">
        <f t="shared" si="3"/>
        <v>698.67000000000007</v>
      </c>
      <c r="K78" s="3">
        <f t="shared" si="4"/>
        <v>477.53999999999996</v>
      </c>
      <c r="L78" s="3">
        <f t="shared" si="5"/>
        <v>221.13000000000011</v>
      </c>
    </row>
    <row r="79" spans="1:12" x14ac:dyDescent="0.3">
      <c r="A79">
        <v>1335</v>
      </c>
      <c r="B79" s="2">
        <v>45330</v>
      </c>
      <c r="C79" t="s">
        <v>23</v>
      </c>
      <c r="D79" t="s">
        <v>29</v>
      </c>
      <c r="E79" t="s">
        <v>30</v>
      </c>
      <c r="F79" t="s">
        <v>22</v>
      </c>
      <c r="G79">
        <v>7</v>
      </c>
      <c r="H79" s="3">
        <v>369.69</v>
      </c>
      <c r="I79" s="3">
        <v>219.99</v>
      </c>
      <c r="J79" s="3">
        <f t="shared" si="3"/>
        <v>2587.83</v>
      </c>
      <c r="K79" s="3">
        <f t="shared" si="4"/>
        <v>1539.93</v>
      </c>
      <c r="L79" s="3">
        <f t="shared" si="5"/>
        <v>1047.8999999999999</v>
      </c>
    </row>
    <row r="80" spans="1:12" x14ac:dyDescent="0.3">
      <c r="A80">
        <v>1365</v>
      </c>
      <c r="B80" s="2">
        <v>45332</v>
      </c>
      <c r="C80" t="s">
        <v>12</v>
      </c>
      <c r="D80" t="s">
        <v>29</v>
      </c>
      <c r="E80" t="s">
        <v>30</v>
      </c>
      <c r="F80" t="s">
        <v>15</v>
      </c>
      <c r="G80">
        <v>32</v>
      </c>
      <c r="H80" s="3">
        <v>110.61</v>
      </c>
      <c r="I80" s="3">
        <v>69.83</v>
      </c>
      <c r="J80" s="3">
        <f t="shared" si="3"/>
        <v>3539.52</v>
      </c>
      <c r="K80" s="3">
        <f t="shared" si="4"/>
        <v>2234.56</v>
      </c>
      <c r="L80" s="3">
        <f t="shared" si="5"/>
        <v>1304.96</v>
      </c>
    </row>
    <row r="81" spans="1:12" x14ac:dyDescent="0.3">
      <c r="A81">
        <v>1483</v>
      </c>
      <c r="B81" s="2">
        <v>45332</v>
      </c>
      <c r="C81" t="s">
        <v>16</v>
      </c>
      <c r="D81" t="s">
        <v>20</v>
      </c>
      <c r="E81" t="s">
        <v>42</v>
      </c>
      <c r="F81" t="s">
        <v>39</v>
      </c>
      <c r="G81">
        <v>19</v>
      </c>
      <c r="H81" s="3">
        <v>100.06</v>
      </c>
      <c r="I81" s="3">
        <v>54.19</v>
      </c>
      <c r="J81" s="3">
        <f t="shared" si="3"/>
        <v>1901.14</v>
      </c>
      <c r="K81" s="3">
        <f t="shared" si="4"/>
        <v>1029.6099999999999</v>
      </c>
      <c r="L81" s="3">
        <f t="shared" si="5"/>
        <v>871.5300000000002</v>
      </c>
    </row>
    <row r="82" spans="1:12" x14ac:dyDescent="0.3">
      <c r="A82">
        <v>2025</v>
      </c>
      <c r="B82" s="2">
        <v>45332</v>
      </c>
      <c r="C82" t="s">
        <v>16</v>
      </c>
      <c r="D82" t="s">
        <v>13</v>
      </c>
      <c r="E82" t="s">
        <v>45</v>
      </c>
      <c r="F82" t="s">
        <v>28</v>
      </c>
      <c r="G82">
        <v>2</v>
      </c>
      <c r="H82" s="3">
        <v>19.059999999999999</v>
      </c>
      <c r="I82" s="3">
        <v>11.65</v>
      </c>
      <c r="J82" s="3">
        <f t="shared" si="3"/>
        <v>38.119999999999997</v>
      </c>
      <c r="K82" s="3">
        <f t="shared" si="4"/>
        <v>23.3</v>
      </c>
      <c r="L82" s="3">
        <f t="shared" si="5"/>
        <v>14.819999999999997</v>
      </c>
    </row>
    <row r="83" spans="1:12" x14ac:dyDescent="0.3">
      <c r="A83">
        <v>2186</v>
      </c>
      <c r="B83" s="2">
        <v>45332</v>
      </c>
      <c r="C83" t="s">
        <v>32</v>
      </c>
      <c r="D83" t="s">
        <v>20</v>
      </c>
      <c r="E83" t="s">
        <v>21</v>
      </c>
      <c r="F83" t="s">
        <v>22</v>
      </c>
      <c r="G83">
        <v>26</v>
      </c>
      <c r="H83" s="3">
        <v>207.34</v>
      </c>
      <c r="I83" s="3">
        <v>105</v>
      </c>
      <c r="J83" s="3">
        <f t="shared" si="3"/>
        <v>5390.84</v>
      </c>
      <c r="K83" s="3">
        <f t="shared" si="4"/>
        <v>2730</v>
      </c>
      <c r="L83" s="3">
        <f t="shared" si="5"/>
        <v>2660.84</v>
      </c>
    </row>
    <row r="84" spans="1:12" x14ac:dyDescent="0.3">
      <c r="A84">
        <v>1053</v>
      </c>
      <c r="B84" s="2">
        <v>45333</v>
      </c>
      <c r="C84" t="s">
        <v>26</v>
      </c>
      <c r="D84" t="s">
        <v>13</v>
      </c>
      <c r="E84" t="s">
        <v>24</v>
      </c>
      <c r="F84" t="s">
        <v>22</v>
      </c>
      <c r="G84">
        <v>40</v>
      </c>
      <c r="H84" s="3">
        <v>10.19</v>
      </c>
      <c r="I84" s="3">
        <v>5.65</v>
      </c>
      <c r="J84" s="3">
        <f t="shared" si="3"/>
        <v>407.59999999999997</v>
      </c>
      <c r="K84" s="3">
        <f t="shared" si="4"/>
        <v>226</v>
      </c>
      <c r="L84" s="3">
        <f t="shared" si="5"/>
        <v>181.59999999999997</v>
      </c>
    </row>
    <row r="85" spans="1:12" x14ac:dyDescent="0.3">
      <c r="A85">
        <v>2285</v>
      </c>
      <c r="B85" s="2">
        <v>45333</v>
      </c>
      <c r="C85" t="s">
        <v>12</v>
      </c>
      <c r="D85" t="s">
        <v>17</v>
      </c>
      <c r="E85" t="s">
        <v>44</v>
      </c>
      <c r="F85" t="s">
        <v>39</v>
      </c>
      <c r="G85">
        <v>38</v>
      </c>
      <c r="H85" s="3">
        <v>472.83</v>
      </c>
      <c r="I85" s="3">
        <v>296.60000000000002</v>
      </c>
      <c r="J85" s="3">
        <f t="shared" si="3"/>
        <v>17967.54</v>
      </c>
      <c r="K85" s="3">
        <f t="shared" si="4"/>
        <v>11270.800000000001</v>
      </c>
      <c r="L85" s="3">
        <f t="shared" si="5"/>
        <v>6696.74</v>
      </c>
    </row>
    <row r="86" spans="1:12" x14ac:dyDescent="0.3">
      <c r="A86">
        <v>2486</v>
      </c>
      <c r="B86" s="2">
        <v>45333</v>
      </c>
      <c r="C86" t="s">
        <v>26</v>
      </c>
      <c r="D86" t="s">
        <v>13</v>
      </c>
      <c r="E86" t="s">
        <v>14</v>
      </c>
      <c r="F86" t="s">
        <v>39</v>
      </c>
      <c r="G86">
        <v>1</v>
      </c>
      <c r="H86" s="3">
        <v>51.58</v>
      </c>
      <c r="I86" s="3">
        <v>37.21</v>
      </c>
      <c r="J86" s="3">
        <f t="shared" si="3"/>
        <v>51.58</v>
      </c>
      <c r="K86" s="3">
        <f t="shared" si="4"/>
        <v>37.21</v>
      </c>
      <c r="L86" s="3">
        <f t="shared" si="5"/>
        <v>14.369999999999997</v>
      </c>
    </row>
    <row r="87" spans="1:12" x14ac:dyDescent="0.3">
      <c r="A87">
        <v>2550</v>
      </c>
      <c r="B87" s="2">
        <v>45333</v>
      </c>
      <c r="C87" t="s">
        <v>12</v>
      </c>
      <c r="D87" t="s">
        <v>17</v>
      </c>
      <c r="E87" t="s">
        <v>40</v>
      </c>
      <c r="F87" t="s">
        <v>15</v>
      </c>
      <c r="G87">
        <v>16</v>
      </c>
      <c r="H87" s="3">
        <v>834.94</v>
      </c>
      <c r="I87" s="3">
        <v>537.25</v>
      </c>
      <c r="J87" s="3">
        <f t="shared" si="3"/>
        <v>13359.04</v>
      </c>
      <c r="K87" s="3">
        <f t="shared" si="4"/>
        <v>8596</v>
      </c>
      <c r="L87" s="3">
        <f t="shared" si="5"/>
        <v>4763.0400000000009</v>
      </c>
    </row>
    <row r="88" spans="1:12" x14ac:dyDescent="0.3">
      <c r="A88">
        <v>1146</v>
      </c>
      <c r="B88" s="2">
        <v>45334</v>
      </c>
      <c r="C88" t="s">
        <v>32</v>
      </c>
      <c r="D88" t="s">
        <v>29</v>
      </c>
      <c r="E88" t="s">
        <v>41</v>
      </c>
      <c r="F88" t="s">
        <v>28</v>
      </c>
      <c r="G88">
        <v>17</v>
      </c>
      <c r="H88" s="3">
        <v>200.17</v>
      </c>
      <c r="I88" s="3">
        <v>102.48</v>
      </c>
      <c r="J88" s="3">
        <f t="shared" si="3"/>
        <v>3402.89</v>
      </c>
      <c r="K88" s="3">
        <f t="shared" si="4"/>
        <v>1742.16</v>
      </c>
      <c r="L88" s="3">
        <f t="shared" si="5"/>
        <v>1660.7299999999998</v>
      </c>
    </row>
    <row r="89" spans="1:12" x14ac:dyDescent="0.3">
      <c r="A89">
        <v>1535</v>
      </c>
      <c r="B89" s="2">
        <v>45334</v>
      </c>
      <c r="C89" t="s">
        <v>26</v>
      </c>
      <c r="D89" t="s">
        <v>29</v>
      </c>
      <c r="E89" t="s">
        <v>41</v>
      </c>
      <c r="F89" t="s">
        <v>15</v>
      </c>
      <c r="G89">
        <v>22</v>
      </c>
      <c r="H89" s="3">
        <v>187.24</v>
      </c>
      <c r="I89" s="3">
        <v>115.2</v>
      </c>
      <c r="J89" s="3">
        <f t="shared" si="3"/>
        <v>4119.2800000000007</v>
      </c>
      <c r="K89" s="3">
        <f t="shared" si="4"/>
        <v>2534.4</v>
      </c>
      <c r="L89" s="3">
        <f t="shared" si="5"/>
        <v>1584.8800000000006</v>
      </c>
    </row>
    <row r="90" spans="1:12" x14ac:dyDescent="0.3">
      <c r="A90">
        <v>1851</v>
      </c>
      <c r="B90" s="2">
        <v>45334</v>
      </c>
      <c r="C90" t="s">
        <v>16</v>
      </c>
      <c r="D90" t="s">
        <v>13</v>
      </c>
      <c r="E90" t="s">
        <v>24</v>
      </c>
      <c r="F90" t="s">
        <v>28</v>
      </c>
      <c r="G90">
        <v>7</v>
      </c>
      <c r="H90" s="3">
        <v>34.159999999999997</v>
      </c>
      <c r="I90" s="3">
        <v>25.53</v>
      </c>
      <c r="J90" s="3">
        <f t="shared" si="3"/>
        <v>239.11999999999998</v>
      </c>
      <c r="K90" s="3">
        <f t="shared" si="4"/>
        <v>178.71</v>
      </c>
      <c r="L90" s="3">
        <f t="shared" si="5"/>
        <v>60.409999999999968</v>
      </c>
    </row>
    <row r="91" spans="1:12" x14ac:dyDescent="0.3">
      <c r="A91">
        <v>1442</v>
      </c>
      <c r="B91" s="2">
        <v>45335</v>
      </c>
      <c r="C91" t="s">
        <v>16</v>
      </c>
      <c r="D91" t="s">
        <v>20</v>
      </c>
      <c r="E91" t="s">
        <v>34</v>
      </c>
      <c r="F91" t="s">
        <v>33</v>
      </c>
      <c r="G91">
        <v>6</v>
      </c>
      <c r="H91" s="3">
        <v>114.76</v>
      </c>
      <c r="I91" s="3">
        <v>85.2</v>
      </c>
      <c r="J91" s="3">
        <f t="shared" si="3"/>
        <v>688.56000000000006</v>
      </c>
      <c r="K91" s="3">
        <f t="shared" si="4"/>
        <v>511.20000000000005</v>
      </c>
      <c r="L91" s="3">
        <f t="shared" si="5"/>
        <v>177.36</v>
      </c>
    </row>
    <row r="92" spans="1:12" x14ac:dyDescent="0.3">
      <c r="A92">
        <v>1600</v>
      </c>
      <c r="B92" s="2">
        <v>45335</v>
      </c>
      <c r="C92" t="s">
        <v>12</v>
      </c>
      <c r="D92" t="s">
        <v>17</v>
      </c>
      <c r="E92" t="s">
        <v>27</v>
      </c>
      <c r="F92" t="s">
        <v>22</v>
      </c>
      <c r="G92">
        <v>31</v>
      </c>
      <c r="H92" s="3">
        <v>159.88999999999999</v>
      </c>
      <c r="I92" s="3">
        <v>110.11</v>
      </c>
      <c r="J92" s="3">
        <f t="shared" si="3"/>
        <v>4956.5899999999992</v>
      </c>
      <c r="K92" s="3">
        <f t="shared" si="4"/>
        <v>3413.41</v>
      </c>
      <c r="L92" s="3">
        <f t="shared" si="5"/>
        <v>1543.1799999999994</v>
      </c>
    </row>
    <row r="93" spans="1:12" x14ac:dyDescent="0.3">
      <c r="A93">
        <v>1106</v>
      </c>
      <c r="B93" s="2">
        <v>45336</v>
      </c>
      <c r="C93" t="s">
        <v>16</v>
      </c>
      <c r="D93" t="s">
        <v>29</v>
      </c>
      <c r="E93" t="s">
        <v>41</v>
      </c>
      <c r="F93" t="s">
        <v>22</v>
      </c>
      <c r="G93">
        <v>4</v>
      </c>
      <c r="H93" s="3">
        <v>259.02999999999997</v>
      </c>
      <c r="I93" s="3">
        <v>175.65</v>
      </c>
      <c r="J93" s="3">
        <f t="shared" si="3"/>
        <v>1036.1199999999999</v>
      </c>
      <c r="K93" s="3">
        <f t="shared" si="4"/>
        <v>702.6</v>
      </c>
      <c r="L93" s="3">
        <f t="shared" si="5"/>
        <v>333.51999999999987</v>
      </c>
    </row>
    <row r="94" spans="1:12" x14ac:dyDescent="0.3">
      <c r="A94">
        <v>1559</v>
      </c>
      <c r="B94" s="2">
        <v>45336</v>
      </c>
      <c r="C94" t="s">
        <v>26</v>
      </c>
      <c r="D94" t="s">
        <v>17</v>
      </c>
      <c r="E94" t="s">
        <v>35</v>
      </c>
      <c r="F94" t="s">
        <v>19</v>
      </c>
      <c r="G94">
        <v>11</v>
      </c>
      <c r="H94" s="3">
        <v>719.81</v>
      </c>
      <c r="I94" s="3">
        <v>489.72</v>
      </c>
      <c r="J94" s="3">
        <f t="shared" si="3"/>
        <v>7917.91</v>
      </c>
      <c r="K94" s="3">
        <f t="shared" si="4"/>
        <v>5386.92</v>
      </c>
      <c r="L94" s="3">
        <f t="shared" si="5"/>
        <v>2530.9899999999998</v>
      </c>
    </row>
    <row r="95" spans="1:12" x14ac:dyDescent="0.3">
      <c r="A95">
        <v>1759</v>
      </c>
      <c r="B95" s="2">
        <v>45336</v>
      </c>
      <c r="C95" t="s">
        <v>12</v>
      </c>
      <c r="D95" t="s">
        <v>13</v>
      </c>
      <c r="E95" t="s">
        <v>31</v>
      </c>
      <c r="F95" t="s">
        <v>15</v>
      </c>
      <c r="G95">
        <v>5</v>
      </c>
      <c r="H95" s="3">
        <v>44.18</v>
      </c>
      <c r="I95" s="3">
        <v>33.049999999999997</v>
      </c>
      <c r="J95" s="3">
        <f t="shared" si="3"/>
        <v>220.9</v>
      </c>
      <c r="K95" s="3">
        <f t="shared" si="4"/>
        <v>165.25</v>
      </c>
      <c r="L95" s="3">
        <f t="shared" si="5"/>
        <v>55.650000000000006</v>
      </c>
    </row>
    <row r="96" spans="1:12" x14ac:dyDescent="0.3">
      <c r="A96">
        <v>2591</v>
      </c>
      <c r="B96" s="2">
        <v>45336</v>
      </c>
      <c r="C96" t="s">
        <v>16</v>
      </c>
      <c r="D96" t="s">
        <v>29</v>
      </c>
      <c r="E96" t="s">
        <v>37</v>
      </c>
      <c r="F96" t="s">
        <v>25</v>
      </c>
      <c r="G96">
        <v>17</v>
      </c>
      <c r="H96" s="3">
        <v>324.01</v>
      </c>
      <c r="I96" s="3">
        <v>196.61</v>
      </c>
      <c r="J96" s="3">
        <f t="shared" si="3"/>
        <v>5508.17</v>
      </c>
      <c r="K96" s="3">
        <f t="shared" si="4"/>
        <v>3342.3700000000003</v>
      </c>
      <c r="L96" s="3">
        <f t="shared" si="5"/>
        <v>2165.7999999999997</v>
      </c>
    </row>
    <row r="97" spans="1:12" x14ac:dyDescent="0.3">
      <c r="A97">
        <v>1305</v>
      </c>
      <c r="B97" s="2">
        <v>45337</v>
      </c>
      <c r="C97" t="s">
        <v>32</v>
      </c>
      <c r="D97" t="s">
        <v>20</v>
      </c>
      <c r="E97" t="s">
        <v>21</v>
      </c>
      <c r="F97" t="s">
        <v>15</v>
      </c>
      <c r="G97">
        <v>15</v>
      </c>
      <c r="H97" s="3">
        <v>215.01</v>
      </c>
      <c r="I97" s="3">
        <v>112.7</v>
      </c>
      <c r="J97" s="3">
        <f t="shared" si="3"/>
        <v>3225.1499999999996</v>
      </c>
      <c r="K97" s="3">
        <f t="shared" si="4"/>
        <v>1690.5</v>
      </c>
      <c r="L97" s="3">
        <f t="shared" si="5"/>
        <v>1534.6499999999996</v>
      </c>
    </row>
    <row r="98" spans="1:12" x14ac:dyDescent="0.3">
      <c r="A98">
        <v>2087</v>
      </c>
      <c r="B98" s="2">
        <v>45337</v>
      </c>
      <c r="C98" t="s">
        <v>12</v>
      </c>
      <c r="D98" t="s">
        <v>29</v>
      </c>
      <c r="E98" t="s">
        <v>41</v>
      </c>
      <c r="F98" t="s">
        <v>25</v>
      </c>
      <c r="G98">
        <v>22</v>
      </c>
      <c r="H98" s="3">
        <v>143.31</v>
      </c>
      <c r="I98" s="3">
        <v>95.85</v>
      </c>
      <c r="J98" s="3">
        <f t="shared" si="3"/>
        <v>3152.82</v>
      </c>
      <c r="K98" s="3">
        <f t="shared" si="4"/>
        <v>2108.6999999999998</v>
      </c>
      <c r="L98" s="3">
        <f t="shared" si="5"/>
        <v>1044.1200000000003</v>
      </c>
    </row>
    <row r="99" spans="1:12" x14ac:dyDescent="0.3">
      <c r="A99">
        <v>2387</v>
      </c>
      <c r="B99" s="2">
        <v>45337</v>
      </c>
      <c r="C99" t="s">
        <v>32</v>
      </c>
      <c r="D99" t="s">
        <v>29</v>
      </c>
      <c r="E99" t="s">
        <v>30</v>
      </c>
      <c r="F99" t="s">
        <v>36</v>
      </c>
      <c r="G99">
        <v>38</v>
      </c>
      <c r="H99" s="3">
        <v>279.3</v>
      </c>
      <c r="I99" s="3">
        <v>204.52</v>
      </c>
      <c r="J99" s="3">
        <f t="shared" si="3"/>
        <v>10613.4</v>
      </c>
      <c r="K99" s="3">
        <f t="shared" si="4"/>
        <v>7771.76</v>
      </c>
      <c r="L99" s="3">
        <f t="shared" si="5"/>
        <v>2841.6399999999994</v>
      </c>
    </row>
    <row r="100" spans="1:12" x14ac:dyDescent="0.3">
      <c r="A100">
        <v>2568</v>
      </c>
      <c r="B100" s="2">
        <v>45337</v>
      </c>
      <c r="C100" t="s">
        <v>16</v>
      </c>
      <c r="D100" t="s">
        <v>17</v>
      </c>
      <c r="E100" t="s">
        <v>27</v>
      </c>
      <c r="F100" t="s">
        <v>25</v>
      </c>
      <c r="G100">
        <v>3</v>
      </c>
      <c r="H100" s="3">
        <v>234.06</v>
      </c>
      <c r="I100" s="3">
        <v>130.47999999999999</v>
      </c>
      <c r="J100" s="3">
        <f t="shared" si="3"/>
        <v>702.18000000000006</v>
      </c>
      <c r="K100" s="3">
        <f t="shared" si="4"/>
        <v>391.43999999999994</v>
      </c>
      <c r="L100" s="3">
        <f t="shared" si="5"/>
        <v>310.74000000000012</v>
      </c>
    </row>
    <row r="101" spans="1:12" x14ac:dyDescent="0.3">
      <c r="A101">
        <v>1550</v>
      </c>
      <c r="B101" s="2">
        <v>45338</v>
      </c>
      <c r="C101" t="s">
        <v>12</v>
      </c>
      <c r="D101" t="s">
        <v>13</v>
      </c>
      <c r="E101" t="s">
        <v>45</v>
      </c>
      <c r="F101" t="s">
        <v>19</v>
      </c>
      <c r="G101">
        <v>4</v>
      </c>
      <c r="H101" s="3">
        <v>49.78</v>
      </c>
      <c r="I101" s="3">
        <v>35.29</v>
      </c>
      <c r="J101" s="3">
        <f t="shared" si="3"/>
        <v>199.12</v>
      </c>
      <c r="K101" s="3">
        <f t="shared" si="4"/>
        <v>141.16</v>
      </c>
      <c r="L101" s="3">
        <f t="shared" si="5"/>
        <v>57.960000000000008</v>
      </c>
    </row>
    <row r="102" spans="1:12" x14ac:dyDescent="0.3">
      <c r="A102">
        <v>2019</v>
      </c>
      <c r="B102" s="2">
        <v>45338</v>
      </c>
      <c r="C102" t="s">
        <v>26</v>
      </c>
      <c r="D102" t="s">
        <v>29</v>
      </c>
      <c r="E102" t="s">
        <v>41</v>
      </c>
      <c r="F102" t="s">
        <v>36</v>
      </c>
      <c r="G102">
        <v>29</v>
      </c>
      <c r="H102" s="3">
        <v>398.22</v>
      </c>
      <c r="I102" s="3">
        <v>272.13</v>
      </c>
      <c r="J102" s="3">
        <f t="shared" si="3"/>
        <v>11548.380000000001</v>
      </c>
      <c r="K102" s="3">
        <f t="shared" si="4"/>
        <v>7891.7699999999995</v>
      </c>
      <c r="L102" s="3">
        <f t="shared" si="5"/>
        <v>3656.6100000000015</v>
      </c>
    </row>
    <row r="103" spans="1:12" x14ac:dyDescent="0.3">
      <c r="A103">
        <v>2474</v>
      </c>
      <c r="B103" s="2">
        <v>45339</v>
      </c>
      <c r="C103" t="s">
        <v>12</v>
      </c>
      <c r="D103" t="s">
        <v>13</v>
      </c>
      <c r="E103" t="s">
        <v>31</v>
      </c>
      <c r="F103" t="s">
        <v>25</v>
      </c>
      <c r="G103">
        <v>4</v>
      </c>
      <c r="H103" s="3">
        <v>24.12</v>
      </c>
      <c r="I103" s="3">
        <v>17.02</v>
      </c>
      <c r="J103" s="3">
        <f t="shared" si="3"/>
        <v>96.48</v>
      </c>
      <c r="K103" s="3">
        <f t="shared" si="4"/>
        <v>68.08</v>
      </c>
      <c r="L103" s="3">
        <f t="shared" si="5"/>
        <v>28.400000000000006</v>
      </c>
    </row>
    <row r="104" spans="1:12" x14ac:dyDescent="0.3">
      <c r="A104">
        <v>1848</v>
      </c>
      <c r="B104" s="2">
        <v>45340</v>
      </c>
      <c r="C104" t="s">
        <v>12</v>
      </c>
      <c r="D104" t="s">
        <v>17</v>
      </c>
      <c r="E104" t="s">
        <v>27</v>
      </c>
      <c r="F104" t="s">
        <v>22</v>
      </c>
      <c r="G104">
        <v>21</v>
      </c>
      <c r="H104" s="3">
        <v>238.06</v>
      </c>
      <c r="I104" s="3">
        <v>130.03</v>
      </c>
      <c r="J104" s="3">
        <f t="shared" si="3"/>
        <v>4999.26</v>
      </c>
      <c r="K104" s="3">
        <f t="shared" si="4"/>
        <v>2730.63</v>
      </c>
      <c r="L104" s="3">
        <f t="shared" si="5"/>
        <v>2268.63</v>
      </c>
    </row>
    <row r="105" spans="1:12" x14ac:dyDescent="0.3">
      <c r="A105">
        <v>2390</v>
      </c>
      <c r="B105" s="2">
        <v>45340</v>
      </c>
      <c r="C105" t="s">
        <v>26</v>
      </c>
      <c r="D105" t="s">
        <v>29</v>
      </c>
      <c r="E105" t="s">
        <v>41</v>
      </c>
      <c r="F105" t="s">
        <v>22</v>
      </c>
      <c r="G105">
        <v>33</v>
      </c>
      <c r="H105" s="3">
        <v>402.05</v>
      </c>
      <c r="I105" s="3">
        <v>278.31</v>
      </c>
      <c r="J105" s="3">
        <f t="shared" si="3"/>
        <v>13267.65</v>
      </c>
      <c r="K105" s="3">
        <f t="shared" si="4"/>
        <v>9184.23</v>
      </c>
      <c r="L105" s="3">
        <f t="shared" si="5"/>
        <v>4083.42</v>
      </c>
    </row>
    <row r="106" spans="1:12" x14ac:dyDescent="0.3">
      <c r="A106">
        <v>2789</v>
      </c>
      <c r="B106" s="2">
        <v>45340</v>
      </c>
      <c r="C106" t="s">
        <v>26</v>
      </c>
      <c r="D106" t="s">
        <v>20</v>
      </c>
      <c r="E106" t="s">
        <v>42</v>
      </c>
      <c r="F106" t="s">
        <v>39</v>
      </c>
      <c r="G106">
        <v>23</v>
      </c>
      <c r="H106" s="3">
        <v>227.97</v>
      </c>
      <c r="I106" s="3">
        <v>116.83</v>
      </c>
      <c r="J106" s="3">
        <f t="shared" si="3"/>
        <v>5243.31</v>
      </c>
      <c r="K106" s="3">
        <f t="shared" si="4"/>
        <v>2687.09</v>
      </c>
      <c r="L106" s="3">
        <f t="shared" si="5"/>
        <v>2556.2200000000003</v>
      </c>
    </row>
    <row r="107" spans="1:12" x14ac:dyDescent="0.3">
      <c r="A107">
        <v>1658</v>
      </c>
      <c r="B107" s="2">
        <v>45341</v>
      </c>
      <c r="C107" t="s">
        <v>32</v>
      </c>
      <c r="D107" t="s">
        <v>29</v>
      </c>
      <c r="E107" t="s">
        <v>30</v>
      </c>
      <c r="F107" t="s">
        <v>25</v>
      </c>
      <c r="G107">
        <v>36</v>
      </c>
      <c r="H107" s="3">
        <v>247.52</v>
      </c>
      <c r="I107" s="3">
        <v>183.48</v>
      </c>
      <c r="J107" s="3">
        <f t="shared" si="3"/>
        <v>8910.7200000000012</v>
      </c>
      <c r="K107" s="3">
        <f t="shared" si="4"/>
        <v>6605.28</v>
      </c>
      <c r="L107" s="3">
        <f t="shared" si="5"/>
        <v>2305.4400000000014</v>
      </c>
    </row>
    <row r="108" spans="1:12" x14ac:dyDescent="0.3">
      <c r="A108">
        <v>1886</v>
      </c>
      <c r="B108" s="2">
        <v>45341</v>
      </c>
      <c r="C108" t="s">
        <v>32</v>
      </c>
      <c r="D108" t="s">
        <v>17</v>
      </c>
      <c r="E108" t="s">
        <v>40</v>
      </c>
      <c r="F108" t="s">
        <v>22</v>
      </c>
      <c r="G108">
        <v>23</v>
      </c>
      <c r="H108" s="3">
        <v>691.41</v>
      </c>
      <c r="I108" s="3">
        <v>413.23</v>
      </c>
      <c r="J108" s="3">
        <f t="shared" si="3"/>
        <v>15902.429999999998</v>
      </c>
      <c r="K108" s="3">
        <f t="shared" si="4"/>
        <v>9504.2900000000009</v>
      </c>
      <c r="L108" s="3">
        <f t="shared" si="5"/>
        <v>6398.1399999999976</v>
      </c>
    </row>
    <row r="109" spans="1:12" x14ac:dyDescent="0.3">
      <c r="A109">
        <v>2678</v>
      </c>
      <c r="B109" s="2">
        <v>45341</v>
      </c>
      <c r="C109" t="s">
        <v>26</v>
      </c>
      <c r="D109" t="s">
        <v>20</v>
      </c>
      <c r="E109" t="s">
        <v>38</v>
      </c>
      <c r="F109" t="s">
        <v>39</v>
      </c>
      <c r="G109">
        <v>20</v>
      </c>
      <c r="H109" s="3">
        <v>182.11</v>
      </c>
      <c r="I109" s="3">
        <v>91.19</v>
      </c>
      <c r="J109" s="3">
        <f t="shared" si="3"/>
        <v>3642.2000000000003</v>
      </c>
      <c r="K109" s="3">
        <f t="shared" si="4"/>
        <v>1823.8</v>
      </c>
      <c r="L109" s="3">
        <f t="shared" si="5"/>
        <v>1818.4000000000003</v>
      </c>
    </row>
    <row r="110" spans="1:12" x14ac:dyDescent="0.3">
      <c r="A110">
        <v>2406</v>
      </c>
      <c r="B110" s="2">
        <v>45342</v>
      </c>
      <c r="C110" t="s">
        <v>32</v>
      </c>
      <c r="D110" t="s">
        <v>29</v>
      </c>
      <c r="E110" t="s">
        <v>30</v>
      </c>
      <c r="F110" t="s">
        <v>15</v>
      </c>
      <c r="G110">
        <v>36</v>
      </c>
      <c r="H110" s="3">
        <v>249.53</v>
      </c>
      <c r="I110" s="3">
        <v>144.22</v>
      </c>
      <c r="J110" s="3">
        <f t="shared" si="3"/>
        <v>8983.08</v>
      </c>
      <c r="K110" s="3">
        <f t="shared" si="4"/>
        <v>5191.92</v>
      </c>
      <c r="L110" s="3">
        <f t="shared" si="5"/>
        <v>3791.16</v>
      </c>
    </row>
    <row r="111" spans="1:12" x14ac:dyDescent="0.3">
      <c r="A111">
        <v>1024</v>
      </c>
      <c r="B111" s="2">
        <v>45343</v>
      </c>
      <c r="C111" t="s">
        <v>16</v>
      </c>
      <c r="D111" t="s">
        <v>20</v>
      </c>
      <c r="E111" t="s">
        <v>34</v>
      </c>
      <c r="F111" t="s">
        <v>22</v>
      </c>
      <c r="G111">
        <v>33</v>
      </c>
      <c r="H111" s="3">
        <v>209.06</v>
      </c>
      <c r="I111" s="3">
        <v>116.82</v>
      </c>
      <c r="J111" s="3">
        <f t="shared" si="3"/>
        <v>6898.9800000000005</v>
      </c>
      <c r="K111" s="3">
        <f t="shared" si="4"/>
        <v>3855.06</v>
      </c>
      <c r="L111" s="3">
        <f t="shared" si="5"/>
        <v>3043.9200000000005</v>
      </c>
    </row>
    <row r="112" spans="1:12" x14ac:dyDescent="0.3">
      <c r="A112">
        <v>1671</v>
      </c>
      <c r="B112" s="2">
        <v>45344</v>
      </c>
      <c r="C112" t="s">
        <v>32</v>
      </c>
      <c r="D112" t="s">
        <v>17</v>
      </c>
      <c r="E112" t="s">
        <v>27</v>
      </c>
      <c r="F112" t="s">
        <v>36</v>
      </c>
      <c r="G112">
        <v>27</v>
      </c>
      <c r="H112" s="3">
        <v>772.84</v>
      </c>
      <c r="I112" s="3">
        <v>442.6</v>
      </c>
      <c r="J112" s="3">
        <f t="shared" si="3"/>
        <v>20866.68</v>
      </c>
      <c r="K112" s="3">
        <f t="shared" si="4"/>
        <v>11950.2</v>
      </c>
      <c r="L112" s="3">
        <f t="shared" si="5"/>
        <v>8916.48</v>
      </c>
    </row>
    <row r="113" spans="1:12" x14ac:dyDescent="0.3">
      <c r="A113">
        <v>2129</v>
      </c>
      <c r="B113" s="2">
        <v>45344</v>
      </c>
      <c r="C113" t="s">
        <v>32</v>
      </c>
      <c r="D113" t="s">
        <v>17</v>
      </c>
      <c r="E113" t="s">
        <v>44</v>
      </c>
      <c r="F113" t="s">
        <v>28</v>
      </c>
      <c r="G113">
        <v>8</v>
      </c>
      <c r="H113" s="3">
        <v>431.19</v>
      </c>
      <c r="I113" s="3">
        <v>280.08999999999997</v>
      </c>
      <c r="J113" s="3">
        <f t="shared" si="3"/>
        <v>3449.52</v>
      </c>
      <c r="K113" s="3">
        <f t="shared" si="4"/>
        <v>2240.7199999999998</v>
      </c>
      <c r="L113" s="3">
        <f t="shared" si="5"/>
        <v>1208.8000000000002</v>
      </c>
    </row>
    <row r="114" spans="1:12" x14ac:dyDescent="0.3">
      <c r="A114">
        <v>2359</v>
      </c>
      <c r="B114" s="2">
        <v>45344</v>
      </c>
      <c r="C114" t="s">
        <v>12</v>
      </c>
      <c r="D114" t="s">
        <v>13</v>
      </c>
      <c r="E114" t="s">
        <v>45</v>
      </c>
      <c r="F114" t="s">
        <v>15</v>
      </c>
      <c r="G114">
        <v>24</v>
      </c>
      <c r="H114" s="3">
        <v>29.51</v>
      </c>
      <c r="I114" s="3">
        <v>17.95</v>
      </c>
      <c r="J114" s="3">
        <f t="shared" si="3"/>
        <v>708.24</v>
      </c>
      <c r="K114" s="3">
        <f t="shared" si="4"/>
        <v>430.79999999999995</v>
      </c>
      <c r="L114" s="3">
        <f t="shared" si="5"/>
        <v>277.44000000000005</v>
      </c>
    </row>
    <row r="115" spans="1:12" x14ac:dyDescent="0.3">
      <c r="A115">
        <v>1533</v>
      </c>
      <c r="B115" s="2">
        <v>45345</v>
      </c>
      <c r="C115" t="s">
        <v>12</v>
      </c>
      <c r="D115" t="s">
        <v>20</v>
      </c>
      <c r="E115" t="s">
        <v>21</v>
      </c>
      <c r="F115" t="s">
        <v>28</v>
      </c>
      <c r="G115">
        <v>20</v>
      </c>
      <c r="H115" s="3">
        <v>85.43</v>
      </c>
      <c r="I115" s="3">
        <v>57.31</v>
      </c>
      <c r="J115" s="3">
        <f t="shared" si="3"/>
        <v>1708.6000000000001</v>
      </c>
      <c r="K115" s="3">
        <f t="shared" si="4"/>
        <v>1146.2</v>
      </c>
      <c r="L115" s="3">
        <f t="shared" si="5"/>
        <v>562.40000000000009</v>
      </c>
    </row>
    <row r="116" spans="1:12" x14ac:dyDescent="0.3">
      <c r="A116">
        <v>2203</v>
      </c>
      <c r="B116" s="2">
        <v>45346</v>
      </c>
      <c r="C116" t="s">
        <v>32</v>
      </c>
      <c r="D116" t="s">
        <v>17</v>
      </c>
      <c r="E116" t="s">
        <v>27</v>
      </c>
      <c r="F116" t="s">
        <v>25</v>
      </c>
      <c r="G116">
        <v>34</v>
      </c>
      <c r="H116" s="3">
        <v>407.52</v>
      </c>
      <c r="I116" s="3">
        <v>282.58999999999997</v>
      </c>
      <c r="J116" s="3">
        <f t="shared" si="3"/>
        <v>13855.68</v>
      </c>
      <c r="K116" s="3">
        <f t="shared" si="4"/>
        <v>9608.06</v>
      </c>
      <c r="L116" s="3">
        <f t="shared" si="5"/>
        <v>4247.6200000000008</v>
      </c>
    </row>
    <row r="117" spans="1:12" x14ac:dyDescent="0.3">
      <c r="A117">
        <v>2498</v>
      </c>
      <c r="B117" s="2">
        <v>45346</v>
      </c>
      <c r="C117" t="s">
        <v>12</v>
      </c>
      <c r="D117" t="s">
        <v>20</v>
      </c>
      <c r="E117" t="s">
        <v>34</v>
      </c>
      <c r="F117" t="s">
        <v>15</v>
      </c>
      <c r="G117">
        <v>7</v>
      </c>
      <c r="H117" s="3">
        <v>273.41000000000003</v>
      </c>
      <c r="I117" s="3">
        <v>187.35</v>
      </c>
      <c r="J117" s="3">
        <f t="shared" si="3"/>
        <v>1913.8700000000001</v>
      </c>
      <c r="K117" s="3">
        <f t="shared" si="4"/>
        <v>1311.45</v>
      </c>
      <c r="L117" s="3">
        <f t="shared" si="5"/>
        <v>602.42000000000007</v>
      </c>
    </row>
    <row r="118" spans="1:12" x14ac:dyDescent="0.3">
      <c r="A118">
        <v>2489</v>
      </c>
      <c r="B118" s="2">
        <v>45347</v>
      </c>
      <c r="C118" t="s">
        <v>23</v>
      </c>
      <c r="D118" t="s">
        <v>20</v>
      </c>
      <c r="E118" t="s">
        <v>34</v>
      </c>
      <c r="F118" t="s">
        <v>39</v>
      </c>
      <c r="G118">
        <v>38</v>
      </c>
      <c r="H118" s="3">
        <v>34.08</v>
      </c>
      <c r="I118" s="3">
        <v>20.18</v>
      </c>
      <c r="J118" s="3">
        <f t="shared" si="3"/>
        <v>1295.04</v>
      </c>
      <c r="K118" s="3">
        <f t="shared" si="4"/>
        <v>766.84</v>
      </c>
      <c r="L118" s="3">
        <f t="shared" si="5"/>
        <v>528.19999999999993</v>
      </c>
    </row>
    <row r="119" spans="1:12" x14ac:dyDescent="0.3">
      <c r="A119">
        <v>1008</v>
      </c>
      <c r="B119" s="2">
        <v>45349</v>
      </c>
      <c r="C119" t="s">
        <v>12</v>
      </c>
      <c r="D119" t="s">
        <v>17</v>
      </c>
      <c r="E119" t="s">
        <v>40</v>
      </c>
      <c r="F119" t="s">
        <v>36</v>
      </c>
      <c r="G119">
        <v>18</v>
      </c>
      <c r="H119" s="3">
        <v>115.6</v>
      </c>
      <c r="I119" s="3">
        <v>63.94</v>
      </c>
      <c r="J119" s="3">
        <f t="shared" si="3"/>
        <v>2080.7999999999997</v>
      </c>
      <c r="K119" s="3">
        <f t="shared" si="4"/>
        <v>1150.92</v>
      </c>
      <c r="L119" s="3">
        <f t="shared" si="5"/>
        <v>929.87999999999965</v>
      </c>
    </row>
    <row r="120" spans="1:12" x14ac:dyDescent="0.3">
      <c r="A120">
        <v>1126</v>
      </c>
      <c r="B120" s="2">
        <v>45349</v>
      </c>
      <c r="C120" t="s">
        <v>32</v>
      </c>
      <c r="D120" t="s">
        <v>17</v>
      </c>
      <c r="E120" t="s">
        <v>40</v>
      </c>
      <c r="F120" t="s">
        <v>28</v>
      </c>
      <c r="G120">
        <v>29</v>
      </c>
      <c r="H120" s="3">
        <v>91.59</v>
      </c>
      <c r="I120" s="3">
        <v>68.17</v>
      </c>
      <c r="J120" s="3">
        <f t="shared" si="3"/>
        <v>2656.11</v>
      </c>
      <c r="K120" s="3">
        <f t="shared" si="4"/>
        <v>1976.93</v>
      </c>
      <c r="L120" s="3">
        <f t="shared" si="5"/>
        <v>679.18000000000006</v>
      </c>
    </row>
    <row r="121" spans="1:12" x14ac:dyDescent="0.3">
      <c r="A121">
        <v>1315</v>
      </c>
      <c r="B121" s="2">
        <v>45349</v>
      </c>
      <c r="C121" t="s">
        <v>16</v>
      </c>
      <c r="D121" t="s">
        <v>13</v>
      </c>
      <c r="E121" t="s">
        <v>45</v>
      </c>
      <c r="F121" t="s">
        <v>15</v>
      </c>
      <c r="G121">
        <v>33</v>
      </c>
      <c r="H121" s="3">
        <v>47.49</v>
      </c>
      <c r="I121" s="3">
        <v>25.81</v>
      </c>
      <c r="J121" s="3">
        <f t="shared" si="3"/>
        <v>1567.17</v>
      </c>
      <c r="K121" s="3">
        <f t="shared" si="4"/>
        <v>851.7299999999999</v>
      </c>
      <c r="L121" s="3">
        <f t="shared" si="5"/>
        <v>715.44000000000017</v>
      </c>
    </row>
    <row r="122" spans="1:12" x14ac:dyDescent="0.3">
      <c r="A122">
        <v>1586</v>
      </c>
      <c r="B122" s="2">
        <v>45349</v>
      </c>
      <c r="C122" t="s">
        <v>32</v>
      </c>
      <c r="D122" t="s">
        <v>20</v>
      </c>
      <c r="E122" t="s">
        <v>34</v>
      </c>
      <c r="F122" t="s">
        <v>36</v>
      </c>
      <c r="G122">
        <v>24</v>
      </c>
      <c r="H122" s="3">
        <v>106.26</v>
      </c>
      <c r="I122" s="3">
        <v>64.97</v>
      </c>
      <c r="J122" s="3">
        <f t="shared" si="3"/>
        <v>2550.2400000000002</v>
      </c>
      <c r="K122" s="3">
        <f t="shared" si="4"/>
        <v>1559.28</v>
      </c>
      <c r="L122" s="3">
        <f t="shared" si="5"/>
        <v>990.96000000000026</v>
      </c>
    </row>
    <row r="123" spans="1:12" x14ac:dyDescent="0.3">
      <c r="A123">
        <v>2724</v>
      </c>
      <c r="B123" s="2">
        <v>45349</v>
      </c>
      <c r="C123" t="s">
        <v>23</v>
      </c>
      <c r="D123" t="s">
        <v>20</v>
      </c>
      <c r="E123" t="s">
        <v>34</v>
      </c>
      <c r="F123" t="s">
        <v>28</v>
      </c>
      <c r="G123">
        <v>15</v>
      </c>
      <c r="H123" s="3">
        <v>28.4</v>
      </c>
      <c r="I123" s="3">
        <v>18.78</v>
      </c>
      <c r="J123" s="3">
        <f t="shared" si="3"/>
        <v>426</v>
      </c>
      <c r="K123" s="3">
        <f t="shared" si="4"/>
        <v>281.70000000000005</v>
      </c>
      <c r="L123" s="3">
        <f t="shared" si="5"/>
        <v>144.29999999999995</v>
      </c>
    </row>
    <row r="124" spans="1:12" x14ac:dyDescent="0.3">
      <c r="A124">
        <v>1404</v>
      </c>
      <c r="B124" s="2">
        <v>45350</v>
      </c>
      <c r="C124" t="s">
        <v>12</v>
      </c>
      <c r="D124" t="s">
        <v>20</v>
      </c>
      <c r="E124" t="s">
        <v>21</v>
      </c>
      <c r="F124" t="s">
        <v>22</v>
      </c>
      <c r="G124">
        <v>13</v>
      </c>
      <c r="H124" s="3">
        <v>74.53</v>
      </c>
      <c r="I124" s="3">
        <v>51.87</v>
      </c>
      <c r="J124" s="3">
        <f t="shared" si="3"/>
        <v>968.89</v>
      </c>
      <c r="K124" s="3">
        <f t="shared" si="4"/>
        <v>674.31</v>
      </c>
      <c r="L124" s="3">
        <f t="shared" si="5"/>
        <v>294.58000000000004</v>
      </c>
    </row>
    <row r="125" spans="1:12" x14ac:dyDescent="0.3">
      <c r="A125">
        <v>1895</v>
      </c>
      <c r="B125" s="2">
        <v>45350</v>
      </c>
      <c r="C125" t="s">
        <v>12</v>
      </c>
      <c r="D125" t="s">
        <v>17</v>
      </c>
      <c r="E125" t="s">
        <v>44</v>
      </c>
      <c r="F125" t="s">
        <v>25</v>
      </c>
      <c r="G125">
        <v>19</v>
      </c>
      <c r="H125" s="3">
        <v>375.69</v>
      </c>
      <c r="I125" s="3">
        <v>269.95</v>
      </c>
      <c r="J125" s="3">
        <f t="shared" si="3"/>
        <v>7138.11</v>
      </c>
      <c r="K125" s="3">
        <f t="shared" si="4"/>
        <v>5129.05</v>
      </c>
      <c r="L125" s="3">
        <f t="shared" si="5"/>
        <v>2009.0599999999995</v>
      </c>
    </row>
    <row r="126" spans="1:12" x14ac:dyDescent="0.3">
      <c r="A126">
        <v>2553</v>
      </c>
      <c r="B126" s="2">
        <v>45350</v>
      </c>
      <c r="C126" t="s">
        <v>16</v>
      </c>
      <c r="D126" t="s">
        <v>13</v>
      </c>
      <c r="E126" t="s">
        <v>45</v>
      </c>
      <c r="F126" t="s">
        <v>36</v>
      </c>
      <c r="G126">
        <v>31</v>
      </c>
      <c r="H126" s="3">
        <v>42.15</v>
      </c>
      <c r="I126" s="3">
        <v>22.29</v>
      </c>
      <c r="J126" s="3">
        <f t="shared" si="3"/>
        <v>1306.6499999999999</v>
      </c>
      <c r="K126" s="3">
        <f t="shared" si="4"/>
        <v>690.99</v>
      </c>
      <c r="L126" s="3">
        <f t="shared" si="5"/>
        <v>615.65999999999985</v>
      </c>
    </row>
    <row r="127" spans="1:12" x14ac:dyDescent="0.3">
      <c r="A127">
        <v>2675</v>
      </c>
      <c r="B127" s="2">
        <v>45352</v>
      </c>
      <c r="C127" t="s">
        <v>26</v>
      </c>
      <c r="D127" t="s">
        <v>13</v>
      </c>
      <c r="E127" t="s">
        <v>14</v>
      </c>
      <c r="F127" t="s">
        <v>22</v>
      </c>
      <c r="G127">
        <v>6</v>
      </c>
      <c r="H127" s="3">
        <v>22.22</v>
      </c>
      <c r="I127" s="3">
        <v>16.149999999999999</v>
      </c>
      <c r="J127" s="3">
        <f t="shared" si="3"/>
        <v>133.32</v>
      </c>
      <c r="K127" s="3">
        <f t="shared" si="4"/>
        <v>96.899999999999991</v>
      </c>
      <c r="L127" s="3">
        <f t="shared" si="5"/>
        <v>36.42</v>
      </c>
    </row>
    <row r="128" spans="1:12" x14ac:dyDescent="0.3">
      <c r="A128">
        <v>1728</v>
      </c>
      <c r="B128" s="2">
        <v>45353</v>
      </c>
      <c r="C128" t="s">
        <v>12</v>
      </c>
      <c r="D128" t="s">
        <v>29</v>
      </c>
      <c r="E128" t="s">
        <v>41</v>
      </c>
      <c r="F128" t="s">
        <v>33</v>
      </c>
      <c r="G128">
        <v>20</v>
      </c>
      <c r="H128" s="3">
        <v>141.16</v>
      </c>
      <c r="I128" s="3">
        <v>91.87</v>
      </c>
      <c r="J128" s="3">
        <f t="shared" si="3"/>
        <v>2823.2</v>
      </c>
      <c r="K128" s="3">
        <f t="shared" si="4"/>
        <v>1837.4</v>
      </c>
      <c r="L128" s="3">
        <f t="shared" si="5"/>
        <v>985.79999999999973</v>
      </c>
    </row>
    <row r="129" spans="1:12" x14ac:dyDescent="0.3">
      <c r="A129">
        <v>2267</v>
      </c>
      <c r="B129" s="2">
        <v>45353</v>
      </c>
      <c r="C129" t="s">
        <v>32</v>
      </c>
      <c r="D129" t="s">
        <v>17</v>
      </c>
      <c r="E129" t="s">
        <v>27</v>
      </c>
      <c r="F129" t="s">
        <v>33</v>
      </c>
      <c r="G129">
        <v>31</v>
      </c>
      <c r="H129" s="3">
        <v>570.57000000000005</v>
      </c>
      <c r="I129" s="3">
        <v>316.14999999999998</v>
      </c>
      <c r="J129" s="3">
        <f t="shared" si="3"/>
        <v>17687.670000000002</v>
      </c>
      <c r="K129" s="3">
        <f t="shared" si="4"/>
        <v>9800.65</v>
      </c>
      <c r="L129" s="3">
        <f t="shared" si="5"/>
        <v>7887.0200000000023</v>
      </c>
    </row>
    <row r="130" spans="1:12" x14ac:dyDescent="0.3">
      <c r="A130">
        <v>2007</v>
      </c>
      <c r="B130" s="2">
        <v>45354</v>
      </c>
      <c r="C130" t="s">
        <v>32</v>
      </c>
      <c r="D130" t="s">
        <v>29</v>
      </c>
      <c r="E130" t="s">
        <v>30</v>
      </c>
      <c r="F130" t="s">
        <v>33</v>
      </c>
      <c r="G130">
        <v>35</v>
      </c>
      <c r="H130" s="3">
        <v>226.89</v>
      </c>
      <c r="I130" s="3">
        <v>138.62</v>
      </c>
      <c r="J130" s="3">
        <f t="shared" ref="J130:J193" si="6">G130*H130</f>
        <v>7941.15</v>
      </c>
      <c r="K130" s="3">
        <f t="shared" ref="K130:K193" si="7">G130*I130</f>
        <v>4851.7</v>
      </c>
      <c r="L130" s="3">
        <f t="shared" ref="L130:L193" si="8">J130-K130</f>
        <v>3089.45</v>
      </c>
    </row>
    <row r="131" spans="1:12" x14ac:dyDescent="0.3">
      <c r="A131">
        <v>1128</v>
      </c>
      <c r="B131" s="2">
        <v>45355</v>
      </c>
      <c r="C131" t="s">
        <v>23</v>
      </c>
      <c r="D131" t="s">
        <v>17</v>
      </c>
      <c r="E131" t="s">
        <v>40</v>
      </c>
      <c r="F131" t="s">
        <v>25</v>
      </c>
      <c r="G131">
        <v>33</v>
      </c>
      <c r="H131" s="3">
        <v>602.75</v>
      </c>
      <c r="I131" s="3">
        <v>380.35</v>
      </c>
      <c r="J131" s="3">
        <f t="shared" si="6"/>
        <v>19890.75</v>
      </c>
      <c r="K131" s="3">
        <f t="shared" si="7"/>
        <v>12551.550000000001</v>
      </c>
      <c r="L131" s="3">
        <f t="shared" si="8"/>
        <v>7339.1999999999989</v>
      </c>
    </row>
    <row r="132" spans="1:12" x14ac:dyDescent="0.3">
      <c r="A132">
        <v>1899</v>
      </c>
      <c r="B132" s="2">
        <v>45355</v>
      </c>
      <c r="C132" t="s">
        <v>32</v>
      </c>
      <c r="D132" t="s">
        <v>20</v>
      </c>
      <c r="E132" t="s">
        <v>21</v>
      </c>
      <c r="F132" t="s">
        <v>39</v>
      </c>
      <c r="G132">
        <v>4</v>
      </c>
      <c r="H132" s="3">
        <v>138.41999999999999</v>
      </c>
      <c r="I132" s="3">
        <v>77.930000000000007</v>
      </c>
      <c r="J132" s="3">
        <f t="shared" si="6"/>
        <v>553.67999999999995</v>
      </c>
      <c r="K132" s="3">
        <f t="shared" si="7"/>
        <v>311.72000000000003</v>
      </c>
      <c r="L132" s="3">
        <f t="shared" si="8"/>
        <v>241.95999999999992</v>
      </c>
    </row>
    <row r="133" spans="1:12" x14ac:dyDescent="0.3">
      <c r="A133">
        <v>2639</v>
      </c>
      <c r="B133" s="2">
        <v>45355</v>
      </c>
      <c r="C133" t="s">
        <v>12</v>
      </c>
      <c r="D133" t="s">
        <v>29</v>
      </c>
      <c r="E133" t="s">
        <v>43</v>
      </c>
      <c r="F133" t="s">
        <v>39</v>
      </c>
      <c r="G133">
        <v>6</v>
      </c>
      <c r="H133" s="3">
        <v>410.19</v>
      </c>
      <c r="I133" s="3">
        <v>285.39</v>
      </c>
      <c r="J133" s="3">
        <f t="shared" si="6"/>
        <v>2461.14</v>
      </c>
      <c r="K133" s="3">
        <f t="shared" si="7"/>
        <v>1712.34</v>
      </c>
      <c r="L133" s="3">
        <f t="shared" si="8"/>
        <v>748.8</v>
      </c>
    </row>
    <row r="134" spans="1:12" x14ac:dyDescent="0.3">
      <c r="A134">
        <v>1548</v>
      </c>
      <c r="B134" s="2">
        <v>45356</v>
      </c>
      <c r="C134" t="s">
        <v>16</v>
      </c>
      <c r="D134" t="s">
        <v>29</v>
      </c>
      <c r="E134" t="s">
        <v>41</v>
      </c>
      <c r="F134" t="s">
        <v>28</v>
      </c>
      <c r="G134">
        <v>2</v>
      </c>
      <c r="H134" s="3">
        <v>410.87</v>
      </c>
      <c r="I134" s="3">
        <v>217.57</v>
      </c>
      <c r="J134" s="3">
        <f t="shared" si="6"/>
        <v>821.74</v>
      </c>
      <c r="K134" s="3">
        <f t="shared" si="7"/>
        <v>435.14</v>
      </c>
      <c r="L134" s="3">
        <f t="shared" si="8"/>
        <v>386.6</v>
      </c>
    </row>
    <row r="135" spans="1:12" x14ac:dyDescent="0.3">
      <c r="A135">
        <v>2487</v>
      </c>
      <c r="B135" s="2">
        <v>45356</v>
      </c>
      <c r="C135" t="s">
        <v>26</v>
      </c>
      <c r="D135" t="s">
        <v>17</v>
      </c>
      <c r="E135" t="s">
        <v>18</v>
      </c>
      <c r="F135" t="s">
        <v>39</v>
      </c>
      <c r="G135">
        <v>5</v>
      </c>
      <c r="H135" s="3">
        <v>128.22</v>
      </c>
      <c r="I135" s="3">
        <v>90.5</v>
      </c>
      <c r="J135" s="3">
        <f t="shared" si="6"/>
        <v>641.1</v>
      </c>
      <c r="K135" s="3">
        <f t="shared" si="7"/>
        <v>452.5</v>
      </c>
      <c r="L135" s="3">
        <f t="shared" si="8"/>
        <v>188.60000000000002</v>
      </c>
    </row>
    <row r="136" spans="1:12" x14ac:dyDescent="0.3">
      <c r="A136">
        <v>2602</v>
      </c>
      <c r="B136" s="2">
        <v>45356</v>
      </c>
      <c r="C136" t="s">
        <v>23</v>
      </c>
      <c r="D136" t="s">
        <v>20</v>
      </c>
      <c r="E136" t="s">
        <v>42</v>
      </c>
      <c r="F136" t="s">
        <v>19</v>
      </c>
      <c r="G136">
        <v>17</v>
      </c>
      <c r="H136" s="3">
        <v>31.71</v>
      </c>
      <c r="I136" s="3">
        <v>20.14</v>
      </c>
      <c r="J136" s="3">
        <f t="shared" si="6"/>
        <v>539.07000000000005</v>
      </c>
      <c r="K136" s="3">
        <f t="shared" si="7"/>
        <v>342.38</v>
      </c>
      <c r="L136" s="3">
        <f t="shared" si="8"/>
        <v>196.69000000000005</v>
      </c>
    </row>
    <row r="137" spans="1:12" x14ac:dyDescent="0.3">
      <c r="A137">
        <v>1551</v>
      </c>
      <c r="B137" s="2">
        <v>45357</v>
      </c>
      <c r="C137" t="s">
        <v>26</v>
      </c>
      <c r="D137" t="s">
        <v>17</v>
      </c>
      <c r="E137" t="s">
        <v>18</v>
      </c>
      <c r="F137" t="s">
        <v>39</v>
      </c>
      <c r="G137">
        <v>5</v>
      </c>
      <c r="H137" s="3">
        <v>735.74</v>
      </c>
      <c r="I137" s="3">
        <v>492.65</v>
      </c>
      <c r="J137" s="3">
        <f t="shared" si="6"/>
        <v>3678.7</v>
      </c>
      <c r="K137" s="3">
        <f t="shared" si="7"/>
        <v>2463.25</v>
      </c>
      <c r="L137" s="3">
        <f t="shared" si="8"/>
        <v>1215.4499999999998</v>
      </c>
    </row>
    <row r="138" spans="1:12" x14ac:dyDescent="0.3">
      <c r="A138">
        <v>2575</v>
      </c>
      <c r="B138" s="2">
        <v>45357</v>
      </c>
      <c r="C138" t="s">
        <v>16</v>
      </c>
      <c r="D138" t="s">
        <v>13</v>
      </c>
      <c r="E138" t="s">
        <v>24</v>
      </c>
      <c r="F138" t="s">
        <v>28</v>
      </c>
      <c r="G138">
        <v>2</v>
      </c>
      <c r="H138" s="3">
        <v>58.85</v>
      </c>
      <c r="I138" s="3">
        <v>33.99</v>
      </c>
      <c r="J138" s="3">
        <f t="shared" si="6"/>
        <v>117.7</v>
      </c>
      <c r="K138" s="3">
        <f t="shared" si="7"/>
        <v>67.98</v>
      </c>
      <c r="L138" s="3">
        <f t="shared" si="8"/>
        <v>49.72</v>
      </c>
    </row>
    <row r="139" spans="1:12" x14ac:dyDescent="0.3">
      <c r="A139">
        <v>1494</v>
      </c>
      <c r="B139" s="2">
        <v>45358</v>
      </c>
      <c r="C139" t="s">
        <v>32</v>
      </c>
      <c r="D139" t="s">
        <v>20</v>
      </c>
      <c r="E139" t="s">
        <v>34</v>
      </c>
      <c r="F139" t="s">
        <v>25</v>
      </c>
      <c r="G139">
        <v>18</v>
      </c>
      <c r="H139" s="3">
        <v>78.53</v>
      </c>
      <c r="I139" s="3">
        <v>40.409999999999997</v>
      </c>
      <c r="J139" s="3">
        <f t="shared" si="6"/>
        <v>1413.54</v>
      </c>
      <c r="K139" s="3">
        <f t="shared" si="7"/>
        <v>727.37999999999988</v>
      </c>
      <c r="L139" s="3">
        <f t="shared" si="8"/>
        <v>686.16000000000008</v>
      </c>
    </row>
    <row r="140" spans="1:12" x14ac:dyDescent="0.3">
      <c r="A140">
        <v>2377</v>
      </c>
      <c r="B140" s="2">
        <v>45358</v>
      </c>
      <c r="C140" t="s">
        <v>23</v>
      </c>
      <c r="D140" t="s">
        <v>29</v>
      </c>
      <c r="E140" t="s">
        <v>37</v>
      </c>
      <c r="F140" t="s">
        <v>25</v>
      </c>
      <c r="G140">
        <v>32</v>
      </c>
      <c r="H140" s="3">
        <v>93.45</v>
      </c>
      <c r="I140" s="3">
        <v>62.26</v>
      </c>
      <c r="J140" s="3">
        <f t="shared" si="6"/>
        <v>2990.4</v>
      </c>
      <c r="K140" s="3">
        <f t="shared" si="7"/>
        <v>1992.32</v>
      </c>
      <c r="L140" s="3">
        <f t="shared" si="8"/>
        <v>998.08000000000015</v>
      </c>
    </row>
    <row r="141" spans="1:12" x14ac:dyDescent="0.3">
      <c r="A141">
        <v>1130</v>
      </c>
      <c r="B141" s="2">
        <v>45359</v>
      </c>
      <c r="C141" t="s">
        <v>32</v>
      </c>
      <c r="D141" t="s">
        <v>17</v>
      </c>
      <c r="E141" t="s">
        <v>35</v>
      </c>
      <c r="F141" t="s">
        <v>36</v>
      </c>
      <c r="G141">
        <v>19</v>
      </c>
      <c r="H141" s="3">
        <v>271.68</v>
      </c>
      <c r="I141" s="3">
        <v>146.05000000000001</v>
      </c>
      <c r="J141" s="3">
        <f t="shared" si="6"/>
        <v>5161.92</v>
      </c>
      <c r="K141" s="3">
        <f t="shared" si="7"/>
        <v>2774.9500000000003</v>
      </c>
      <c r="L141" s="3">
        <f t="shared" si="8"/>
        <v>2386.9699999999998</v>
      </c>
    </row>
    <row r="142" spans="1:12" x14ac:dyDescent="0.3">
      <c r="A142">
        <v>1574</v>
      </c>
      <c r="B142" s="2">
        <v>45359</v>
      </c>
      <c r="C142" t="s">
        <v>12</v>
      </c>
      <c r="D142" t="s">
        <v>20</v>
      </c>
      <c r="E142" t="s">
        <v>42</v>
      </c>
      <c r="F142" t="s">
        <v>25</v>
      </c>
      <c r="G142">
        <v>26</v>
      </c>
      <c r="H142" s="3">
        <v>50.62</v>
      </c>
      <c r="I142" s="3">
        <v>28.8</v>
      </c>
      <c r="J142" s="3">
        <f t="shared" si="6"/>
        <v>1316.12</v>
      </c>
      <c r="K142" s="3">
        <f t="shared" si="7"/>
        <v>748.80000000000007</v>
      </c>
      <c r="L142" s="3">
        <f t="shared" si="8"/>
        <v>567.31999999999982</v>
      </c>
    </row>
    <row r="143" spans="1:12" x14ac:dyDescent="0.3">
      <c r="A143">
        <v>2371</v>
      </c>
      <c r="B143" s="2">
        <v>45359</v>
      </c>
      <c r="C143" t="s">
        <v>32</v>
      </c>
      <c r="D143" t="s">
        <v>17</v>
      </c>
      <c r="E143" t="s">
        <v>18</v>
      </c>
      <c r="F143" t="s">
        <v>36</v>
      </c>
      <c r="G143">
        <v>28</v>
      </c>
      <c r="H143" s="3">
        <v>189.4</v>
      </c>
      <c r="I143" s="3">
        <v>100.3</v>
      </c>
      <c r="J143" s="3">
        <f t="shared" si="6"/>
        <v>5303.2</v>
      </c>
      <c r="K143" s="3">
        <f t="shared" si="7"/>
        <v>2808.4</v>
      </c>
      <c r="L143" s="3">
        <f t="shared" si="8"/>
        <v>2494.7999999999997</v>
      </c>
    </row>
    <row r="144" spans="1:12" x14ac:dyDescent="0.3">
      <c r="A144">
        <v>2509</v>
      </c>
      <c r="B144" s="2">
        <v>45359</v>
      </c>
      <c r="C144" t="s">
        <v>26</v>
      </c>
      <c r="D144" t="s">
        <v>29</v>
      </c>
      <c r="E144" t="s">
        <v>43</v>
      </c>
      <c r="F144" t="s">
        <v>28</v>
      </c>
      <c r="G144">
        <v>35</v>
      </c>
      <c r="H144" s="3">
        <v>395.49</v>
      </c>
      <c r="I144" s="3">
        <v>262.49</v>
      </c>
      <c r="J144" s="3">
        <f t="shared" si="6"/>
        <v>13842.15</v>
      </c>
      <c r="K144" s="3">
        <f t="shared" si="7"/>
        <v>9187.15</v>
      </c>
      <c r="L144" s="3">
        <f t="shared" si="8"/>
        <v>4655</v>
      </c>
    </row>
    <row r="145" spans="1:12" x14ac:dyDescent="0.3">
      <c r="A145">
        <v>1234</v>
      </c>
      <c r="B145" s="2">
        <v>45360</v>
      </c>
      <c r="C145" t="s">
        <v>32</v>
      </c>
      <c r="D145" t="s">
        <v>17</v>
      </c>
      <c r="E145" t="s">
        <v>27</v>
      </c>
      <c r="F145" t="s">
        <v>22</v>
      </c>
      <c r="G145">
        <v>22</v>
      </c>
      <c r="H145" s="3">
        <v>604.29</v>
      </c>
      <c r="I145" s="3">
        <v>338.99</v>
      </c>
      <c r="J145" s="3">
        <f t="shared" si="6"/>
        <v>13294.38</v>
      </c>
      <c r="K145" s="3">
        <f t="shared" si="7"/>
        <v>7457.7800000000007</v>
      </c>
      <c r="L145" s="3">
        <f t="shared" si="8"/>
        <v>5836.5999999999985</v>
      </c>
    </row>
    <row r="146" spans="1:12" x14ac:dyDescent="0.3">
      <c r="A146">
        <v>1983</v>
      </c>
      <c r="B146" s="2">
        <v>45360</v>
      </c>
      <c r="C146" t="s">
        <v>23</v>
      </c>
      <c r="D146" t="s">
        <v>20</v>
      </c>
      <c r="E146" t="s">
        <v>21</v>
      </c>
      <c r="F146" t="s">
        <v>25</v>
      </c>
      <c r="G146">
        <v>37</v>
      </c>
      <c r="H146" s="3">
        <v>53.02</v>
      </c>
      <c r="I146" s="3">
        <v>29.57</v>
      </c>
      <c r="J146" s="3">
        <f t="shared" si="6"/>
        <v>1961.74</v>
      </c>
      <c r="K146" s="3">
        <f t="shared" si="7"/>
        <v>1094.0899999999999</v>
      </c>
      <c r="L146" s="3">
        <f t="shared" si="8"/>
        <v>867.65000000000009</v>
      </c>
    </row>
    <row r="147" spans="1:12" x14ac:dyDescent="0.3">
      <c r="A147">
        <v>2354</v>
      </c>
      <c r="B147" s="2">
        <v>45360</v>
      </c>
      <c r="C147" t="s">
        <v>23</v>
      </c>
      <c r="D147" t="s">
        <v>13</v>
      </c>
      <c r="E147" t="s">
        <v>45</v>
      </c>
      <c r="F147" t="s">
        <v>15</v>
      </c>
      <c r="G147">
        <v>30</v>
      </c>
      <c r="H147" s="3">
        <v>30.93</v>
      </c>
      <c r="I147" s="3">
        <v>21.08</v>
      </c>
      <c r="J147" s="3">
        <f t="shared" si="6"/>
        <v>927.9</v>
      </c>
      <c r="K147" s="3">
        <f t="shared" si="7"/>
        <v>632.4</v>
      </c>
      <c r="L147" s="3">
        <f t="shared" si="8"/>
        <v>295.5</v>
      </c>
    </row>
    <row r="148" spans="1:12" x14ac:dyDescent="0.3">
      <c r="A148">
        <v>2629</v>
      </c>
      <c r="B148" s="2">
        <v>45360</v>
      </c>
      <c r="C148" t="s">
        <v>23</v>
      </c>
      <c r="D148" t="s">
        <v>29</v>
      </c>
      <c r="E148" t="s">
        <v>37</v>
      </c>
      <c r="F148" t="s">
        <v>15</v>
      </c>
      <c r="G148">
        <v>17</v>
      </c>
      <c r="H148" s="3">
        <v>230.98</v>
      </c>
      <c r="I148" s="3">
        <v>118.58</v>
      </c>
      <c r="J148" s="3">
        <f t="shared" si="6"/>
        <v>3926.66</v>
      </c>
      <c r="K148" s="3">
        <f t="shared" si="7"/>
        <v>2015.86</v>
      </c>
      <c r="L148" s="3">
        <f t="shared" si="8"/>
        <v>1910.8</v>
      </c>
    </row>
    <row r="149" spans="1:12" x14ac:dyDescent="0.3">
      <c r="A149">
        <v>2225</v>
      </c>
      <c r="B149" s="2">
        <v>45361</v>
      </c>
      <c r="C149" t="s">
        <v>12</v>
      </c>
      <c r="D149" t="s">
        <v>20</v>
      </c>
      <c r="E149" t="s">
        <v>38</v>
      </c>
      <c r="F149" t="s">
        <v>28</v>
      </c>
      <c r="G149">
        <v>10</v>
      </c>
      <c r="H149" s="3">
        <v>161.01</v>
      </c>
      <c r="I149" s="3">
        <v>119.73</v>
      </c>
      <c r="J149" s="3">
        <f t="shared" si="6"/>
        <v>1610.1</v>
      </c>
      <c r="K149" s="3">
        <f t="shared" si="7"/>
        <v>1197.3</v>
      </c>
      <c r="L149" s="3">
        <f t="shared" si="8"/>
        <v>412.79999999999995</v>
      </c>
    </row>
    <row r="150" spans="1:12" x14ac:dyDescent="0.3">
      <c r="A150">
        <v>1193</v>
      </c>
      <c r="B150" s="2">
        <v>45362</v>
      </c>
      <c r="C150" t="s">
        <v>23</v>
      </c>
      <c r="D150" t="s">
        <v>17</v>
      </c>
      <c r="E150" t="s">
        <v>40</v>
      </c>
      <c r="F150" t="s">
        <v>36</v>
      </c>
      <c r="G150">
        <v>12</v>
      </c>
      <c r="H150" s="3">
        <v>705.94</v>
      </c>
      <c r="I150" s="3">
        <v>427.16</v>
      </c>
      <c r="J150" s="3">
        <f t="shared" si="6"/>
        <v>8471.2800000000007</v>
      </c>
      <c r="K150" s="3">
        <f t="shared" si="7"/>
        <v>5125.92</v>
      </c>
      <c r="L150" s="3">
        <f t="shared" si="8"/>
        <v>3345.3600000000006</v>
      </c>
    </row>
    <row r="151" spans="1:12" x14ac:dyDescent="0.3">
      <c r="A151">
        <v>1018</v>
      </c>
      <c r="B151" s="2">
        <v>45364</v>
      </c>
      <c r="C151" t="s">
        <v>16</v>
      </c>
      <c r="D151" t="s">
        <v>13</v>
      </c>
      <c r="E151" t="s">
        <v>31</v>
      </c>
      <c r="F151" t="s">
        <v>28</v>
      </c>
      <c r="G151">
        <v>14</v>
      </c>
      <c r="H151" s="3">
        <v>44.23</v>
      </c>
      <c r="I151" s="3">
        <v>24.8</v>
      </c>
      <c r="J151" s="3">
        <f t="shared" si="6"/>
        <v>619.21999999999991</v>
      </c>
      <c r="K151" s="3">
        <f t="shared" si="7"/>
        <v>347.2</v>
      </c>
      <c r="L151" s="3">
        <f t="shared" si="8"/>
        <v>272.01999999999992</v>
      </c>
    </row>
    <row r="152" spans="1:12" x14ac:dyDescent="0.3">
      <c r="A152">
        <v>1509</v>
      </c>
      <c r="B152" s="2">
        <v>45364</v>
      </c>
      <c r="C152" t="s">
        <v>32</v>
      </c>
      <c r="D152" t="s">
        <v>29</v>
      </c>
      <c r="E152" t="s">
        <v>41</v>
      </c>
      <c r="F152" t="s">
        <v>22</v>
      </c>
      <c r="G152">
        <v>9</v>
      </c>
      <c r="H152" s="3">
        <v>101.19</v>
      </c>
      <c r="I152" s="3">
        <v>52.77</v>
      </c>
      <c r="J152" s="3">
        <f t="shared" si="6"/>
        <v>910.71</v>
      </c>
      <c r="K152" s="3">
        <f t="shared" si="7"/>
        <v>474.93</v>
      </c>
      <c r="L152" s="3">
        <f t="shared" si="8"/>
        <v>435.78000000000003</v>
      </c>
    </row>
    <row r="153" spans="1:12" x14ac:dyDescent="0.3">
      <c r="A153">
        <v>2465</v>
      </c>
      <c r="B153" s="2">
        <v>45364</v>
      </c>
      <c r="C153" t="s">
        <v>26</v>
      </c>
      <c r="D153" t="s">
        <v>29</v>
      </c>
      <c r="E153" t="s">
        <v>30</v>
      </c>
      <c r="F153" t="s">
        <v>15</v>
      </c>
      <c r="G153">
        <v>15</v>
      </c>
      <c r="H153" s="3">
        <v>224.04</v>
      </c>
      <c r="I153" s="3">
        <v>119.82</v>
      </c>
      <c r="J153" s="3">
        <f t="shared" si="6"/>
        <v>3360.6</v>
      </c>
      <c r="K153" s="3">
        <f t="shared" si="7"/>
        <v>1797.3</v>
      </c>
      <c r="L153" s="3">
        <f t="shared" si="8"/>
        <v>1563.3</v>
      </c>
    </row>
    <row r="154" spans="1:12" x14ac:dyDescent="0.3">
      <c r="A154">
        <v>1745</v>
      </c>
      <c r="B154" s="2">
        <v>45365</v>
      </c>
      <c r="C154" t="s">
        <v>32</v>
      </c>
      <c r="D154" t="s">
        <v>17</v>
      </c>
      <c r="E154" t="s">
        <v>35</v>
      </c>
      <c r="F154" t="s">
        <v>39</v>
      </c>
      <c r="G154">
        <v>22</v>
      </c>
      <c r="H154" s="3">
        <v>225.18</v>
      </c>
      <c r="I154" s="3">
        <v>151.07</v>
      </c>
      <c r="J154" s="3">
        <f t="shared" si="6"/>
        <v>4953.96</v>
      </c>
      <c r="K154" s="3">
        <f t="shared" si="7"/>
        <v>3323.54</v>
      </c>
      <c r="L154" s="3">
        <f t="shared" si="8"/>
        <v>1630.42</v>
      </c>
    </row>
    <row r="155" spans="1:12" x14ac:dyDescent="0.3">
      <c r="A155">
        <v>2218</v>
      </c>
      <c r="B155" s="2">
        <v>45366</v>
      </c>
      <c r="C155" t="s">
        <v>12</v>
      </c>
      <c r="D155" t="s">
        <v>20</v>
      </c>
      <c r="E155" t="s">
        <v>34</v>
      </c>
      <c r="F155" t="s">
        <v>22</v>
      </c>
      <c r="G155">
        <v>3</v>
      </c>
      <c r="H155" s="3">
        <v>278.81</v>
      </c>
      <c r="I155" s="3">
        <v>139.74</v>
      </c>
      <c r="J155" s="3">
        <f t="shared" si="6"/>
        <v>836.43000000000006</v>
      </c>
      <c r="K155" s="3">
        <f t="shared" si="7"/>
        <v>419.22</v>
      </c>
      <c r="L155" s="3">
        <f t="shared" si="8"/>
        <v>417.21000000000004</v>
      </c>
    </row>
    <row r="156" spans="1:12" x14ac:dyDescent="0.3">
      <c r="A156">
        <v>2747</v>
      </c>
      <c r="B156" s="2">
        <v>45366</v>
      </c>
      <c r="C156" t="s">
        <v>12</v>
      </c>
      <c r="D156" t="s">
        <v>17</v>
      </c>
      <c r="E156" t="s">
        <v>40</v>
      </c>
      <c r="F156" t="s">
        <v>25</v>
      </c>
      <c r="G156">
        <v>28</v>
      </c>
      <c r="H156" s="3">
        <v>880.98</v>
      </c>
      <c r="I156" s="3">
        <v>588.77</v>
      </c>
      <c r="J156" s="3">
        <f t="shared" si="6"/>
        <v>24667.440000000002</v>
      </c>
      <c r="K156" s="3">
        <f t="shared" si="7"/>
        <v>16485.559999999998</v>
      </c>
      <c r="L156" s="3">
        <f t="shared" si="8"/>
        <v>8181.8800000000047</v>
      </c>
    </row>
    <row r="157" spans="1:12" x14ac:dyDescent="0.3">
      <c r="A157">
        <v>1158</v>
      </c>
      <c r="B157" s="2">
        <v>45367</v>
      </c>
      <c r="C157" t="s">
        <v>12</v>
      </c>
      <c r="D157" t="s">
        <v>29</v>
      </c>
      <c r="E157" t="s">
        <v>30</v>
      </c>
      <c r="F157" t="s">
        <v>28</v>
      </c>
      <c r="G157">
        <v>30</v>
      </c>
      <c r="H157" s="3">
        <v>448.74</v>
      </c>
      <c r="I157" s="3">
        <v>296.14999999999998</v>
      </c>
      <c r="J157" s="3">
        <f t="shared" si="6"/>
        <v>13462.2</v>
      </c>
      <c r="K157" s="3">
        <f t="shared" si="7"/>
        <v>8884.5</v>
      </c>
      <c r="L157" s="3">
        <f t="shared" si="8"/>
        <v>4577.7000000000007</v>
      </c>
    </row>
    <row r="158" spans="1:12" x14ac:dyDescent="0.3">
      <c r="A158">
        <v>1169</v>
      </c>
      <c r="B158" s="2">
        <v>45367</v>
      </c>
      <c r="C158" t="s">
        <v>23</v>
      </c>
      <c r="D158" t="s">
        <v>20</v>
      </c>
      <c r="E158" t="s">
        <v>38</v>
      </c>
      <c r="F158" t="s">
        <v>25</v>
      </c>
      <c r="G158">
        <v>9</v>
      </c>
      <c r="H158" s="3">
        <v>114.94</v>
      </c>
      <c r="I158" s="3">
        <v>84.45</v>
      </c>
      <c r="J158" s="3">
        <f t="shared" si="6"/>
        <v>1034.46</v>
      </c>
      <c r="K158" s="3">
        <f t="shared" si="7"/>
        <v>760.05000000000007</v>
      </c>
      <c r="L158" s="3">
        <f t="shared" si="8"/>
        <v>274.40999999999997</v>
      </c>
    </row>
    <row r="159" spans="1:12" x14ac:dyDescent="0.3">
      <c r="A159">
        <v>2028</v>
      </c>
      <c r="B159" s="2">
        <v>45367</v>
      </c>
      <c r="C159" t="s">
        <v>32</v>
      </c>
      <c r="D159" t="s">
        <v>17</v>
      </c>
      <c r="E159" t="s">
        <v>18</v>
      </c>
      <c r="F159" t="s">
        <v>25</v>
      </c>
      <c r="G159">
        <v>34</v>
      </c>
      <c r="H159" s="3">
        <v>326.72000000000003</v>
      </c>
      <c r="I159" s="3">
        <v>166.27</v>
      </c>
      <c r="J159" s="3">
        <f t="shared" si="6"/>
        <v>11108.480000000001</v>
      </c>
      <c r="K159" s="3">
        <f t="shared" si="7"/>
        <v>5653.18</v>
      </c>
      <c r="L159" s="3">
        <f t="shared" si="8"/>
        <v>5455.3000000000011</v>
      </c>
    </row>
    <row r="160" spans="1:12" x14ac:dyDescent="0.3">
      <c r="A160">
        <v>2356</v>
      </c>
      <c r="B160" s="2">
        <v>45367</v>
      </c>
      <c r="C160" t="s">
        <v>16</v>
      </c>
      <c r="D160" t="s">
        <v>29</v>
      </c>
      <c r="E160" t="s">
        <v>43</v>
      </c>
      <c r="F160" t="s">
        <v>25</v>
      </c>
      <c r="G160">
        <v>39</v>
      </c>
      <c r="H160" s="3">
        <v>205.8</v>
      </c>
      <c r="I160" s="3">
        <v>127.97</v>
      </c>
      <c r="J160" s="3">
        <f t="shared" si="6"/>
        <v>8026.2000000000007</v>
      </c>
      <c r="K160" s="3">
        <f t="shared" si="7"/>
        <v>4990.83</v>
      </c>
      <c r="L160" s="3">
        <f t="shared" si="8"/>
        <v>3035.3700000000008</v>
      </c>
    </row>
    <row r="161" spans="1:12" x14ac:dyDescent="0.3">
      <c r="A161">
        <v>2790</v>
      </c>
      <c r="B161" s="2">
        <v>45367</v>
      </c>
      <c r="C161" t="s">
        <v>23</v>
      </c>
      <c r="D161" t="s">
        <v>17</v>
      </c>
      <c r="E161" t="s">
        <v>18</v>
      </c>
      <c r="F161" t="s">
        <v>15</v>
      </c>
      <c r="G161">
        <v>3</v>
      </c>
      <c r="H161" s="3">
        <v>730.27</v>
      </c>
      <c r="I161" s="3">
        <v>472.44</v>
      </c>
      <c r="J161" s="3">
        <f t="shared" si="6"/>
        <v>2190.81</v>
      </c>
      <c r="K161" s="3">
        <f t="shared" si="7"/>
        <v>1417.32</v>
      </c>
      <c r="L161" s="3">
        <f t="shared" si="8"/>
        <v>773.49</v>
      </c>
    </row>
    <row r="162" spans="1:12" x14ac:dyDescent="0.3">
      <c r="A162">
        <v>1215</v>
      </c>
      <c r="B162" s="2">
        <v>45368</v>
      </c>
      <c r="C162" t="s">
        <v>32</v>
      </c>
      <c r="D162" t="s">
        <v>17</v>
      </c>
      <c r="E162" t="s">
        <v>44</v>
      </c>
      <c r="F162" t="s">
        <v>33</v>
      </c>
      <c r="G162">
        <v>2</v>
      </c>
      <c r="H162" s="3">
        <v>867.63</v>
      </c>
      <c r="I162" s="3">
        <v>520.21</v>
      </c>
      <c r="J162" s="3">
        <f t="shared" si="6"/>
        <v>1735.26</v>
      </c>
      <c r="K162" s="3">
        <f t="shared" si="7"/>
        <v>1040.42</v>
      </c>
      <c r="L162" s="3">
        <f t="shared" si="8"/>
        <v>694.83999999999992</v>
      </c>
    </row>
    <row r="163" spans="1:12" x14ac:dyDescent="0.3">
      <c r="A163">
        <v>1939</v>
      </c>
      <c r="B163" s="2">
        <v>45368</v>
      </c>
      <c r="C163" t="s">
        <v>23</v>
      </c>
      <c r="D163" t="s">
        <v>17</v>
      </c>
      <c r="E163" t="s">
        <v>44</v>
      </c>
      <c r="F163" t="s">
        <v>22</v>
      </c>
      <c r="G163">
        <v>14</v>
      </c>
      <c r="H163" s="3">
        <v>453.25</v>
      </c>
      <c r="I163" s="3">
        <v>318.86</v>
      </c>
      <c r="J163" s="3">
        <f t="shared" si="6"/>
        <v>6345.5</v>
      </c>
      <c r="K163" s="3">
        <f t="shared" si="7"/>
        <v>4464.04</v>
      </c>
      <c r="L163" s="3">
        <f t="shared" si="8"/>
        <v>1881.46</v>
      </c>
    </row>
    <row r="164" spans="1:12" x14ac:dyDescent="0.3">
      <c r="A164">
        <v>1096</v>
      </c>
      <c r="B164" s="2">
        <v>45369</v>
      </c>
      <c r="C164" t="s">
        <v>12</v>
      </c>
      <c r="D164" t="s">
        <v>13</v>
      </c>
      <c r="E164" t="s">
        <v>14</v>
      </c>
      <c r="F164" t="s">
        <v>33</v>
      </c>
      <c r="G164">
        <v>6</v>
      </c>
      <c r="H164" s="3">
        <v>3.79</v>
      </c>
      <c r="I164" s="3">
        <v>2.5299999999999998</v>
      </c>
      <c r="J164" s="3">
        <f t="shared" si="6"/>
        <v>22.740000000000002</v>
      </c>
      <c r="K164" s="3">
        <f t="shared" si="7"/>
        <v>15.18</v>
      </c>
      <c r="L164" s="3">
        <f t="shared" si="8"/>
        <v>7.5600000000000023</v>
      </c>
    </row>
    <row r="165" spans="1:12" x14ac:dyDescent="0.3">
      <c r="A165">
        <v>1621</v>
      </c>
      <c r="B165" s="2">
        <v>45369</v>
      </c>
      <c r="C165" t="s">
        <v>16</v>
      </c>
      <c r="D165" t="s">
        <v>13</v>
      </c>
      <c r="E165" t="s">
        <v>31</v>
      </c>
      <c r="F165" t="s">
        <v>15</v>
      </c>
      <c r="G165">
        <v>4</v>
      </c>
      <c r="H165" s="3">
        <v>35.69</v>
      </c>
      <c r="I165" s="3">
        <v>26.39</v>
      </c>
      <c r="J165" s="3">
        <f t="shared" si="6"/>
        <v>142.76</v>
      </c>
      <c r="K165" s="3">
        <f t="shared" si="7"/>
        <v>105.56</v>
      </c>
      <c r="L165" s="3">
        <f t="shared" si="8"/>
        <v>37.199999999999989</v>
      </c>
    </row>
    <row r="166" spans="1:12" x14ac:dyDescent="0.3">
      <c r="A166">
        <v>2253</v>
      </c>
      <c r="B166" s="2">
        <v>45369</v>
      </c>
      <c r="C166" t="s">
        <v>26</v>
      </c>
      <c r="D166" t="s">
        <v>17</v>
      </c>
      <c r="E166" t="s">
        <v>40</v>
      </c>
      <c r="F166" t="s">
        <v>25</v>
      </c>
      <c r="G166">
        <v>10</v>
      </c>
      <c r="H166" s="3">
        <v>549.51</v>
      </c>
      <c r="I166" s="3">
        <v>320.20999999999998</v>
      </c>
      <c r="J166" s="3">
        <f t="shared" si="6"/>
        <v>5495.1</v>
      </c>
      <c r="K166" s="3">
        <f t="shared" si="7"/>
        <v>3202.1</v>
      </c>
      <c r="L166" s="3">
        <f t="shared" si="8"/>
        <v>2293.0000000000005</v>
      </c>
    </row>
    <row r="167" spans="1:12" x14ac:dyDescent="0.3">
      <c r="A167">
        <v>1216</v>
      </c>
      <c r="B167" s="2">
        <v>45370</v>
      </c>
      <c r="C167" t="s">
        <v>32</v>
      </c>
      <c r="D167" t="s">
        <v>13</v>
      </c>
      <c r="E167" t="s">
        <v>46</v>
      </c>
      <c r="F167" t="s">
        <v>39</v>
      </c>
      <c r="G167">
        <v>37</v>
      </c>
      <c r="H167" s="3">
        <v>25.18</v>
      </c>
      <c r="I167" s="3">
        <v>17.350000000000001</v>
      </c>
      <c r="J167" s="3">
        <f t="shared" si="6"/>
        <v>931.66</v>
      </c>
      <c r="K167" s="3">
        <f t="shared" si="7"/>
        <v>641.95000000000005</v>
      </c>
      <c r="L167" s="3">
        <f t="shared" si="8"/>
        <v>289.70999999999992</v>
      </c>
    </row>
    <row r="168" spans="1:12" x14ac:dyDescent="0.3">
      <c r="A168">
        <v>1879</v>
      </c>
      <c r="B168" s="2">
        <v>45370</v>
      </c>
      <c r="C168" t="s">
        <v>26</v>
      </c>
      <c r="D168" t="s">
        <v>20</v>
      </c>
      <c r="E168" t="s">
        <v>34</v>
      </c>
      <c r="F168" t="s">
        <v>19</v>
      </c>
      <c r="G168">
        <v>31</v>
      </c>
      <c r="H168" s="3">
        <v>103.86</v>
      </c>
      <c r="I168" s="3">
        <v>62.62</v>
      </c>
      <c r="J168" s="3">
        <f t="shared" si="6"/>
        <v>3219.66</v>
      </c>
      <c r="K168" s="3">
        <f t="shared" si="7"/>
        <v>1941.22</v>
      </c>
      <c r="L168" s="3">
        <f t="shared" si="8"/>
        <v>1278.4399999999998</v>
      </c>
    </row>
    <row r="169" spans="1:12" x14ac:dyDescent="0.3">
      <c r="A169">
        <v>2315</v>
      </c>
      <c r="B169" s="2">
        <v>45370</v>
      </c>
      <c r="C169" t="s">
        <v>12</v>
      </c>
      <c r="D169" t="s">
        <v>20</v>
      </c>
      <c r="E169" t="s">
        <v>21</v>
      </c>
      <c r="F169" t="s">
        <v>39</v>
      </c>
      <c r="G169">
        <v>1</v>
      </c>
      <c r="H169" s="3">
        <v>69.459999999999994</v>
      </c>
      <c r="I169" s="3">
        <v>41.27</v>
      </c>
      <c r="J169" s="3">
        <f t="shared" si="6"/>
        <v>69.459999999999994</v>
      </c>
      <c r="K169" s="3">
        <f t="shared" si="7"/>
        <v>41.27</v>
      </c>
      <c r="L169" s="3">
        <f t="shared" si="8"/>
        <v>28.189999999999991</v>
      </c>
    </row>
    <row r="170" spans="1:12" x14ac:dyDescent="0.3">
      <c r="A170">
        <v>2445</v>
      </c>
      <c r="B170" s="2">
        <v>45370</v>
      </c>
      <c r="C170" t="s">
        <v>12</v>
      </c>
      <c r="D170" t="s">
        <v>13</v>
      </c>
      <c r="E170" t="s">
        <v>31</v>
      </c>
      <c r="F170" t="s">
        <v>22</v>
      </c>
      <c r="G170">
        <v>21</v>
      </c>
      <c r="H170" s="3">
        <v>5.3</v>
      </c>
      <c r="I170" s="3">
        <v>3.44</v>
      </c>
      <c r="J170" s="3">
        <f t="shared" si="6"/>
        <v>111.3</v>
      </c>
      <c r="K170" s="3">
        <f t="shared" si="7"/>
        <v>72.239999999999995</v>
      </c>
      <c r="L170" s="3">
        <f t="shared" si="8"/>
        <v>39.06</v>
      </c>
    </row>
    <row r="171" spans="1:12" x14ac:dyDescent="0.3">
      <c r="A171">
        <v>2467</v>
      </c>
      <c r="B171" s="2">
        <v>45370</v>
      </c>
      <c r="C171" t="s">
        <v>26</v>
      </c>
      <c r="D171" t="s">
        <v>29</v>
      </c>
      <c r="E171" t="s">
        <v>30</v>
      </c>
      <c r="F171" t="s">
        <v>15</v>
      </c>
      <c r="G171">
        <v>9</v>
      </c>
      <c r="H171" s="3">
        <v>393.8</v>
      </c>
      <c r="I171" s="3">
        <v>258.97000000000003</v>
      </c>
      <c r="J171" s="3">
        <f t="shared" si="6"/>
        <v>3544.2000000000003</v>
      </c>
      <c r="K171" s="3">
        <f t="shared" si="7"/>
        <v>2330.7300000000005</v>
      </c>
      <c r="L171" s="3">
        <f t="shared" si="8"/>
        <v>1213.4699999999998</v>
      </c>
    </row>
    <row r="172" spans="1:12" x14ac:dyDescent="0.3">
      <c r="A172">
        <v>1015</v>
      </c>
      <c r="B172" s="2">
        <v>45372</v>
      </c>
      <c r="C172" t="s">
        <v>26</v>
      </c>
      <c r="D172" t="s">
        <v>20</v>
      </c>
      <c r="E172" t="s">
        <v>42</v>
      </c>
      <c r="F172" t="s">
        <v>19</v>
      </c>
      <c r="G172">
        <v>9</v>
      </c>
      <c r="H172" s="3">
        <v>167.75</v>
      </c>
      <c r="I172" s="3">
        <v>109.31</v>
      </c>
      <c r="J172" s="3">
        <f t="shared" si="6"/>
        <v>1509.75</v>
      </c>
      <c r="K172" s="3">
        <f t="shared" si="7"/>
        <v>983.79</v>
      </c>
      <c r="L172" s="3">
        <f t="shared" si="8"/>
        <v>525.96</v>
      </c>
    </row>
    <row r="173" spans="1:12" x14ac:dyDescent="0.3">
      <c r="A173">
        <v>1149</v>
      </c>
      <c r="B173" s="2">
        <v>45373</v>
      </c>
      <c r="C173" t="s">
        <v>32</v>
      </c>
      <c r="D173" t="s">
        <v>29</v>
      </c>
      <c r="E173" t="s">
        <v>43</v>
      </c>
      <c r="F173" t="s">
        <v>28</v>
      </c>
      <c r="G173">
        <v>39</v>
      </c>
      <c r="H173" s="3">
        <v>266.44</v>
      </c>
      <c r="I173" s="3">
        <v>181.63</v>
      </c>
      <c r="J173" s="3">
        <f t="shared" si="6"/>
        <v>10391.16</v>
      </c>
      <c r="K173" s="3">
        <f t="shared" si="7"/>
        <v>7083.57</v>
      </c>
      <c r="L173" s="3">
        <f t="shared" si="8"/>
        <v>3307.59</v>
      </c>
    </row>
    <row r="174" spans="1:12" x14ac:dyDescent="0.3">
      <c r="A174">
        <v>1427</v>
      </c>
      <c r="B174" s="2">
        <v>45373</v>
      </c>
      <c r="C174" t="s">
        <v>12</v>
      </c>
      <c r="D174" t="s">
        <v>13</v>
      </c>
      <c r="E174" t="s">
        <v>14</v>
      </c>
      <c r="F174" t="s">
        <v>25</v>
      </c>
      <c r="G174">
        <v>7</v>
      </c>
      <c r="H174" s="3">
        <v>53.09</v>
      </c>
      <c r="I174" s="3">
        <v>31.81</v>
      </c>
      <c r="J174" s="3">
        <f t="shared" si="6"/>
        <v>371.63</v>
      </c>
      <c r="K174" s="3">
        <f t="shared" si="7"/>
        <v>222.67</v>
      </c>
      <c r="L174" s="3">
        <f t="shared" si="8"/>
        <v>148.96</v>
      </c>
    </row>
    <row r="175" spans="1:12" x14ac:dyDescent="0.3">
      <c r="A175">
        <v>1434</v>
      </c>
      <c r="B175" s="2">
        <v>45373</v>
      </c>
      <c r="C175" t="s">
        <v>23</v>
      </c>
      <c r="D175" t="s">
        <v>13</v>
      </c>
      <c r="E175" t="s">
        <v>46</v>
      </c>
      <c r="F175" t="s">
        <v>15</v>
      </c>
      <c r="G175">
        <v>19</v>
      </c>
      <c r="H175" s="3">
        <v>33.32</v>
      </c>
      <c r="I175" s="3">
        <v>17.23</v>
      </c>
      <c r="J175" s="3">
        <f t="shared" si="6"/>
        <v>633.08000000000004</v>
      </c>
      <c r="K175" s="3">
        <f t="shared" si="7"/>
        <v>327.37</v>
      </c>
      <c r="L175" s="3">
        <f t="shared" si="8"/>
        <v>305.71000000000004</v>
      </c>
    </row>
    <row r="176" spans="1:12" x14ac:dyDescent="0.3">
      <c r="A176">
        <v>1451</v>
      </c>
      <c r="B176" s="2">
        <v>45373</v>
      </c>
      <c r="C176" t="s">
        <v>23</v>
      </c>
      <c r="D176" t="s">
        <v>17</v>
      </c>
      <c r="E176" t="s">
        <v>40</v>
      </c>
      <c r="F176" t="s">
        <v>36</v>
      </c>
      <c r="G176">
        <v>24</v>
      </c>
      <c r="H176" s="3">
        <v>727.17</v>
      </c>
      <c r="I176" s="3">
        <v>497.08</v>
      </c>
      <c r="J176" s="3">
        <f t="shared" si="6"/>
        <v>17452.079999999998</v>
      </c>
      <c r="K176" s="3">
        <f t="shared" si="7"/>
        <v>11929.92</v>
      </c>
      <c r="L176" s="3">
        <f t="shared" si="8"/>
        <v>5522.159999999998</v>
      </c>
    </row>
    <row r="177" spans="1:12" x14ac:dyDescent="0.3">
      <c r="A177">
        <v>1773</v>
      </c>
      <c r="B177" s="2">
        <v>45373</v>
      </c>
      <c r="C177" t="s">
        <v>26</v>
      </c>
      <c r="D177" t="s">
        <v>13</v>
      </c>
      <c r="E177" t="s">
        <v>31</v>
      </c>
      <c r="F177" t="s">
        <v>28</v>
      </c>
      <c r="G177">
        <v>19</v>
      </c>
      <c r="H177" s="3">
        <v>24.42</v>
      </c>
      <c r="I177" s="3">
        <v>16.64</v>
      </c>
      <c r="J177" s="3">
        <f t="shared" si="6"/>
        <v>463.98</v>
      </c>
      <c r="K177" s="3">
        <f t="shared" si="7"/>
        <v>316.16000000000003</v>
      </c>
      <c r="L177" s="3">
        <f t="shared" si="8"/>
        <v>147.82</v>
      </c>
    </row>
    <row r="178" spans="1:12" x14ac:dyDescent="0.3">
      <c r="A178">
        <v>2098</v>
      </c>
      <c r="B178" s="2">
        <v>45373</v>
      </c>
      <c r="C178" t="s">
        <v>23</v>
      </c>
      <c r="D178" t="s">
        <v>17</v>
      </c>
      <c r="E178" t="s">
        <v>44</v>
      </c>
      <c r="F178" t="s">
        <v>15</v>
      </c>
      <c r="G178">
        <v>20</v>
      </c>
      <c r="H178" s="3">
        <v>577.09</v>
      </c>
      <c r="I178" s="3">
        <v>295.58999999999997</v>
      </c>
      <c r="J178" s="3">
        <f t="shared" si="6"/>
        <v>11541.800000000001</v>
      </c>
      <c r="K178" s="3">
        <f t="shared" si="7"/>
        <v>5911.7999999999993</v>
      </c>
      <c r="L178" s="3">
        <f t="shared" si="8"/>
        <v>5630.0000000000018</v>
      </c>
    </row>
    <row r="179" spans="1:12" x14ac:dyDescent="0.3">
      <c r="A179">
        <v>2260</v>
      </c>
      <c r="B179" s="2">
        <v>45373</v>
      </c>
      <c r="C179" t="s">
        <v>23</v>
      </c>
      <c r="D179" t="s">
        <v>17</v>
      </c>
      <c r="E179" t="s">
        <v>27</v>
      </c>
      <c r="F179" t="s">
        <v>33</v>
      </c>
      <c r="G179">
        <v>38</v>
      </c>
      <c r="H179" s="3">
        <v>707.96</v>
      </c>
      <c r="I179" s="3">
        <v>523.77</v>
      </c>
      <c r="J179" s="3">
        <f t="shared" si="6"/>
        <v>26902.480000000003</v>
      </c>
      <c r="K179" s="3">
        <f t="shared" si="7"/>
        <v>19903.259999999998</v>
      </c>
      <c r="L179" s="3">
        <f t="shared" si="8"/>
        <v>6999.2200000000048</v>
      </c>
    </row>
    <row r="180" spans="1:12" x14ac:dyDescent="0.3">
      <c r="A180">
        <v>1213</v>
      </c>
      <c r="B180" s="2">
        <v>45374</v>
      </c>
      <c r="C180" t="s">
        <v>26</v>
      </c>
      <c r="D180" t="s">
        <v>17</v>
      </c>
      <c r="E180" t="s">
        <v>18</v>
      </c>
      <c r="F180" t="s">
        <v>36</v>
      </c>
      <c r="G180">
        <v>25</v>
      </c>
      <c r="H180" s="3">
        <v>524.27</v>
      </c>
      <c r="I180" s="3">
        <v>327.64999999999998</v>
      </c>
      <c r="J180" s="3">
        <f t="shared" si="6"/>
        <v>13106.75</v>
      </c>
      <c r="K180" s="3">
        <f t="shared" si="7"/>
        <v>8191.2499999999991</v>
      </c>
      <c r="L180" s="3">
        <f t="shared" si="8"/>
        <v>4915.5000000000009</v>
      </c>
    </row>
    <row r="181" spans="1:12" x14ac:dyDescent="0.3">
      <c r="A181">
        <v>1546</v>
      </c>
      <c r="B181" s="2">
        <v>45374</v>
      </c>
      <c r="C181" t="s">
        <v>23</v>
      </c>
      <c r="D181" t="s">
        <v>29</v>
      </c>
      <c r="E181" t="s">
        <v>37</v>
      </c>
      <c r="F181" t="s">
        <v>19</v>
      </c>
      <c r="G181">
        <v>36</v>
      </c>
      <c r="H181" s="3">
        <v>160.22</v>
      </c>
      <c r="I181" s="3">
        <v>116.02</v>
      </c>
      <c r="J181" s="3">
        <f t="shared" si="6"/>
        <v>5767.92</v>
      </c>
      <c r="K181" s="3">
        <f t="shared" si="7"/>
        <v>4176.72</v>
      </c>
      <c r="L181" s="3">
        <f t="shared" si="8"/>
        <v>1591.1999999999998</v>
      </c>
    </row>
    <row r="182" spans="1:12" x14ac:dyDescent="0.3">
      <c r="A182">
        <v>1069</v>
      </c>
      <c r="B182" s="2">
        <v>45375</v>
      </c>
      <c r="C182" t="s">
        <v>12</v>
      </c>
      <c r="D182" t="s">
        <v>13</v>
      </c>
      <c r="E182" t="s">
        <v>24</v>
      </c>
      <c r="F182" t="s">
        <v>25</v>
      </c>
      <c r="G182">
        <v>11</v>
      </c>
      <c r="H182" s="3">
        <v>28.68</v>
      </c>
      <c r="I182" s="3">
        <v>16</v>
      </c>
      <c r="J182" s="3">
        <f t="shared" si="6"/>
        <v>315.48</v>
      </c>
      <c r="K182" s="3">
        <f t="shared" si="7"/>
        <v>176</v>
      </c>
      <c r="L182" s="3">
        <f t="shared" si="8"/>
        <v>139.48000000000002</v>
      </c>
    </row>
    <row r="183" spans="1:12" x14ac:dyDescent="0.3">
      <c r="A183">
        <v>1131</v>
      </c>
      <c r="B183" s="2">
        <v>45375</v>
      </c>
      <c r="C183" t="s">
        <v>16</v>
      </c>
      <c r="D183" t="s">
        <v>13</v>
      </c>
      <c r="E183" t="s">
        <v>31</v>
      </c>
      <c r="F183" t="s">
        <v>15</v>
      </c>
      <c r="G183">
        <v>26</v>
      </c>
      <c r="H183" s="3">
        <v>43.4</v>
      </c>
      <c r="I183" s="3">
        <v>28.68</v>
      </c>
      <c r="J183" s="3">
        <f t="shared" si="6"/>
        <v>1128.3999999999999</v>
      </c>
      <c r="K183" s="3">
        <f t="shared" si="7"/>
        <v>745.68</v>
      </c>
      <c r="L183" s="3">
        <f t="shared" si="8"/>
        <v>382.71999999999991</v>
      </c>
    </row>
    <row r="184" spans="1:12" x14ac:dyDescent="0.3">
      <c r="A184">
        <v>1139</v>
      </c>
      <c r="B184" s="2">
        <v>45375</v>
      </c>
      <c r="C184" t="s">
        <v>32</v>
      </c>
      <c r="D184" t="s">
        <v>13</v>
      </c>
      <c r="E184" t="s">
        <v>45</v>
      </c>
      <c r="F184" t="s">
        <v>33</v>
      </c>
      <c r="G184">
        <v>7</v>
      </c>
      <c r="H184" s="3">
        <v>40.049999999999997</v>
      </c>
      <c r="I184" s="3">
        <v>22.9</v>
      </c>
      <c r="J184" s="3">
        <f t="shared" si="6"/>
        <v>280.34999999999997</v>
      </c>
      <c r="K184" s="3">
        <f t="shared" si="7"/>
        <v>160.29999999999998</v>
      </c>
      <c r="L184" s="3">
        <f t="shared" si="8"/>
        <v>120.04999999999998</v>
      </c>
    </row>
    <row r="185" spans="1:12" x14ac:dyDescent="0.3">
      <c r="A185">
        <v>2342</v>
      </c>
      <c r="B185" s="2">
        <v>45375</v>
      </c>
      <c r="C185" t="s">
        <v>23</v>
      </c>
      <c r="D185" t="s">
        <v>20</v>
      </c>
      <c r="E185" t="s">
        <v>21</v>
      </c>
      <c r="F185" t="s">
        <v>19</v>
      </c>
      <c r="G185">
        <v>25</v>
      </c>
      <c r="H185" s="3">
        <v>234.22</v>
      </c>
      <c r="I185" s="3">
        <v>129.12</v>
      </c>
      <c r="J185" s="3">
        <f t="shared" si="6"/>
        <v>5855.5</v>
      </c>
      <c r="K185" s="3">
        <f t="shared" si="7"/>
        <v>3228</v>
      </c>
      <c r="L185" s="3">
        <f t="shared" si="8"/>
        <v>2627.5</v>
      </c>
    </row>
    <row r="186" spans="1:12" x14ac:dyDescent="0.3">
      <c r="A186">
        <v>2530</v>
      </c>
      <c r="B186" s="2">
        <v>45376</v>
      </c>
      <c r="C186" t="s">
        <v>23</v>
      </c>
      <c r="D186" t="s">
        <v>29</v>
      </c>
      <c r="E186" t="s">
        <v>30</v>
      </c>
      <c r="F186" t="s">
        <v>19</v>
      </c>
      <c r="G186">
        <v>1</v>
      </c>
      <c r="H186" s="3">
        <v>416.68</v>
      </c>
      <c r="I186" s="3">
        <v>232.25</v>
      </c>
      <c r="J186" s="3">
        <f t="shared" si="6"/>
        <v>416.68</v>
      </c>
      <c r="K186" s="3">
        <f t="shared" si="7"/>
        <v>232.25</v>
      </c>
      <c r="L186" s="3">
        <f t="shared" si="8"/>
        <v>184.43</v>
      </c>
    </row>
    <row r="187" spans="1:12" x14ac:dyDescent="0.3">
      <c r="A187">
        <v>1428</v>
      </c>
      <c r="B187" s="2">
        <v>45377</v>
      </c>
      <c r="C187" t="s">
        <v>26</v>
      </c>
      <c r="D187" t="s">
        <v>29</v>
      </c>
      <c r="E187" t="s">
        <v>37</v>
      </c>
      <c r="F187" t="s">
        <v>25</v>
      </c>
      <c r="G187">
        <v>25</v>
      </c>
      <c r="H187" s="3">
        <v>199.35</v>
      </c>
      <c r="I187" s="3">
        <v>106.22</v>
      </c>
      <c r="J187" s="3">
        <f t="shared" si="6"/>
        <v>4983.75</v>
      </c>
      <c r="K187" s="3">
        <f t="shared" si="7"/>
        <v>2655.5</v>
      </c>
      <c r="L187" s="3">
        <f t="shared" si="8"/>
        <v>2328.25</v>
      </c>
    </row>
    <row r="188" spans="1:12" x14ac:dyDescent="0.3">
      <c r="A188">
        <v>1618</v>
      </c>
      <c r="B188" s="2">
        <v>45378</v>
      </c>
      <c r="C188" t="s">
        <v>26</v>
      </c>
      <c r="D188" t="s">
        <v>29</v>
      </c>
      <c r="E188" t="s">
        <v>30</v>
      </c>
      <c r="F188" t="s">
        <v>33</v>
      </c>
      <c r="G188">
        <v>11</v>
      </c>
      <c r="H188" s="3">
        <v>273.58</v>
      </c>
      <c r="I188" s="3">
        <v>175.64</v>
      </c>
      <c r="J188" s="3">
        <f t="shared" si="6"/>
        <v>3009.3799999999997</v>
      </c>
      <c r="K188" s="3">
        <f t="shared" si="7"/>
        <v>1932.04</v>
      </c>
      <c r="L188" s="3">
        <f t="shared" si="8"/>
        <v>1077.3399999999997</v>
      </c>
    </row>
    <row r="189" spans="1:12" x14ac:dyDescent="0.3">
      <c r="A189">
        <v>1702</v>
      </c>
      <c r="B189" s="2">
        <v>45378</v>
      </c>
      <c r="C189" t="s">
        <v>16</v>
      </c>
      <c r="D189" t="s">
        <v>29</v>
      </c>
      <c r="E189" t="s">
        <v>41</v>
      </c>
      <c r="F189" t="s">
        <v>22</v>
      </c>
      <c r="G189">
        <v>32</v>
      </c>
      <c r="H189" s="3">
        <v>263.55</v>
      </c>
      <c r="I189" s="3">
        <v>188.42</v>
      </c>
      <c r="J189" s="3">
        <f t="shared" si="6"/>
        <v>8433.6</v>
      </c>
      <c r="K189" s="3">
        <f t="shared" si="7"/>
        <v>6029.44</v>
      </c>
      <c r="L189" s="3">
        <f t="shared" si="8"/>
        <v>2404.1600000000008</v>
      </c>
    </row>
    <row r="190" spans="1:12" x14ac:dyDescent="0.3">
      <c r="A190">
        <v>1818</v>
      </c>
      <c r="B190" s="2">
        <v>45378</v>
      </c>
      <c r="C190" t="s">
        <v>26</v>
      </c>
      <c r="D190" t="s">
        <v>29</v>
      </c>
      <c r="E190" t="s">
        <v>43</v>
      </c>
      <c r="F190" t="s">
        <v>19</v>
      </c>
      <c r="G190">
        <v>28</v>
      </c>
      <c r="H190" s="3">
        <v>184.3</v>
      </c>
      <c r="I190" s="3">
        <v>135.72999999999999</v>
      </c>
      <c r="J190" s="3">
        <f t="shared" si="6"/>
        <v>5160.4000000000005</v>
      </c>
      <c r="K190" s="3">
        <f t="shared" si="7"/>
        <v>3800.4399999999996</v>
      </c>
      <c r="L190" s="3">
        <f t="shared" si="8"/>
        <v>1359.9600000000009</v>
      </c>
    </row>
    <row r="191" spans="1:12" x14ac:dyDescent="0.3">
      <c r="A191">
        <v>1870</v>
      </c>
      <c r="B191" s="2">
        <v>45378</v>
      </c>
      <c r="C191" t="s">
        <v>26</v>
      </c>
      <c r="D191" t="s">
        <v>13</v>
      </c>
      <c r="E191" t="s">
        <v>24</v>
      </c>
      <c r="F191" t="s">
        <v>36</v>
      </c>
      <c r="G191">
        <v>34</v>
      </c>
      <c r="H191" s="3">
        <v>13.34</v>
      </c>
      <c r="I191" s="3">
        <v>8.9600000000000009</v>
      </c>
      <c r="J191" s="3">
        <f t="shared" si="6"/>
        <v>453.56</v>
      </c>
      <c r="K191" s="3">
        <f t="shared" si="7"/>
        <v>304.64000000000004</v>
      </c>
      <c r="L191" s="3">
        <f t="shared" si="8"/>
        <v>148.91999999999996</v>
      </c>
    </row>
    <row r="192" spans="1:12" x14ac:dyDescent="0.3">
      <c r="A192">
        <v>1067</v>
      </c>
      <c r="B192" s="2">
        <v>45379</v>
      </c>
      <c r="C192" t="s">
        <v>12</v>
      </c>
      <c r="D192" t="s">
        <v>17</v>
      </c>
      <c r="E192" t="s">
        <v>35</v>
      </c>
      <c r="F192" t="s">
        <v>36</v>
      </c>
      <c r="G192">
        <v>39</v>
      </c>
      <c r="H192" s="3">
        <v>560.75</v>
      </c>
      <c r="I192" s="3">
        <v>407.74</v>
      </c>
      <c r="J192" s="3">
        <f t="shared" si="6"/>
        <v>21869.25</v>
      </c>
      <c r="K192" s="3">
        <f t="shared" si="7"/>
        <v>15901.86</v>
      </c>
      <c r="L192" s="3">
        <f t="shared" si="8"/>
        <v>5967.3899999999994</v>
      </c>
    </row>
    <row r="193" spans="1:12" x14ac:dyDescent="0.3">
      <c r="A193">
        <v>1219</v>
      </c>
      <c r="B193" s="2">
        <v>45379</v>
      </c>
      <c r="C193" t="s">
        <v>16</v>
      </c>
      <c r="D193" t="s">
        <v>29</v>
      </c>
      <c r="E193" t="s">
        <v>37</v>
      </c>
      <c r="F193" t="s">
        <v>25</v>
      </c>
      <c r="G193">
        <v>6</v>
      </c>
      <c r="H193" s="3">
        <v>409.23</v>
      </c>
      <c r="I193" s="3">
        <v>244.48</v>
      </c>
      <c r="J193" s="3">
        <f t="shared" si="6"/>
        <v>2455.38</v>
      </c>
      <c r="K193" s="3">
        <f t="shared" si="7"/>
        <v>1466.8799999999999</v>
      </c>
      <c r="L193" s="3">
        <f t="shared" si="8"/>
        <v>988.50000000000023</v>
      </c>
    </row>
    <row r="194" spans="1:12" x14ac:dyDescent="0.3">
      <c r="A194">
        <v>2564</v>
      </c>
      <c r="B194" s="2">
        <v>45379</v>
      </c>
      <c r="C194" t="s">
        <v>23</v>
      </c>
      <c r="D194" t="s">
        <v>20</v>
      </c>
      <c r="E194" t="s">
        <v>42</v>
      </c>
      <c r="F194" t="s">
        <v>36</v>
      </c>
      <c r="G194">
        <v>15</v>
      </c>
      <c r="H194" s="3">
        <v>284.64</v>
      </c>
      <c r="I194" s="3">
        <v>149.94</v>
      </c>
      <c r="J194" s="3">
        <f t="shared" ref="J194:J257" si="9">G194*H194</f>
        <v>4269.5999999999995</v>
      </c>
      <c r="K194" s="3">
        <f t="shared" ref="K194:K257" si="10">G194*I194</f>
        <v>2249.1</v>
      </c>
      <c r="L194" s="3">
        <f t="shared" ref="L194:L257" si="11">J194-K194</f>
        <v>2020.4999999999995</v>
      </c>
    </row>
    <row r="195" spans="1:12" x14ac:dyDescent="0.3">
      <c r="A195">
        <v>1492</v>
      </c>
      <c r="B195" s="2">
        <v>45381</v>
      </c>
      <c r="C195" t="s">
        <v>26</v>
      </c>
      <c r="D195" t="s">
        <v>17</v>
      </c>
      <c r="E195" t="s">
        <v>18</v>
      </c>
      <c r="F195" t="s">
        <v>19</v>
      </c>
      <c r="G195">
        <v>11</v>
      </c>
      <c r="H195" s="3">
        <v>624.55999999999995</v>
      </c>
      <c r="I195" s="3">
        <v>435.21</v>
      </c>
      <c r="J195" s="3">
        <f t="shared" si="9"/>
        <v>6870.16</v>
      </c>
      <c r="K195" s="3">
        <f t="shared" si="10"/>
        <v>4787.3099999999995</v>
      </c>
      <c r="L195" s="3">
        <f t="shared" si="11"/>
        <v>2082.8500000000004</v>
      </c>
    </row>
    <row r="196" spans="1:12" x14ac:dyDescent="0.3">
      <c r="A196">
        <v>1471</v>
      </c>
      <c r="B196" s="2">
        <v>45382</v>
      </c>
      <c r="C196" t="s">
        <v>12</v>
      </c>
      <c r="D196" t="s">
        <v>13</v>
      </c>
      <c r="E196" t="s">
        <v>46</v>
      </c>
      <c r="F196" t="s">
        <v>28</v>
      </c>
      <c r="G196">
        <v>36</v>
      </c>
      <c r="H196" s="3">
        <v>4.22</v>
      </c>
      <c r="I196" s="3">
        <v>2.46</v>
      </c>
      <c r="J196" s="3">
        <f t="shared" si="9"/>
        <v>151.91999999999999</v>
      </c>
      <c r="K196" s="3">
        <f t="shared" si="10"/>
        <v>88.56</v>
      </c>
      <c r="L196" s="3">
        <f t="shared" si="11"/>
        <v>63.359999999999985</v>
      </c>
    </row>
    <row r="197" spans="1:12" x14ac:dyDescent="0.3">
      <c r="A197">
        <v>2664</v>
      </c>
      <c r="B197" s="2">
        <v>45382</v>
      </c>
      <c r="C197" t="s">
        <v>16</v>
      </c>
      <c r="D197" t="s">
        <v>13</v>
      </c>
      <c r="E197" t="s">
        <v>14</v>
      </c>
      <c r="F197" t="s">
        <v>39</v>
      </c>
      <c r="G197">
        <v>20</v>
      </c>
      <c r="H197" s="3">
        <v>7.71</v>
      </c>
      <c r="I197" s="3">
        <v>3.99</v>
      </c>
      <c r="J197" s="3">
        <f t="shared" si="9"/>
        <v>154.19999999999999</v>
      </c>
      <c r="K197" s="3">
        <f t="shared" si="10"/>
        <v>79.800000000000011</v>
      </c>
      <c r="L197" s="3">
        <f t="shared" si="11"/>
        <v>74.399999999999977</v>
      </c>
    </row>
    <row r="198" spans="1:12" x14ac:dyDescent="0.3">
      <c r="A198">
        <v>1642</v>
      </c>
      <c r="B198" s="2">
        <v>45383</v>
      </c>
      <c r="C198" t="s">
        <v>23</v>
      </c>
      <c r="D198" t="s">
        <v>13</v>
      </c>
      <c r="E198" t="s">
        <v>31</v>
      </c>
      <c r="F198" t="s">
        <v>19</v>
      </c>
      <c r="G198">
        <v>4</v>
      </c>
      <c r="H198" s="3">
        <v>27.45</v>
      </c>
      <c r="I198" s="3">
        <v>16.25</v>
      </c>
      <c r="J198" s="3">
        <f t="shared" si="9"/>
        <v>109.8</v>
      </c>
      <c r="K198" s="3">
        <f t="shared" si="10"/>
        <v>65</v>
      </c>
      <c r="L198" s="3">
        <f t="shared" si="11"/>
        <v>44.8</v>
      </c>
    </row>
    <row r="199" spans="1:12" x14ac:dyDescent="0.3">
      <c r="A199">
        <v>1892</v>
      </c>
      <c r="B199" s="2">
        <v>45383</v>
      </c>
      <c r="C199" t="s">
        <v>26</v>
      </c>
      <c r="D199" t="s">
        <v>13</v>
      </c>
      <c r="E199" t="s">
        <v>14</v>
      </c>
      <c r="F199" t="s">
        <v>15</v>
      </c>
      <c r="G199">
        <v>31</v>
      </c>
      <c r="H199" s="3">
        <v>46.5</v>
      </c>
      <c r="I199" s="3">
        <v>34.18</v>
      </c>
      <c r="J199" s="3">
        <f t="shared" si="9"/>
        <v>1441.5</v>
      </c>
      <c r="K199" s="3">
        <f t="shared" si="10"/>
        <v>1059.58</v>
      </c>
      <c r="L199" s="3">
        <f t="shared" si="11"/>
        <v>381.92000000000007</v>
      </c>
    </row>
    <row r="200" spans="1:12" x14ac:dyDescent="0.3">
      <c r="A200">
        <v>1087</v>
      </c>
      <c r="B200" s="2">
        <v>45384</v>
      </c>
      <c r="C200" t="s">
        <v>23</v>
      </c>
      <c r="D200" t="s">
        <v>17</v>
      </c>
      <c r="E200" t="s">
        <v>27</v>
      </c>
      <c r="F200" t="s">
        <v>28</v>
      </c>
      <c r="G200">
        <v>11</v>
      </c>
      <c r="H200" s="3">
        <v>642.96</v>
      </c>
      <c r="I200" s="3">
        <v>368.64</v>
      </c>
      <c r="J200" s="3">
        <f t="shared" si="9"/>
        <v>7072.56</v>
      </c>
      <c r="K200" s="3">
        <f t="shared" si="10"/>
        <v>4055.04</v>
      </c>
      <c r="L200" s="3">
        <f t="shared" si="11"/>
        <v>3017.5200000000004</v>
      </c>
    </row>
    <row r="201" spans="1:12" x14ac:dyDescent="0.3">
      <c r="A201">
        <v>1127</v>
      </c>
      <c r="B201" s="2">
        <v>45384</v>
      </c>
      <c r="C201" t="s">
        <v>16</v>
      </c>
      <c r="D201" t="s">
        <v>20</v>
      </c>
      <c r="E201" t="s">
        <v>21</v>
      </c>
      <c r="F201" t="s">
        <v>22</v>
      </c>
      <c r="G201">
        <v>29</v>
      </c>
      <c r="H201" s="3">
        <v>189.4</v>
      </c>
      <c r="I201" s="3">
        <v>118.44</v>
      </c>
      <c r="J201" s="3">
        <f t="shared" si="9"/>
        <v>5492.6</v>
      </c>
      <c r="K201" s="3">
        <f t="shared" si="10"/>
        <v>3434.7599999999998</v>
      </c>
      <c r="L201" s="3">
        <f t="shared" si="11"/>
        <v>2057.8400000000006</v>
      </c>
    </row>
    <row r="202" spans="1:12" x14ac:dyDescent="0.3">
      <c r="A202">
        <v>1631</v>
      </c>
      <c r="B202" s="2">
        <v>45384</v>
      </c>
      <c r="C202" t="s">
        <v>12</v>
      </c>
      <c r="D202" t="s">
        <v>17</v>
      </c>
      <c r="E202" t="s">
        <v>40</v>
      </c>
      <c r="F202" t="s">
        <v>33</v>
      </c>
      <c r="G202">
        <v>38</v>
      </c>
      <c r="H202" s="3">
        <v>679.28</v>
      </c>
      <c r="I202" s="3">
        <v>376.66</v>
      </c>
      <c r="J202" s="3">
        <f t="shared" si="9"/>
        <v>25812.639999999999</v>
      </c>
      <c r="K202" s="3">
        <f t="shared" si="10"/>
        <v>14313.080000000002</v>
      </c>
      <c r="L202" s="3">
        <f t="shared" si="11"/>
        <v>11499.559999999998</v>
      </c>
    </row>
    <row r="203" spans="1:12" x14ac:dyDescent="0.3">
      <c r="A203">
        <v>2539</v>
      </c>
      <c r="B203" s="2">
        <v>45384</v>
      </c>
      <c r="C203" t="s">
        <v>16</v>
      </c>
      <c r="D203" t="s">
        <v>20</v>
      </c>
      <c r="E203" t="s">
        <v>21</v>
      </c>
      <c r="F203" t="s">
        <v>39</v>
      </c>
      <c r="G203">
        <v>7</v>
      </c>
      <c r="H203" s="3">
        <v>143.07</v>
      </c>
      <c r="I203" s="3">
        <v>75.86</v>
      </c>
      <c r="J203" s="3">
        <f t="shared" si="9"/>
        <v>1001.49</v>
      </c>
      <c r="K203" s="3">
        <f t="shared" si="10"/>
        <v>531.02</v>
      </c>
      <c r="L203" s="3">
        <f t="shared" si="11"/>
        <v>470.47</v>
      </c>
    </row>
    <row r="204" spans="1:12" x14ac:dyDescent="0.3">
      <c r="A204">
        <v>2651</v>
      </c>
      <c r="B204" s="2">
        <v>45384</v>
      </c>
      <c r="C204" t="s">
        <v>12</v>
      </c>
      <c r="D204" t="s">
        <v>20</v>
      </c>
      <c r="E204" t="s">
        <v>38</v>
      </c>
      <c r="F204" t="s">
        <v>36</v>
      </c>
      <c r="G204">
        <v>39</v>
      </c>
      <c r="H204" s="3">
        <v>243.23</v>
      </c>
      <c r="I204" s="3">
        <v>160.83000000000001</v>
      </c>
      <c r="J204" s="3">
        <f t="shared" si="9"/>
        <v>9485.9699999999993</v>
      </c>
      <c r="K204" s="3">
        <f t="shared" si="10"/>
        <v>6272.3700000000008</v>
      </c>
      <c r="L204" s="3">
        <f t="shared" si="11"/>
        <v>3213.5999999999985</v>
      </c>
    </row>
    <row r="205" spans="1:12" x14ac:dyDescent="0.3">
      <c r="A205">
        <v>2510</v>
      </c>
      <c r="B205" s="2">
        <v>45385</v>
      </c>
      <c r="C205" t="s">
        <v>32</v>
      </c>
      <c r="D205" t="s">
        <v>13</v>
      </c>
      <c r="E205" t="s">
        <v>24</v>
      </c>
      <c r="F205" t="s">
        <v>36</v>
      </c>
      <c r="G205">
        <v>29</v>
      </c>
      <c r="H205" s="3">
        <v>14.17</v>
      </c>
      <c r="I205" s="3">
        <v>7.18</v>
      </c>
      <c r="J205" s="3">
        <f t="shared" si="9"/>
        <v>410.93</v>
      </c>
      <c r="K205" s="3">
        <f t="shared" si="10"/>
        <v>208.22</v>
      </c>
      <c r="L205" s="3">
        <f t="shared" si="11"/>
        <v>202.71</v>
      </c>
    </row>
    <row r="206" spans="1:12" x14ac:dyDescent="0.3">
      <c r="A206">
        <v>2737</v>
      </c>
      <c r="B206" s="2">
        <v>45385</v>
      </c>
      <c r="C206" t="s">
        <v>26</v>
      </c>
      <c r="D206" t="s">
        <v>20</v>
      </c>
      <c r="E206" t="s">
        <v>42</v>
      </c>
      <c r="F206" t="s">
        <v>19</v>
      </c>
      <c r="G206">
        <v>25</v>
      </c>
      <c r="H206" s="3">
        <v>161.59</v>
      </c>
      <c r="I206" s="3">
        <v>87.19</v>
      </c>
      <c r="J206" s="3">
        <f t="shared" si="9"/>
        <v>4039.75</v>
      </c>
      <c r="K206" s="3">
        <f t="shared" si="10"/>
        <v>2179.75</v>
      </c>
      <c r="L206" s="3">
        <f t="shared" si="11"/>
        <v>1860</v>
      </c>
    </row>
    <row r="207" spans="1:12" x14ac:dyDescent="0.3">
      <c r="A207">
        <v>1786</v>
      </c>
      <c r="B207" s="2">
        <v>45386</v>
      </c>
      <c r="C207" t="s">
        <v>23</v>
      </c>
      <c r="D207" t="s">
        <v>20</v>
      </c>
      <c r="E207" t="s">
        <v>42</v>
      </c>
      <c r="F207" t="s">
        <v>39</v>
      </c>
      <c r="G207">
        <v>28</v>
      </c>
      <c r="H207" s="3">
        <v>160.18</v>
      </c>
      <c r="I207" s="3">
        <v>101.44</v>
      </c>
      <c r="J207" s="3">
        <f t="shared" si="9"/>
        <v>4485.04</v>
      </c>
      <c r="K207" s="3">
        <f t="shared" si="10"/>
        <v>2840.3199999999997</v>
      </c>
      <c r="L207" s="3">
        <f t="shared" si="11"/>
        <v>1644.7200000000003</v>
      </c>
    </row>
    <row r="208" spans="1:12" x14ac:dyDescent="0.3">
      <c r="A208">
        <v>1938</v>
      </c>
      <c r="B208" s="2">
        <v>45386</v>
      </c>
      <c r="C208" t="s">
        <v>32</v>
      </c>
      <c r="D208" t="s">
        <v>29</v>
      </c>
      <c r="E208" t="s">
        <v>30</v>
      </c>
      <c r="F208" t="s">
        <v>33</v>
      </c>
      <c r="G208">
        <v>36</v>
      </c>
      <c r="H208" s="3">
        <v>351.8</v>
      </c>
      <c r="I208" s="3">
        <v>237.02</v>
      </c>
      <c r="J208" s="3">
        <f t="shared" si="9"/>
        <v>12664.800000000001</v>
      </c>
      <c r="K208" s="3">
        <f t="shared" si="10"/>
        <v>8532.7200000000012</v>
      </c>
      <c r="L208" s="3">
        <f t="shared" si="11"/>
        <v>4132.08</v>
      </c>
    </row>
    <row r="209" spans="1:12" x14ac:dyDescent="0.3">
      <c r="A209">
        <v>2281</v>
      </c>
      <c r="B209" s="2">
        <v>45386</v>
      </c>
      <c r="C209" t="s">
        <v>32</v>
      </c>
      <c r="D209" t="s">
        <v>29</v>
      </c>
      <c r="E209" t="s">
        <v>43</v>
      </c>
      <c r="F209" t="s">
        <v>25</v>
      </c>
      <c r="G209">
        <v>27</v>
      </c>
      <c r="H209" s="3">
        <v>248.24</v>
      </c>
      <c r="I209" s="3">
        <v>149.96</v>
      </c>
      <c r="J209" s="3">
        <f t="shared" si="9"/>
        <v>6702.4800000000005</v>
      </c>
      <c r="K209" s="3">
        <f t="shared" si="10"/>
        <v>4048.92</v>
      </c>
      <c r="L209" s="3">
        <f t="shared" si="11"/>
        <v>2653.5600000000004</v>
      </c>
    </row>
    <row r="210" spans="1:12" x14ac:dyDescent="0.3">
      <c r="A210">
        <v>2311</v>
      </c>
      <c r="B210" s="2">
        <v>45386</v>
      </c>
      <c r="C210" t="s">
        <v>26</v>
      </c>
      <c r="D210" t="s">
        <v>13</v>
      </c>
      <c r="E210" t="s">
        <v>45</v>
      </c>
      <c r="F210" t="s">
        <v>28</v>
      </c>
      <c r="G210">
        <v>25</v>
      </c>
      <c r="H210" s="3">
        <v>16.760000000000002</v>
      </c>
      <c r="I210" s="3">
        <v>9.68</v>
      </c>
      <c r="J210" s="3">
        <f t="shared" si="9"/>
        <v>419.00000000000006</v>
      </c>
      <c r="K210" s="3">
        <f t="shared" si="10"/>
        <v>242</v>
      </c>
      <c r="L210" s="3">
        <f t="shared" si="11"/>
        <v>177.00000000000006</v>
      </c>
    </row>
    <row r="211" spans="1:12" x14ac:dyDescent="0.3">
      <c r="A211">
        <v>1932</v>
      </c>
      <c r="B211" s="2">
        <v>45389</v>
      </c>
      <c r="C211" t="s">
        <v>23</v>
      </c>
      <c r="D211" t="s">
        <v>29</v>
      </c>
      <c r="E211" t="s">
        <v>43</v>
      </c>
      <c r="F211" t="s">
        <v>33</v>
      </c>
      <c r="G211">
        <v>23</v>
      </c>
      <c r="H211" s="3">
        <v>211.53</v>
      </c>
      <c r="I211" s="3">
        <v>126.57</v>
      </c>
      <c r="J211" s="3">
        <f t="shared" si="9"/>
        <v>4865.1899999999996</v>
      </c>
      <c r="K211" s="3">
        <f t="shared" si="10"/>
        <v>2911.1099999999997</v>
      </c>
      <c r="L211" s="3">
        <f t="shared" si="11"/>
        <v>1954.08</v>
      </c>
    </row>
    <row r="212" spans="1:12" x14ac:dyDescent="0.3">
      <c r="A212">
        <v>2165</v>
      </c>
      <c r="B212" s="2">
        <v>45389</v>
      </c>
      <c r="C212" t="s">
        <v>23</v>
      </c>
      <c r="D212" t="s">
        <v>29</v>
      </c>
      <c r="E212" t="s">
        <v>30</v>
      </c>
      <c r="F212" t="s">
        <v>39</v>
      </c>
      <c r="G212">
        <v>15</v>
      </c>
      <c r="H212" s="3">
        <v>206.47</v>
      </c>
      <c r="I212" s="3">
        <v>127.09</v>
      </c>
      <c r="J212" s="3">
        <f t="shared" si="9"/>
        <v>3097.05</v>
      </c>
      <c r="K212" s="3">
        <f t="shared" si="10"/>
        <v>1906.3500000000001</v>
      </c>
      <c r="L212" s="3">
        <f t="shared" si="11"/>
        <v>1190.7</v>
      </c>
    </row>
    <row r="213" spans="1:12" x14ac:dyDescent="0.3">
      <c r="A213">
        <v>2265</v>
      </c>
      <c r="B213" s="2">
        <v>45389</v>
      </c>
      <c r="C213" t="s">
        <v>26</v>
      </c>
      <c r="D213" t="s">
        <v>20</v>
      </c>
      <c r="E213" t="s">
        <v>21</v>
      </c>
      <c r="F213" t="s">
        <v>19</v>
      </c>
      <c r="G213">
        <v>18</v>
      </c>
      <c r="H213" s="3">
        <v>104.99</v>
      </c>
      <c r="I213" s="3">
        <v>77.569999999999993</v>
      </c>
      <c r="J213" s="3">
        <f t="shared" si="9"/>
        <v>1889.82</v>
      </c>
      <c r="K213" s="3">
        <f t="shared" si="10"/>
        <v>1396.2599999999998</v>
      </c>
      <c r="L213" s="3">
        <f t="shared" si="11"/>
        <v>493.56000000000017</v>
      </c>
    </row>
    <row r="214" spans="1:12" x14ac:dyDescent="0.3">
      <c r="A214">
        <v>1767</v>
      </c>
      <c r="B214" s="2">
        <v>45390</v>
      </c>
      <c r="C214" t="s">
        <v>12</v>
      </c>
      <c r="D214" t="s">
        <v>13</v>
      </c>
      <c r="E214" t="s">
        <v>45</v>
      </c>
      <c r="F214" t="s">
        <v>36</v>
      </c>
      <c r="G214">
        <v>33</v>
      </c>
      <c r="H214" s="3">
        <v>21.65</v>
      </c>
      <c r="I214" s="3">
        <v>11.95</v>
      </c>
      <c r="J214" s="3">
        <f t="shared" si="9"/>
        <v>714.44999999999993</v>
      </c>
      <c r="K214" s="3">
        <f t="shared" si="10"/>
        <v>394.34999999999997</v>
      </c>
      <c r="L214" s="3">
        <f t="shared" si="11"/>
        <v>320.09999999999997</v>
      </c>
    </row>
    <row r="215" spans="1:12" x14ac:dyDescent="0.3">
      <c r="A215">
        <v>2698</v>
      </c>
      <c r="B215" s="2">
        <v>45390</v>
      </c>
      <c r="C215" t="s">
        <v>16</v>
      </c>
      <c r="D215" t="s">
        <v>13</v>
      </c>
      <c r="E215" t="s">
        <v>24</v>
      </c>
      <c r="F215" t="s">
        <v>28</v>
      </c>
      <c r="G215">
        <v>11</v>
      </c>
      <c r="H215" s="3">
        <v>13.13</v>
      </c>
      <c r="I215" s="3">
        <v>6.98</v>
      </c>
      <c r="J215" s="3">
        <f t="shared" si="9"/>
        <v>144.43</v>
      </c>
      <c r="K215" s="3">
        <f t="shared" si="10"/>
        <v>76.78</v>
      </c>
      <c r="L215" s="3">
        <f t="shared" si="11"/>
        <v>67.650000000000006</v>
      </c>
    </row>
    <row r="216" spans="1:12" x14ac:dyDescent="0.3">
      <c r="A216">
        <v>1004</v>
      </c>
      <c r="B216" s="2">
        <v>45391</v>
      </c>
      <c r="C216" t="s">
        <v>32</v>
      </c>
      <c r="D216" t="s">
        <v>29</v>
      </c>
      <c r="E216" t="s">
        <v>43</v>
      </c>
      <c r="F216" t="s">
        <v>22</v>
      </c>
      <c r="G216">
        <v>30</v>
      </c>
      <c r="H216" s="3">
        <v>238.98</v>
      </c>
      <c r="I216" s="3">
        <v>169.04</v>
      </c>
      <c r="J216" s="3">
        <f t="shared" si="9"/>
        <v>7169.4</v>
      </c>
      <c r="K216" s="3">
        <f t="shared" si="10"/>
        <v>5071.2</v>
      </c>
      <c r="L216" s="3">
        <f t="shared" si="11"/>
        <v>2098.1999999999998</v>
      </c>
    </row>
    <row r="217" spans="1:12" x14ac:dyDescent="0.3">
      <c r="A217">
        <v>1165</v>
      </c>
      <c r="B217" s="2">
        <v>45391</v>
      </c>
      <c r="C217" t="s">
        <v>26</v>
      </c>
      <c r="D217" t="s">
        <v>29</v>
      </c>
      <c r="E217" t="s">
        <v>41</v>
      </c>
      <c r="F217" t="s">
        <v>36</v>
      </c>
      <c r="G217">
        <v>16</v>
      </c>
      <c r="H217" s="3">
        <v>421.66</v>
      </c>
      <c r="I217" s="3">
        <v>286.85000000000002</v>
      </c>
      <c r="J217" s="3">
        <f t="shared" si="9"/>
        <v>6746.56</v>
      </c>
      <c r="K217" s="3">
        <f t="shared" si="10"/>
        <v>4589.6000000000004</v>
      </c>
      <c r="L217" s="3">
        <f t="shared" si="11"/>
        <v>2156.96</v>
      </c>
    </row>
    <row r="218" spans="1:12" x14ac:dyDescent="0.3">
      <c r="A218">
        <v>2101</v>
      </c>
      <c r="B218" s="2">
        <v>45391</v>
      </c>
      <c r="C218" t="s">
        <v>12</v>
      </c>
      <c r="D218" t="s">
        <v>13</v>
      </c>
      <c r="E218" t="s">
        <v>45</v>
      </c>
      <c r="F218" t="s">
        <v>33</v>
      </c>
      <c r="G218">
        <v>15</v>
      </c>
      <c r="H218" s="3">
        <v>19.41</v>
      </c>
      <c r="I218" s="3">
        <v>12.56</v>
      </c>
      <c r="J218" s="3">
        <f t="shared" si="9"/>
        <v>291.14999999999998</v>
      </c>
      <c r="K218" s="3">
        <f t="shared" si="10"/>
        <v>188.4</v>
      </c>
      <c r="L218" s="3">
        <f t="shared" si="11"/>
        <v>102.74999999999997</v>
      </c>
    </row>
    <row r="219" spans="1:12" x14ac:dyDescent="0.3">
      <c r="A219">
        <v>1206</v>
      </c>
      <c r="B219" s="2">
        <v>45392</v>
      </c>
      <c r="C219" t="s">
        <v>23</v>
      </c>
      <c r="D219" t="s">
        <v>29</v>
      </c>
      <c r="E219" t="s">
        <v>37</v>
      </c>
      <c r="F219" t="s">
        <v>33</v>
      </c>
      <c r="G219">
        <v>21</v>
      </c>
      <c r="H219" s="3">
        <v>172.94</v>
      </c>
      <c r="I219" s="3">
        <v>97.74</v>
      </c>
      <c r="J219" s="3">
        <f t="shared" si="9"/>
        <v>3631.74</v>
      </c>
      <c r="K219" s="3">
        <f t="shared" si="10"/>
        <v>2052.54</v>
      </c>
      <c r="L219" s="3">
        <f t="shared" si="11"/>
        <v>1579.1999999999998</v>
      </c>
    </row>
    <row r="220" spans="1:12" x14ac:dyDescent="0.3">
      <c r="A220">
        <v>1505</v>
      </c>
      <c r="B220" s="2">
        <v>45392</v>
      </c>
      <c r="C220" t="s">
        <v>16</v>
      </c>
      <c r="D220" t="s">
        <v>13</v>
      </c>
      <c r="E220" t="s">
        <v>24</v>
      </c>
      <c r="F220" t="s">
        <v>22</v>
      </c>
      <c r="G220">
        <v>30</v>
      </c>
      <c r="H220" s="3">
        <v>52.29</v>
      </c>
      <c r="I220" s="3">
        <v>26.72</v>
      </c>
      <c r="J220" s="3">
        <f t="shared" si="9"/>
        <v>1568.7</v>
      </c>
      <c r="K220" s="3">
        <f t="shared" si="10"/>
        <v>801.59999999999991</v>
      </c>
      <c r="L220" s="3">
        <f t="shared" si="11"/>
        <v>767.10000000000014</v>
      </c>
    </row>
    <row r="221" spans="1:12" x14ac:dyDescent="0.3">
      <c r="A221">
        <v>1944</v>
      </c>
      <c r="B221" s="2">
        <v>45392</v>
      </c>
      <c r="C221" t="s">
        <v>26</v>
      </c>
      <c r="D221" t="s">
        <v>20</v>
      </c>
      <c r="E221" t="s">
        <v>21</v>
      </c>
      <c r="F221" t="s">
        <v>39</v>
      </c>
      <c r="G221">
        <v>19</v>
      </c>
      <c r="H221" s="3">
        <v>190.09</v>
      </c>
      <c r="I221" s="3">
        <v>119.69</v>
      </c>
      <c r="J221" s="3">
        <f t="shared" si="9"/>
        <v>3611.71</v>
      </c>
      <c r="K221" s="3">
        <f t="shared" si="10"/>
        <v>2274.11</v>
      </c>
      <c r="L221" s="3">
        <f t="shared" si="11"/>
        <v>1337.6</v>
      </c>
    </row>
    <row r="222" spans="1:12" x14ac:dyDescent="0.3">
      <c r="A222">
        <v>1820</v>
      </c>
      <c r="B222" s="2">
        <v>45393</v>
      </c>
      <c r="C222" t="s">
        <v>26</v>
      </c>
      <c r="D222" t="s">
        <v>13</v>
      </c>
      <c r="E222" t="s">
        <v>45</v>
      </c>
      <c r="F222" t="s">
        <v>39</v>
      </c>
      <c r="G222">
        <v>10</v>
      </c>
      <c r="H222" s="3">
        <v>50.46</v>
      </c>
      <c r="I222" s="3">
        <v>27.96</v>
      </c>
      <c r="J222" s="3">
        <f t="shared" si="9"/>
        <v>504.6</v>
      </c>
      <c r="K222" s="3">
        <f t="shared" si="10"/>
        <v>279.60000000000002</v>
      </c>
      <c r="L222" s="3">
        <f t="shared" si="11"/>
        <v>225</v>
      </c>
    </row>
    <row r="223" spans="1:12" x14ac:dyDescent="0.3">
      <c r="A223">
        <v>2157</v>
      </c>
      <c r="B223" s="2">
        <v>45394</v>
      </c>
      <c r="C223" t="s">
        <v>32</v>
      </c>
      <c r="D223" t="s">
        <v>29</v>
      </c>
      <c r="E223" t="s">
        <v>43</v>
      </c>
      <c r="F223" t="s">
        <v>25</v>
      </c>
      <c r="G223">
        <v>28</v>
      </c>
      <c r="H223" s="3">
        <v>176.33</v>
      </c>
      <c r="I223" s="3">
        <v>116.84</v>
      </c>
      <c r="J223" s="3">
        <f t="shared" si="9"/>
        <v>4937.2400000000007</v>
      </c>
      <c r="K223" s="3">
        <f t="shared" si="10"/>
        <v>3271.52</v>
      </c>
      <c r="L223" s="3">
        <f t="shared" si="11"/>
        <v>1665.7200000000007</v>
      </c>
    </row>
    <row r="224" spans="1:12" x14ac:dyDescent="0.3">
      <c r="A224">
        <v>2405</v>
      </c>
      <c r="B224" s="2">
        <v>45394</v>
      </c>
      <c r="C224" t="s">
        <v>32</v>
      </c>
      <c r="D224" t="s">
        <v>17</v>
      </c>
      <c r="E224" t="s">
        <v>27</v>
      </c>
      <c r="F224" t="s">
        <v>15</v>
      </c>
      <c r="G224">
        <v>22</v>
      </c>
      <c r="H224" s="3">
        <v>327.38</v>
      </c>
      <c r="I224" s="3">
        <v>170.14</v>
      </c>
      <c r="J224" s="3">
        <f t="shared" si="9"/>
        <v>7202.36</v>
      </c>
      <c r="K224" s="3">
        <f t="shared" si="10"/>
        <v>3743.08</v>
      </c>
      <c r="L224" s="3">
        <f t="shared" si="11"/>
        <v>3459.2799999999997</v>
      </c>
    </row>
    <row r="225" spans="1:12" x14ac:dyDescent="0.3">
      <c r="A225">
        <v>2430</v>
      </c>
      <c r="B225" s="2">
        <v>45394</v>
      </c>
      <c r="C225" t="s">
        <v>26</v>
      </c>
      <c r="D225" t="s">
        <v>13</v>
      </c>
      <c r="E225" t="s">
        <v>46</v>
      </c>
      <c r="F225" t="s">
        <v>15</v>
      </c>
      <c r="G225">
        <v>1</v>
      </c>
      <c r="H225" s="3">
        <v>22.89</v>
      </c>
      <c r="I225" s="3">
        <v>15.43</v>
      </c>
      <c r="J225" s="3">
        <f t="shared" si="9"/>
        <v>22.89</v>
      </c>
      <c r="K225" s="3">
        <f t="shared" si="10"/>
        <v>15.43</v>
      </c>
      <c r="L225" s="3">
        <f t="shared" si="11"/>
        <v>7.4600000000000009</v>
      </c>
    </row>
    <row r="226" spans="1:12" x14ac:dyDescent="0.3">
      <c r="A226">
        <v>2617</v>
      </c>
      <c r="B226" s="2">
        <v>45394</v>
      </c>
      <c r="C226" t="s">
        <v>26</v>
      </c>
      <c r="D226" t="s">
        <v>29</v>
      </c>
      <c r="E226" t="s">
        <v>43</v>
      </c>
      <c r="F226" t="s">
        <v>36</v>
      </c>
      <c r="G226">
        <v>4</v>
      </c>
      <c r="H226" s="3">
        <v>305.48</v>
      </c>
      <c r="I226" s="3">
        <v>197.71</v>
      </c>
      <c r="J226" s="3">
        <f t="shared" si="9"/>
        <v>1221.92</v>
      </c>
      <c r="K226" s="3">
        <f t="shared" si="10"/>
        <v>790.84</v>
      </c>
      <c r="L226" s="3">
        <f t="shared" si="11"/>
        <v>431.08000000000004</v>
      </c>
    </row>
    <row r="227" spans="1:12" x14ac:dyDescent="0.3">
      <c r="A227">
        <v>1792</v>
      </c>
      <c r="B227" s="2">
        <v>45395</v>
      </c>
      <c r="C227" t="s">
        <v>26</v>
      </c>
      <c r="D227" t="s">
        <v>17</v>
      </c>
      <c r="E227" t="s">
        <v>40</v>
      </c>
      <c r="F227" t="s">
        <v>22</v>
      </c>
      <c r="G227">
        <v>38</v>
      </c>
      <c r="H227" s="3">
        <v>722.93</v>
      </c>
      <c r="I227" s="3">
        <v>429.36</v>
      </c>
      <c r="J227" s="3">
        <f t="shared" si="9"/>
        <v>27471.339999999997</v>
      </c>
      <c r="K227" s="3">
        <f t="shared" si="10"/>
        <v>16315.68</v>
      </c>
      <c r="L227" s="3">
        <f t="shared" si="11"/>
        <v>11155.659999999996</v>
      </c>
    </row>
    <row r="228" spans="1:12" x14ac:dyDescent="0.3">
      <c r="A228">
        <v>2017</v>
      </c>
      <c r="B228" s="2">
        <v>45395</v>
      </c>
      <c r="C228" t="s">
        <v>12</v>
      </c>
      <c r="D228" t="s">
        <v>17</v>
      </c>
      <c r="E228" t="s">
        <v>18</v>
      </c>
      <c r="F228" t="s">
        <v>22</v>
      </c>
      <c r="G228">
        <v>11</v>
      </c>
      <c r="H228" s="3">
        <v>891.54</v>
      </c>
      <c r="I228" s="3">
        <v>647.32000000000005</v>
      </c>
      <c r="J228" s="3">
        <f t="shared" si="9"/>
        <v>9806.9399999999987</v>
      </c>
      <c r="K228" s="3">
        <f t="shared" si="10"/>
        <v>7120.52</v>
      </c>
      <c r="L228" s="3">
        <f t="shared" si="11"/>
        <v>2686.4199999999983</v>
      </c>
    </row>
    <row r="229" spans="1:12" x14ac:dyDescent="0.3">
      <c r="A229">
        <v>2089</v>
      </c>
      <c r="B229" s="2">
        <v>45395</v>
      </c>
      <c r="C229" t="s">
        <v>23</v>
      </c>
      <c r="D229" t="s">
        <v>17</v>
      </c>
      <c r="E229" t="s">
        <v>44</v>
      </c>
      <c r="F229" t="s">
        <v>33</v>
      </c>
      <c r="G229">
        <v>9</v>
      </c>
      <c r="H229" s="3">
        <v>542.73</v>
      </c>
      <c r="I229" s="3">
        <v>401.61</v>
      </c>
      <c r="J229" s="3">
        <f t="shared" si="9"/>
        <v>4884.57</v>
      </c>
      <c r="K229" s="3">
        <f t="shared" si="10"/>
        <v>3614.4900000000002</v>
      </c>
      <c r="L229" s="3">
        <f t="shared" si="11"/>
        <v>1270.0799999999995</v>
      </c>
    </row>
    <row r="230" spans="1:12" x14ac:dyDescent="0.3">
      <c r="A230">
        <v>2361</v>
      </c>
      <c r="B230" s="2">
        <v>45395</v>
      </c>
      <c r="C230" t="s">
        <v>12</v>
      </c>
      <c r="D230" t="s">
        <v>29</v>
      </c>
      <c r="E230" t="s">
        <v>30</v>
      </c>
      <c r="F230" t="s">
        <v>22</v>
      </c>
      <c r="G230">
        <v>33</v>
      </c>
      <c r="H230" s="3">
        <v>90.14</v>
      </c>
      <c r="I230" s="3">
        <v>63.06</v>
      </c>
      <c r="J230" s="3">
        <f t="shared" si="9"/>
        <v>2974.62</v>
      </c>
      <c r="K230" s="3">
        <f t="shared" si="10"/>
        <v>2080.98</v>
      </c>
      <c r="L230" s="3">
        <f t="shared" si="11"/>
        <v>893.63999999999987</v>
      </c>
    </row>
    <row r="231" spans="1:12" x14ac:dyDescent="0.3">
      <c r="A231">
        <v>2542</v>
      </c>
      <c r="B231" s="2">
        <v>45395</v>
      </c>
      <c r="C231" t="s">
        <v>23</v>
      </c>
      <c r="D231" t="s">
        <v>29</v>
      </c>
      <c r="E231" t="s">
        <v>30</v>
      </c>
      <c r="F231" t="s">
        <v>15</v>
      </c>
      <c r="G231">
        <v>16</v>
      </c>
      <c r="H231" s="3">
        <v>456.62</v>
      </c>
      <c r="I231" s="3">
        <v>269.83</v>
      </c>
      <c r="J231" s="3">
        <f t="shared" si="9"/>
        <v>7305.92</v>
      </c>
      <c r="K231" s="3">
        <f t="shared" si="10"/>
        <v>4317.28</v>
      </c>
      <c r="L231" s="3">
        <f t="shared" si="11"/>
        <v>2988.6400000000003</v>
      </c>
    </row>
    <row r="232" spans="1:12" x14ac:dyDescent="0.3">
      <c r="A232">
        <v>1245</v>
      </c>
      <c r="B232" s="2">
        <v>45396</v>
      </c>
      <c r="C232" t="s">
        <v>12</v>
      </c>
      <c r="D232" t="s">
        <v>29</v>
      </c>
      <c r="E232" t="s">
        <v>30</v>
      </c>
      <c r="F232" t="s">
        <v>28</v>
      </c>
      <c r="G232">
        <v>17</v>
      </c>
      <c r="H232" s="3">
        <v>264.41000000000003</v>
      </c>
      <c r="I232" s="3">
        <v>183.48</v>
      </c>
      <c r="J232" s="3">
        <f t="shared" si="9"/>
        <v>4494.97</v>
      </c>
      <c r="K232" s="3">
        <f t="shared" si="10"/>
        <v>3119.16</v>
      </c>
      <c r="L232" s="3">
        <f t="shared" si="11"/>
        <v>1375.8100000000004</v>
      </c>
    </row>
    <row r="233" spans="1:12" x14ac:dyDescent="0.3">
      <c r="A233">
        <v>1281</v>
      </c>
      <c r="B233" s="2">
        <v>45396</v>
      </c>
      <c r="C233" t="s">
        <v>12</v>
      </c>
      <c r="D233" t="s">
        <v>17</v>
      </c>
      <c r="E233" t="s">
        <v>27</v>
      </c>
      <c r="F233" t="s">
        <v>22</v>
      </c>
      <c r="G233">
        <v>15</v>
      </c>
      <c r="H233" s="3">
        <v>169.8</v>
      </c>
      <c r="I233" s="3">
        <v>112.27</v>
      </c>
      <c r="J233" s="3">
        <f t="shared" si="9"/>
        <v>2547</v>
      </c>
      <c r="K233" s="3">
        <f t="shared" si="10"/>
        <v>1684.05</v>
      </c>
      <c r="L233" s="3">
        <f t="shared" si="11"/>
        <v>862.95</v>
      </c>
    </row>
    <row r="234" spans="1:12" x14ac:dyDescent="0.3">
      <c r="A234">
        <v>1770</v>
      </c>
      <c r="B234" s="2">
        <v>45396</v>
      </c>
      <c r="C234" t="s">
        <v>16</v>
      </c>
      <c r="D234" t="s">
        <v>13</v>
      </c>
      <c r="E234" t="s">
        <v>31</v>
      </c>
      <c r="F234" t="s">
        <v>25</v>
      </c>
      <c r="G234">
        <v>39</v>
      </c>
      <c r="H234" s="3">
        <v>38.96</v>
      </c>
      <c r="I234" s="3">
        <v>26.99</v>
      </c>
      <c r="J234" s="3">
        <f t="shared" si="9"/>
        <v>1519.44</v>
      </c>
      <c r="K234" s="3">
        <f t="shared" si="10"/>
        <v>1052.6099999999999</v>
      </c>
      <c r="L234" s="3">
        <f t="shared" si="11"/>
        <v>466.83000000000015</v>
      </c>
    </row>
    <row r="235" spans="1:12" x14ac:dyDescent="0.3">
      <c r="A235">
        <v>2459</v>
      </c>
      <c r="B235" s="2">
        <v>45396</v>
      </c>
      <c r="C235" t="s">
        <v>26</v>
      </c>
      <c r="D235" t="s">
        <v>17</v>
      </c>
      <c r="E235" t="s">
        <v>35</v>
      </c>
      <c r="F235" t="s">
        <v>28</v>
      </c>
      <c r="G235">
        <v>34</v>
      </c>
      <c r="H235" s="3">
        <v>451.82</v>
      </c>
      <c r="I235" s="3">
        <v>336.11</v>
      </c>
      <c r="J235" s="3">
        <f t="shared" si="9"/>
        <v>15361.88</v>
      </c>
      <c r="K235" s="3">
        <f t="shared" si="10"/>
        <v>11427.74</v>
      </c>
      <c r="L235" s="3">
        <f t="shared" si="11"/>
        <v>3934.1399999999994</v>
      </c>
    </row>
    <row r="236" spans="1:12" x14ac:dyDescent="0.3">
      <c r="A236">
        <v>1514</v>
      </c>
      <c r="B236" s="2">
        <v>45397</v>
      </c>
      <c r="C236" t="s">
        <v>23</v>
      </c>
      <c r="D236" t="s">
        <v>17</v>
      </c>
      <c r="E236" t="s">
        <v>40</v>
      </c>
      <c r="F236" t="s">
        <v>25</v>
      </c>
      <c r="G236">
        <v>20</v>
      </c>
      <c r="H236" s="3">
        <v>507.51</v>
      </c>
      <c r="I236" s="3">
        <v>323.27999999999997</v>
      </c>
      <c r="J236" s="3">
        <f t="shared" si="9"/>
        <v>10150.200000000001</v>
      </c>
      <c r="K236" s="3">
        <f t="shared" si="10"/>
        <v>6465.5999999999995</v>
      </c>
      <c r="L236" s="3">
        <f t="shared" si="11"/>
        <v>3684.6000000000013</v>
      </c>
    </row>
    <row r="237" spans="1:12" x14ac:dyDescent="0.3">
      <c r="A237">
        <v>2179</v>
      </c>
      <c r="B237" s="2">
        <v>45397</v>
      </c>
      <c r="C237" t="s">
        <v>16</v>
      </c>
      <c r="D237" t="s">
        <v>20</v>
      </c>
      <c r="E237" t="s">
        <v>34</v>
      </c>
      <c r="F237" t="s">
        <v>28</v>
      </c>
      <c r="G237">
        <v>20</v>
      </c>
      <c r="H237" s="3">
        <v>63.03</v>
      </c>
      <c r="I237" s="3">
        <v>45.39</v>
      </c>
      <c r="J237" s="3">
        <f t="shared" si="9"/>
        <v>1260.5999999999999</v>
      </c>
      <c r="K237" s="3">
        <f t="shared" si="10"/>
        <v>907.8</v>
      </c>
      <c r="L237" s="3">
        <f t="shared" si="11"/>
        <v>352.79999999999995</v>
      </c>
    </row>
    <row r="238" spans="1:12" x14ac:dyDescent="0.3">
      <c r="A238">
        <v>1978</v>
      </c>
      <c r="B238" s="2">
        <v>45399</v>
      </c>
      <c r="C238" t="s">
        <v>12</v>
      </c>
      <c r="D238" t="s">
        <v>20</v>
      </c>
      <c r="E238" t="s">
        <v>21</v>
      </c>
      <c r="F238" t="s">
        <v>25</v>
      </c>
      <c r="G238">
        <v>4</v>
      </c>
      <c r="H238" s="3">
        <v>40.409999999999997</v>
      </c>
      <c r="I238" s="3">
        <v>27.92</v>
      </c>
      <c r="J238" s="3">
        <f t="shared" si="9"/>
        <v>161.63999999999999</v>
      </c>
      <c r="K238" s="3">
        <f t="shared" si="10"/>
        <v>111.68</v>
      </c>
      <c r="L238" s="3">
        <f t="shared" si="11"/>
        <v>49.95999999999998</v>
      </c>
    </row>
    <row r="239" spans="1:12" x14ac:dyDescent="0.3">
      <c r="A239">
        <v>2077</v>
      </c>
      <c r="B239" s="2">
        <v>45399</v>
      </c>
      <c r="C239" t="s">
        <v>32</v>
      </c>
      <c r="D239" t="s">
        <v>17</v>
      </c>
      <c r="E239" t="s">
        <v>44</v>
      </c>
      <c r="F239" t="s">
        <v>36</v>
      </c>
      <c r="G239">
        <v>31</v>
      </c>
      <c r="H239" s="3">
        <v>341.16</v>
      </c>
      <c r="I239" s="3">
        <v>196.7</v>
      </c>
      <c r="J239" s="3">
        <f t="shared" si="9"/>
        <v>10575.960000000001</v>
      </c>
      <c r="K239" s="3">
        <f t="shared" si="10"/>
        <v>6097.7</v>
      </c>
      <c r="L239" s="3">
        <f t="shared" si="11"/>
        <v>4478.2600000000011</v>
      </c>
    </row>
    <row r="240" spans="1:12" x14ac:dyDescent="0.3">
      <c r="A240">
        <v>1542</v>
      </c>
      <c r="B240" s="2">
        <v>45400</v>
      </c>
      <c r="C240" t="s">
        <v>23</v>
      </c>
      <c r="D240" t="s">
        <v>29</v>
      </c>
      <c r="E240" t="s">
        <v>30</v>
      </c>
      <c r="F240" t="s">
        <v>22</v>
      </c>
      <c r="G240">
        <v>5</v>
      </c>
      <c r="H240" s="3">
        <v>406.44</v>
      </c>
      <c r="I240" s="3">
        <v>253.79</v>
      </c>
      <c r="J240" s="3">
        <f t="shared" si="9"/>
        <v>2032.2</v>
      </c>
      <c r="K240" s="3">
        <f t="shared" si="10"/>
        <v>1268.95</v>
      </c>
      <c r="L240" s="3">
        <f t="shared" si="11"/>
        <v>763.25</v>
      </c>
    </row>
    <row r="241" spans="1:12" x14ac:dyDescent="0.3">
      <c r="A241">
        <v>1866</v>
      </c>
      <c r="B241" s="2">
        <v>45400</v>
      </c>
      <c r="C241" t="s">
        <v>16</v>
      </c>
      <c r="D241" t="s">
        <v>29</v>
      </c>
      <c r="E241" t="s">
        <v>30</v>
      </c>
      <c r="F241" t="s">
        <v>39</v>
      </c>
      <c r="G241">
        <v>9</v>
      </c>
      <c r="H241" s="3">
        <v>266.62</v>
      </c>
      <c r="I241" s="3">
        <v>155.41999999999999</v>
      </c>
      <c r="J241" s="3">
        <f t="shared" si="9"/>
        <v>2399.58</v>
      </c>
      <c r="K241" s="3">
        <f t="shared" si="10"/>
        <v>1398.78</v>
      </c>
      <c r="L241" s="3">
        <f t="shared" si="11"/>
        <v>1000.8</v>
      </c>
    </row>
    <row r="242" spans="1:12" x14ac:dyDescent="0.3">
      <c r="A242">
        <v>1044</v>
      </c>
      <c r="B242" s="2">
        <v>45401</v>
      </c>
      <c r="C242" t="s">
        <v>23</v>
      </c>
      <c r="D242" t="s">
        <v>13</v>
      </c>
      <c r="E242" t="s">
        <v>24</v>
      </c>
      <c r="F242" t="s">
        <v>28</v>
      </c>
      <c r="G242">
        <v>4</v>
      </c>
      <c r="H242" s="3">
        <v>55.3</v>
      </c>
      <c r="I242" s="3">
        <v>34.07</v>
      </c>
      <c r="J242" s="3">
        <f t="shared" si="9"/>
        <v>221.2</v>
      </c>
      <c r="K242" s="3">
        <f t="shared" si="10"/>
        <v>136.28</v>
      </c>
      <c r="L242" s="3">
        <f t="shared" si="11"/>
        <v>84.919999999999987</v>
      </c>
    </row>
    <row r="243" spans="1:12" x14ac:dyDescent="0.3">
      <c r="A243">
        <v>1632</v>
      </c>
      <c r="B243" s="2">
        <v>45401</v>
      </c>
      <c r="C243" t="s">
        <v>12</v>
      </c>
      <c r="D243" t="s">
        <v>13</v>
      </c>
      <c r="E243" t="s">
        <v>31</v>
      </c>
      <c r="F243" t="s">
        <v>28</v>
      </c>
      <c r="G243">
        <v>27</v>
      </c>
      <c r="H243" s="3">
        <v>36.6</v>
      </c>
      <c r="I243" s="3">
        <v>26.98</v>
      </c>
      <c r="J243" s="3">
        <f t="shared" si="9"/>
        <v>988.2</v>
      </c>
      <c r="K243" s="3">
        <f t="shared" si="10"/>
        <v>728.46</v>
      </c>
      <c r="L243" s="3">
        <f t="shared" si="11"/>
        <v>259.74</v>
      </c>
    </row>
    <row r="244" spans="1:12" x14ac:dyDescent="0.3">
      <c r="A244">
        <v>2140</v>
      </c>
      <c r="B244" s="2">
        <v>45401</v>
      </c>
      <c r="C244" t="s">
        <v>26</v>
      </c>
      <c r="D244" t="s">
        <v>13</v>
      </c>
      <c r="E244" t="s">
        <v>24</v>
      </c>
      <c r="F244" t="s">
        <v>33</v>
      </c>
      <c r="G244">
        <v>31</v>
      </c>
      <c r="H244" s="3">
        <v>36.799999999999997</v>
      </c>
      <c r="I244" s="3">
        <v>25.59</v>
      </c>
      <c r="J244" s="3">
        <f t="shared" si="9"/>
        <v>1140.8</v>
      </c>
      <c r="K244" s="3">
        <f t="shared" si="10"/>
        <v>793.29</v>
      </c>
      <c r="L244" s="3">
        <f t="shared" si="11"/>
        <v>347.51</v>
      </c>
    </row>
    <row r="245" spans="1:12" x14ac:dyDescent="0.3">
      <c r="A245">
        <v>2523</v>
      </c>
      <c r="B245" s="2">
        <v>45401</v>
      </c>
      <c r="C245" t="s">
        <v>12</v>
      </c>
      <c r="D245" t="s">
        <v>13</v>
      </c>
      <c r="E245" t="s">
        <v>31</v>
      </c>
      <c r="F245" t="s">
        <v>39</v>
      </c>
      <c r="G245">
        <v>27</v>
      </c>
      <c r="H245" s="3">
        <v>51.21</v>
      </c>
      <c r="I245" s="3">
        <v>31.06</v>
      </c>
      <c r="J245" s="3">
        <f t="shared" si="9"/>
        <v>1382.67</v>
      </c>
      <c r="K245" s="3">
        <f t="shared" si="10"/>
        <v>838.62</v>
      </c>
      <c r="L245" s="3">
        <f t="shared" si="11"/>
        <v>544.05000000000007</v>
      </c>
    </row>
    <row r="246" spans="1:12" x14ac:dyDescent="0.3">
      <c r="A246">
        <v>1168</v>
      </c>
      <c r="B246" s="2">
        <v>45402</v>
      </c>
      <c r="C246" t="s">
        <v>23</v>
      </c>
      <c r="D246" t="s">
        <v>13</v>
      </c>
      <c r="E246" t="s">
        <v>31</v>
      </c>
      <c r="F246" t="s">
        <v>33</v>
      </c>
      <c r="G246">
        <v>26</v>
      </c>
      <c r="H246" s="3">
        <v>25.83</v>
      </c>
      <c r="I246" s="3">
        <v>16.489999999999998</v>
      </c>
      <c r="J246" s="3">
        <f t="shared" si="9"/>
        <v>671.57999999999993</v>
      </c>
      <c r="K246" s="3">
        <f t="shared" si="10"/>
        <v>428.73999999999995</v>
      </c>
      <c r="L246" s="3">
        <f t="shared" si="11"/>
        <v>242.83999999999997</v>
      </c>
    </row>
    <row r="247" spans="1:12" x14ac:dyDescent="0.3">
      <c r="A247">
        <v>1470</v>
      </c>
      <c r="B247" s="2">
        <v>45402</v>
      </c>
      <c r="C247" t="s">
        <v>26</v>
      </c>
      <c r="D247" t="s">
        <v>29</v>
      </c>
      <c r="E247" t="s">
        <v>41</v>
      </c>
      <c r="F247" t="s">
        <v>39</v>
      </c>
      <c r="G247">
        <v>25</v>
      </c>
      <c r="H247" s="3">
        <v>459.63</v>
      </c>
      <c r="I247" s="3">
        <v>298.43</v>
      </c>
      <c r="J247" s="3">
        <f t="shared" si="9"/>
        <v>11490.75</v>
      </c>
      <c r="K247" s="3">
        <f t="shared" si="10"/>
        <v>7460.75</v>
      </c>
      <c r="L247" s="3">
        <f t="shared" si="11"/>
        <v>4030</v>
      </c>
    </row>
    <row r="248" spans="1:12" x14ac:dyDescent="0.3">
      <c r="A248">
        <v>2080</v>
      </c>
      <c r="B248" s="2">
        <v>45402</v>
      </c>
      <c r="C248" t="s">
        <v>23</v>
      </c>
      <c r="D248" t="s">
        <v>20</v>
      </c>
      <c r="E248" t="s">
        <v>38</v>
      </c>
      <c r="F248" t="s">
        <v>36</v>
      </c>
      <c r="G248">
        <v>38</v>
      </c>
      <c r="H248" s="3">
        <v>268.25</v>
      </c>
      <c r="I248" s="3">
        <v>198.86</v>
      </c>
      <c r="J248" s="3">
        <f t="shared" si="9"/>
        <v>10193.5</v>
      </c>
      <c r="K248" s="3">
        <f t="shared" si="10"/>
        <v>7556.68</v>
      </c>
      <c r="L248" s="3">
        <f t="shared" si="11"/>
        <v>2636.8199999999997</v>
      </c>
    </row>
    <row r="249" spans="1:12" x14ac:dyDescent="0.3">
      <c r="A249">
        <v>2779</v>
      </c>
      <c r="B249" s="2">
        <v>45402</v>
      </c>
      <c r="C249" t="s">
        <v>12</v>
      </c>
      <c r="D249" t="s">
        <v>13</v>
      </c>
      <c r="E249" t="s">
        <v>45</v>
      </c>
      <c r="F249" t="s">
        <v>39</v>
      </c>
      <c r="G249">
        <v>2</v>
      </c>
      <c r="H249" s="3">
        <v>17.46</v>
      </c>
      <c r="I249" s="3">
        <v>11.75</v>
      </c>
      <c r="J249" s="3">
        <f t="shared" si="9"/>
        <v>34.92</v>
      </c>
      <c r="K249" s="3">
        <f t="shared" si="10"/>
        <v>23.5</v>
      </c>
      <c r="L249" s="3">
        <f t="shared" si="11"/>
        <v>11.420000000000002</v>
      </c>
    </row>
    <row r="250" spans="1:12" x14ac:dyDescent="0.3">
      <c r="A250">
        <v>1517</v>
      </c>
      <c r="B250" s="2">
        <v>45403</v>
      </c>
      <c r="C250" t="s">
        <v>16</v>
      </c>
      <c r="D250" t="s">
        <v>20</v>
      </c>
      <c r="E250" t="s">
        <v>38</v>
      </c>
      <c r="F250" t="s">
        <v>28</v>
      </c>
      <c r="G250">
        <v>4</v>
      </c>
      <c r="H250" s="3">
        <v>272.91000000000003</v>
      </c>
      <c r="I250" s="3">
        <v>179.86</v>
      </c>
      <c r="J250" s="3">
        <f t="shared" si="9"/>
        <v>1091.6400000000001</v>
      </c>
      <c r="K250" s="3">
        <f t="shared" si="10"/>
        <v>719.44</v>
      </c>
      <c r="L250" s="3">
        <f t="shared" si="11"/>
        <v>372.20000000000005</v>
      </c>
    </row>
    <row r="251" spans="1:12" x14ac:dyDescent="0.3">
      <c r="A251">
        <v>1839</v>
      </c>
      <c r="B251" s="2">
        <v>45403</v>
      </c>
      <c r="C251" t="s">
        <v>23</v>
      </c>
      <c r="D251" t="s">
        <v>20</v>
      </c>
      <c r="E251" t="s">
        <v>34</v>
      </c>
      <c r="F251" t="s">
        <v>19</v>
      </c>
      <c r="G251">
        <v>23</v>
      </c>
      <c r="H251" s="3">
        <v>218.58</v>
      </c>
      <c r="I251" s="3">
        <v>115.34</v>
      </c>
      <c r="J251" s="3">
        <f t="shared" si="9"/>
        <v>5027.34</v>
      </c>
      <c r="K251" s="3">
        <f t="shared" si="10"/>
        <v>2652.82</v>
      </c>
      <c r="L251" s="3">
        <f t="shared" si="11"/>
        <v>2374.52</v>
      </c>
    </row>
    <row r="252" spans="1:12" x14ac:dyDescent="0.3">
      <c r="A252">
        <v>1945</v>
      </c>
      <c r="B252" s="2">
        <v>45403</v>
      </c>
      <c r="C252" t="s">
        <v>26</v>
      </c>
      <c r="D252" t="s">
        <v>13</v>
      </c>
      <c r="E252" t="s">
        <v>45</v>
      </c>
      <c r="F252" t="s">
        <v>39</v>
      </c>
      <c r="G252">
        <v>8</v>
      </c>
      <c r="H252" s="3">
        <v>5.03</v>
      </c>
      <c r="I252" s="3">
        <v>2.64</v>
      </c>
      <c r="J252" s="3">
        <f t="shared" si="9"/>
        <v>40.24</v>
      </c>
      <c r="K252" s="3">
        <f t="shared" si="10"/>
        <v>21.12</v>
      </c>
      <c r="L252" s="3">
        <f t="shared" si="11"/>
        <v>19.12</v>
      </c>
    </row>
    <row r="253" spans="1:12" x14ac:dyDescent="0.3">
      <c r="A253">
        <v>2660</v>
      </c>
      <c r="B253" s="2">
        <v>45403</v>
      </c>
      <c r="C253" t="s">
        <v>26</v>
      </c>
      <c r="D253" t="s">
        <v>29</v>
      </c>
      <c r="E253" t="s">
        <v>37</v>
      </c>
      <c r="F253" t="s">
        <v>36</v>
      </c>
      <c r="G253">
        <v>6</v>
      </c>
      <c r="H253" s="3">
        <v>232.35</v>
      </c>
      <c r="I253" s="3">
        <v>166.26</v>
      </c>
      <c r="J253" s="3">
        <f t="shared" si="9"/>
        <v>1394.1</v>
      </c>
      <c r="K253" s="3">
        <f t="shared" si="10"/>
        <v>997.56</v>
      </c>
      <c r="L253" s="3">
        <f t="shared" si="11"/>
        <v>396.53999999999996</v>
      </c>
    </row>
    <row r="254" spans="1:12" x14ac:dyDescent="0.3">
      <c r="A254">
        <v>2551</v>
      </c>
      <c r="B254" s="2">
        <v>45404</v>
      </c>
      <c r="C254" t="s">
        <v>23</v>
      </c>
      <c r="D254" t="s">
        <v>17</v>
      </c>
      <c r="E254" t="s">
        <v>40</v>
      </c>
      <c r="F254" t="s">
        <v>19</v>
      </c>
      <c r="G254">
        <v>14</v>
      </c>
      <c r="H254" s="3">
        <v>792.49</v>
      </c>
      <c r="I254" s="3">
        <v>550.57000000000005</v>
      </c>
      <c r="J254" s="3">
        <f t="shared" si="9"/>
        <v>11094.86</v>
      </c>
      <c r="K254" s="3">
        <f t="shared" si="10"/>
        <v>7707.9800000000005</v>
      </c>
      <c r="L254" s="3">
        <f t="shared" si="11"/>
        <v>3386.88</v>
      </c>
    </row>
    <row r="255" spans="1:12" x14ac:dyDescent="0.3">
      <c r="A255">
        <v>1539</v>
      </c>
      <c r="B255" s="2">
        <v>45405</v>
      </c>
      <c r="C255" t="s">
        <v>12</v>
      </c>
      <c r="D255" t="s">
        <v>29</v>
      </c>
      <c r="E255" t="s">
        <v>43</v>
      </c>
      <c r="F255" t="s">
        <v>28</v>
      </c>
      <c r="G255">
        <v>5</v>
      </c>
      <c r="H255" s="3">
        <v>196.08</v>
      </c>
      <c r="I255" s="3">
        <v>142.32</v>
      </c>
      <c r="J255" s="3">
        <f t="shared" si="9"/>
        <v>980.40000000000009</v>
      </c>
      <c r="K255" s="3">
        <f t="shared" si="10"/>
        <v>711.59999999999991</v>
      </c>
      <c r="L255" s="3">
        <f t="shared" si="11"/>
        <v>268.80000000000018</v>
      </c>
    </row>
    <row r="256" spans="1:12" x14ac:dyDescent="0.3">
      <c r="A256">
        <v>2142</v>
      </c>
      <c r="B256" s="2">
        <v>45405</v>
      </c>
      <c r="C256" t="s">
        <v>23</v>
      </c>
      <c r="D256" t="s">
        <v>13</v>
      </c>
      <c r="E256" t="s">
        <v>45</v>
      </c>
      <c r="F256" t="s">
        <v>33</v>
      </c>
      <c r="G256">
        <v>27</v>
      </c>
      <c r="H256" s="3">
        <v>52.82</v>
      </c>
      <c r="I256" s="3">
        <v>33.83</v>
      </c>
      <c r="J256" s="3">
        <f t="shared" si="9"/>
        <v>1426.14</v>
      </c>
      <c r="K256" s="3">
        <f t="shared" si="10"/>
        <v>913.41</v>
      </c>
      <c r="L256" s="3">
        <f t="shared" si="11"/>
        <v>512.73000000000013</v>
      </c>
    </row>
    <row r="257" spans="1:12" x14ac:dyDescent="0.3">
      <c r="A257">
        <v>2171</v>
      </c>
      <c r="B257" s="2">
        <v>45405</v>
      </c>
      <c r="C257" t="s">
        <v>26</v>
      </c>
      <c r="D257" t="s">
        <v>29</v>
      </c>
      <c r="E257" t="s">
        <v>37</v>
      </c>
      <c r="F257" t="s">
        <v>33</v>
      </c>
      <c r="G257">
        <v>20</v>
      </c>
      <c r="H257" s="3">
        <v>474.61</v>
      </c>
      <c r="I257" s="3">
        <v>352.6</v>
      </c>
      <c r="J257" s="3">
        <f t="shared" si="9"/>
        <v>9492.2000000000007</v>
      </c>
      <c r="K257" s="3">
        <f t="shared" si="10"/>
        <v>7052</v>
      </c>
      <c r="L257" s="3">
        <f t="shared" si="11"/>
        <v>2440.2000000000007</v>
      </c>
    </row>
    <row r="258" spans="1:12" x14ac:dyDescent="0.3">
      <c r="A258">
        <v>1261</v>
      </c>
      <c r="B258" s="2">
        <v>45407</v>
      </c>
      <c r="C258" t="s">
        <v>12</v>
      </c>
      <c r="D258" t="s">
        <v>20</v>
      </c>
      <c r="E258" t="s">
        <v>42</v>
      </c>
      <c r="F258" t="s">
        <v>22</v>
      </c>
      <c r="G258">
        <v>24</v>
      </c>
      <c r="H258" s="3">
        <v>179.15</v>
      </c>
      <c r="I258" s="3">
        <v>105.94</v>
      </c>
      <c r="J258" s="3">
        <f t="shared" ref="J258:J321" si="12">G258*H258</f>
        <v>4299.6000000000004</v>
      </c>
      <c r="K258" s="3">
        <f t="shared" ref="K258:K321" si="13">G258*I258</f>
        <v>2542.56</v>
      </c>
      <c r="L258" s="3">
        <f t="shared" ref="L258:L321" si="14">J258-K258</f>
        <v>1757.0400000000004</v>
      </c>
    </row>
    <row r="259" spans="1:12" x14ac:dyDescent="0.3">
      <c r="A259">
        <v>2793</v>
      </c>
      <c r="B259" s="2">
        <v>45407</v>
      </c>
      <c r="C259" t="s">
        <v>23</v>
      </c>
      <c r="D259" t="s">
        <v>13</v>
      </c>
      <c r="E259" t="s">
        <v>14</v>
      </c>
      <c r="F259" t="s">
        <v>33</v>
      </c>
      <c r="G259">
        <v>17</v>
      </c>
      <c r="H259" s="3">
        <v>39.82</v>
      </c>
      <c r="I259" s="3">
        <v>21.85</v>
      </c>
      <c r="J259" s="3">
        <f t="shared" si="12"/>
        <v>676.94</v>
      </c>
      <c r="K259" s="3">
        <f t="shared" si="13"/>
        <v>371.45000000000005</v>
      </c>
      <c r="L259" s="3">
        <f t="shared" si="14"/>
        <v>305.49</v>
      </c>
    </row>
    <row r="260" spans="1:12" x14ac:dyDescent="0.3">
      <c r="A260">
        <v>1153</v>
      </c>
      <c r="B260" s="2">
        <v>45408</v>
      </c>
      <c r="C260" t="s">
        <v>26</v>
      </c>
      <c r="D260" t="s">
        <v>13</v>
      </c>
      <c r="E260" t="s">
        <v>14</v>
      </c>
      <c r="F260" t="s">
        <v>36</v>
      </c>
      <c r="G260">
        <v>36</v>
      </c>
      <c r="H260" s="3">
        <v>47.17</v>
      </c>
      <c r="I260" s="3">
        <v>30.8</v>
      </c>
      <c r="J260" s="3">
        <f t="shared" si="12"/>
        <v>1698.1200000000001</v>
      </c>
      <c r="K260" s="3">
        <f t="shared" si="13"/>
        <v>1108.8</v>
      </c>
      <c r="L260" s="3">
        <f t="shared" si="14"/>
        <v>589.32000000000016</v>
      </c>
    </row>
    <row r="261" spans="1:12" x14ac:dyDescent="0.3">
      <c r="A261">
        <v>1627</v>
      </c>
      <c r="B261" s="2">
        <v>45408</v>
      </c>
      <c r="C261" t="s">
        <v>12</v>
      </c>
      <c r="D261" t="s">
        <v>13</v>
      </c>
      <c r="E261" t="s">
        <v>45</v>
      </c>
      <c r="F261" t="s">
        <v>39</v>
      </c>
      <c r="G261">
        <v>20</v>
      </c>
      <c r="H261" s="3">
        <v>34.909999999999997</v>
      </c>
      <c r="I261" s="3">
        <v>17.78</v>
      </c>
      <c r="J261" s="3">
        <f t="shared" si="12"/>
        <v>698.19999999999993</v>
      </c>
      <c r="K261" s="3">
        <f t="shared" si="13"/>
        <v>355.6</v>
      </c>
      <c r="L261" s="3">
        <f t="shared" si="14"/>
        <v>342.59999999999991</v>
      </c>
    </row>
    <row r="262" spans="1:12" x14ac:dyDescent="0.3">
      <c r="A262">
        <v>2582</v>
      </c>
      <c r="B262" s="2">
        <v>45408</v>
      </c>
      <c r="C262" t="s">
        <v>16</v>
      </c>
      <c r="D262" t="s">
        <v>20</v>
      </c>
      <c r="E262" t="s">
        <v>42</v>
      </c>
      <c r="F262" t="s">
        <v>25</v>
      </c>
      <c r="G262">
        <v>17</v>
      </c>
      <c r="H262" s="3">
        <v>204.89</v>
      </c>
      <c r="I262" s="3">
        <v>103.79</v>
      </c>
      <c r="J262" s="3">
        <f t="shared" si="12"/>
        <v>3483.1299999999997</v>
      </c>
      <c r="K262" s="3">
        <f t="shared" si="13"/>
        <v>1764.43</v>
      </c>
      <c r="L262" s="3">
        <f t="shared" si="14"/>
        <v>1718.6999999999996</v>
      </c>
    </row>
    <row r="263" spans="1:12" x14ac:dyDescent="0.3">
      <c r="A263">
        <v>1508</v>
      </c>
      <c r="B263" s="2">
        <v>45409</v>
      </c>
      <c r="C263" t="s">
        <v>26</v>
      </c>
      <c r="D263" t="s">
        <v>17</v>
      </c>
      <c r="E263" t="s">
        <v>44</v>
      </c>
      <c r="F263" t="s">
        <v>33</v>
      </c>
      <c r="G263">
        <v>36</v>
      </c>
      <c r="H263" s="3">
        <v>327.52999999999997</v>
      </c>
      <c r="I263" s="3">
        <v>183.81</v>
      </c>
      <c r="J263" s="3">
        <f t="shared" si="12"/>
        <v>11791.079999999998</v>
      </c>
      <c r="K263" s="3">
        <f t="shared" si="13"/>
        <v>6617.16</v>
      </c>
      <c r="L263" s="3">
        <f t="shared" si="14"/>
        <v>5173.9199999999983</v>
      </c>
    </row>
    <row r="264" spans="1:12" x14ac:dyDescent="0.3">
      <c r="A264">
        <v>1706</v>
      </c>
      <c r="B264" s="2">
        <v>45409</v>
      </c>
      <c r="C264" t="s">
        <v>32</v>
      </c>
      <c r="D264" t="s">
        <v>17</v>
      </c>
      <c r="E264" t="s">
        <v>40</v>
      </c>
      <c r="F264" t="s">
        <v>28</v>
      </c>
      <c r="G264">
        <v>36</v>
      </c>
      <c r="H264" s="3">
        <v>401.94</v>
      </c>
      <c r="I264" s="3">
        <v>290.02</v>
      </c>
      <c r="J264" s="3">
        <f t="shared" si="12"/>
        <v>14469.84</v>
      </c>
      <c r="K264" s="3">
        <f t="shared" si="13"/>
        <v>10440.719999999999</v>
      </c>
      <c r="L264" s="3">
        <f t="shared" si="14"/>
        <v>4029.1200000000008</v>
      </c>
    </row>
    <row r="265" spans="1:12" x14ac:dyDescent="0.3">
      <c r="A265">
        <v>2770</v>
      </c>
      <c r="B265" s="2">
        <v>45409</v>
      </c>
      <c r="C265" t="s">
        <v>12</v>
      </c>
      <c r="D265" t="s">
        <v>20</v>
      </c>
      <c r="E265" t="s">
        <v>38</v>
      </c>
      <c r="F265" t="s">
        <v>36</v>
      </c>
      <c r="G265">
        <v>23</v>
      </c>
      <c r="H265" s="3">
        <v>183.06</v>
      </c>
      <c r="I265" s="3">
        <v>120.27</v>
      </c>
      <c r="J265" s="3">
        <f t="shared" si="12"/>
        <v>4210.38</v>
      </c>
      <c r="K265" s="3">
        <f t="shared" si="13"/>
        <v>2766.21</v>
      </c>
      <c r="L265" s="3">
        <f t="shared" si="14"/>
        <v>1444.17</v>
      </c>
    </row>
    <row r="266" spans="1:12" x14ac:dyDescent="0.3">
      <c r="A266">
        <v>1803</v>
      </c>
      <c r="B266" s="2">
        <v>45410</v>
      </c>
      <c r="C266" t="s">
        <v>16</v>
      </c>
      <c r="D266" t="s">
        <v>29</v>
      </c>
      <c r="E266" t="s">
        <v>37</v>
      </c>
      <c r="F266" t="s">
        <v>33</v>
      </c>
      <c r="G266">
        <v>25</v>
      </c>
      <c r="H266" s="3">
        <v>105.99</v>
      </c>
      <c r="I266" s="3">
        <v>75.44</v>
      </c>
      <c r="J266" s="3">
        <f t="shared" si="12"/>
        <v>2649.75</v>
      </c>
      <c r="K266" s="3">
        <f t="shared" si="13"/>
        <v>1886</v>
      </c>
      <c r="L266" s="3">
        <f t="shared" si="14"/>
        <v>763.75</v>
      </c>
    </row>
    <row r="267" spans="1:12" x14ac:dyDescent="0.3">
      <c r="A267">
        <v>2647</v>
      </c>
      <c r="B267" s="2">
        <v>45413</v>
      </c>
      <c r="C267" t="s">
        <v>23</v>
      </c>
      <c r="D267" t="s">
        <v>20</v>
      </c>
      <c r="E267" t="s">
        <v>42</v>
      </c>
      <c r="F267" t="s">
        <v>33</v>
      </c>
      <c r="G267">
        <v>2</v>
      </c>
      <c r="H267" s="3">
        <v>146.99</v>
      </c>
      <c r="I267" s="3">
        <v>76.34</v>
      </c>
      <c r="J267" s="3">
        <f t="shared" si="12"/>
        <v>293.98</v>
      </c>
      <c r="K267" s="3">
        <f t="shared" si="13"/>
        <v>152.68</v>
      </c>
      <c r="L267" s="3">
        <f t="shared" si="14"/>
        <v>141.30000000000001</v>
      </c>
    </row>
    <row r="268" spans="1:12" x14ac:dyDescent="0.3">
      <c r="A268">
        <v>1025</v>
      </c>
      <c r="B268" s="2">
        <v>45414</v>
      </c>
      <c r="C268" t="s">
        <v>16</v>
      </c>
      <c r="D268" t="s">
        <v>13</v>
      </c>
      <c r="E268" t="s">
        <v>46</v>
      </c>
      <c r="F268" t="s">
        <v>22</v>
      </c>
      <c r="G268">
        <v>40</v>
      </c>
      <c r="H268" s="3">
        <v>40.47</v>
      </c>
      <c r="I268" s="3">
        <v>22.87</v>
      </c>
      <c r="J268" s="3">
        <f t="shared" si="12"/>
        <v>1618.8</v>
      </c>
      <c r="K268" s="3">
        <f t="shared" si="13"/>
        <v>914.80000000000007</v>
      </c>
      <c r="L268" s="3">
        <f t="shared" si="14"/>
        <v>703.99999999999989</v>
      </c>
    </row>
    <row r="269" spans="1:12" x14ac:dyDescent="0.3">
      <c r="A269">
        <v>1279</v>
      </c>
      <c r="B269" s="2">
        <v>45414</v>
      </c>
      <c r="C269" t="s">
        <v>26</v>
      </c>
      <c r="D269" t="s">
        <v>13</v>
      </c>
      <c r="E269" t="s">
        <v>31</v>
      </c>
      <c r="F269" t="s">
        <v>22</v>
      </c>
      <c r="G269">
        <v>14</v>
      </c>
      <c r="H269" s="3">
        <v>21.68</v>
      </c>
      <c r="I269" s="3">
        <v>12.77</v>
      </c>
      <c r="J269" s="3">
        <f t="shared" si="12"/>
        <v>303.52</v>
      </c>
      <c r="K269" s="3">
        <f t="shared" si="13"/>
        <v>178.78</v>
      </c>
      <c r="L269" s="3">
        <f t="shared" si="14"/>
        <v>124.73999999999998</v>
      </c>
    </row>
    <row r="270" spans="1:12" x14ac:dyDescent="0.3">
      <c r="A270">
        <v>1930</v>
      </c>
      <c r="B270" s="2">
        <v>45414</v>
      </c>
      <c r="C270" t="s">
        <v>26</v>
      </c>
      <c r="D270" t="s">
        <v>20</v>
      </c>
      <c r="E270" t="s">
        <v>34</v>
      </c>
      <c r="F270" t="s">
        <v>33</v>
      </c>
      <c r="G270">
        <v>38</v>
      </c>
      <c r="H270" s="3">
        <v>200.23</v>
      </c>
      <c r="I270" s="3">
        <v>142.97</v>
      </c>
      <c r="J270" s="3">
        <f t="shared" si="12"/>
        <v>7608.74</v>
      </c>
      <c r="K270" s="3">
        <f t="shared" si="13"/>
        <v>5432.86</v>
      </c>
      <c r="L270" s="3">
        <f t="shared" si="14"/>
        <v>2175.88</v>
      </c>
    </row>
    <row r="271" spans="1:12" x14ac:dyDescent="0.3">
      <c r="A271">
        <v>2464</v>
      </c>
      <c r="B271" s="2">
        <v>45414</v>
      </c>
      <c r="C271" t="s">
        <v>23</v>
      </c>
      <c r="D271" t="s">
        <v>17</v>
      </c>
      <c r="E271" t="s">
        <v>35</v>
      </c>
      <c r="F271" t="s">
        <v>39</v>
      </c>
      <c r="G271">
        <v>26</v>
      </c>
      <c r="H271" s="3">
        <v>369.04</v>
      </c>
      <c r="I271" s="3">
        <v>213.23</v>
      </c>
      <c r="J271" s="3">
        <f t="shared" si="12"/>
        <v>9595.0400000000009</v>
      </c>
      <c r="K271" s="3">
        <f t="shared" si="13"/>
        <v>5543.98</v>
      </c>
      <c r="L271" s="3">
        <f t="shared" si="14"/>
        <v>4051.0600000000013</v>
      </c>
    </row>
    <row r="272" spans="1:12" x14ac:dyDescent="0.3">
      <c r="A272">
        <v>1308</v>
      </c>
      <c r="B272" s="2">
        <v>45415</v>
      </c>
      <c r="C272" t="s">
        <v>23</v>
      </c>
      <c r="D272" t="s">
        <v>13</v>
      </c>
      <c r="E272" t="s">
        <v>24</v>
      </c>
      <c r="F272" t="s">
        <v>39</v>
      </c>
      <c r="G272">
        <v>13</v>
      </c>
      <c r="H272" s="3">
        <v>27.13</v>
      </c>
      <c r="I272" s="3">
        <v>20.329999999999998</v>
      </c>
      <c r="J272" s="3">
        <f t="shared" si="12"/>
        <v>352.69</v>
      </c>
      <c r="K272" s="3">
        <f t="shared" si="13"/>
        <v>264.28999999999996</v>
      </c>
      <c r="L272" s="3">
        <f t="shared" si="14"/>
        <v>88.400000000000034</v>
      </c>
    </row>
    <row r="273" spans="1:12" x14ac:dyDescent="0.3">
      <c r="A273">
        <v>2210</v>
      </c>
      <c r="B273" s="2">
        <v>45415</v>
      </c>
      <c r="C273" t="s">
        <v>32</v>
      </c>
      <c r="D273" t="s">
        <v>29</v>
      </c>
      <c r="E273" t="s">
        <v>30</v>
      </c>
      <c r="F273" t="s">
        <v>33</v>
      </c>
      <c r="G273">
        <v>12</v>
      </c>
      <c r="H273" s="3">
        <v>121.88</v>
      </c>
      <c r="I273" s="3">
        <v>65.67</v>
      </c>
      <c r="J273" s="3">
        <f t="shared" si="12"/>
        <v>1462.56</v>
      </c>
      <c r="K273" s="3">
        <f t="shared" si="13"/>
        <v>788.04</v>
      </c>
      <c r="L273" s="3">
        <f t="shared" si="14"/>
        <v>674.52</v>
      </c>
    </row>
    <row r="274" spans="1:12" x14ac:dyDescent="0.3">
      <c r="A274">
        <v>2485</v>
      </c>
      <c r="B274" s="2">
        <v>45415</v>
      </c>
      <c r="C274" t="s">
        <v>32</v>
      </c>
      <c r="D274" t="s">
        <v>13</v>
      </c>
      <c r="E274" t="s">
        <v>31</v>
      </c>
      <c r="F274" t="s">
        <v>36</v>
      </c>
      <c r="G274">
        <v>35</v>
      </c>
      <c r="H274" s="3">
        <v>36.49</v>
      </c>
      <c r="I274" s="3">
        <v>20.73</v>
      </c>
      <c r="J274" s="3">
        <f t="shared" si="12"/>
        <v>1277.1500000000001</v>
      </c>
      <c r="K274" s="3">
        <f t="shared" si="13"/>
        <v>725.55000000000007</v>
      </c>
      <c r="L274" s="3">
        <f t="shared" si="14"/>
        <v>551.6</v>
      </c>
    </row>
    <row r="275" spans="1:12" x14ac:dyDescent="0.3">
      <c r="A275">
        <v>1635</v>
      </c>
      <c r="B275" s="2">
        <v>45416</v>
      </c>
      <c r="C275" t="s">
        <v>16</v>
      </c>
      <c r="D275" t="s">
        <v>13</v>
      </c>
      <c r="E275" t="s">
        <v>14</v>
      </c>
      <c r="F275" t="s">
        <v>36</v>
      </c>
      <c r="G275">
        <v>1</v>
      </c>
      <c r="H275" s="3">
        <v>25.4</v>
      </c>
      <c r="I275" s="3">
        <v>13.27</v>
      </c>
      <c r="J275" s="3">
        <f t="shared" si="12"/>
        <v>25.4</v>
      </c>
      <c r="K275" s="3">
        <f t="shared" si="13"/>
        <v>13.27</v>
      </c>
      <c r="L275" s="3">
        <f t="shared" si="14"/>
        <v>12.129999999999999</v>
      </c>
    </row>
    <row r="276" spans="1:12" x14ac:dyDescent="0.3">
      <c r="A276">
        <v>2725</v>
      </c>
      <c r="B276" s="2">
        <v>45416</v>
      </c>
      <c r="C276" t="s">
        <v>23</v>
      </c>
      <c r="D276" t="s">
        <v>29</v>
      </c>
      <c r="E276" t="s">
        <v>37</v>
      </c>
      <c r="F276" t="s">
        <v>19</v>
      </c>
      <c r="G276">
        <v>8</v>
      </c>
      <c r="H276" s="3">
        <v>267.58999999999997</v>
      </c>
      <c r="I276" s="3">
        <v>171.06</v>
      </c>
      <c r="J276" s="3">
        <f t="shared" si="12"/>
        <v>2140.7199999999998</v>
      </c>
      <c r="K276" s="3">
        <f t="shared" si="13"/>
        <v>1368.48</v>
      </c>
      <c r="L276" s="3">
        <f t="shared" si="14"/>
        <v>772.23999999999978</v>
      </c>
    </row>
    <row r="277" spans="1:12" x14ac:dyDescent="0.3">
      <c r="A277">
        <v>2733</v>
      </c>
      <c r="B277" s="2">
        <v>45416</v>
      </c>
      <c r="C277" t="s">
        <v>12</v>
      </c>
      <c r="D277" t="s">
        <v>20</v>
      </c>
      <c r="E277" t="s">
        <v>38</v>
      </c>
      <c r="F277" t="s">
        <v>33</v>
      </c>
      <c r="G277">
        <v>10</v>
      </c>
      <c r="H277" s="3">
        <v>27.5</v>
      </c>
      <c r="I277" s="3">
        <v>18.18</v>
      </c>
      <c r="J277" s="3">
        <f t="shared" si="12"/>
        <v>275</v>
      </c>
      <c r="K277" s="3">
        <f t="shared" si="13"/>
        <v>181.8</v>
      </c>
      <c r="L277" s="3">
        <f t="shared" si="14"/>
        <v>93.199999999999989</v>
      </c>
    </row>
    <row r="278" spans="1:12" x14ac:dyDescent="0.3">
      <c r="A278">
        <v>2447</v>
      </c>
      <c r="B278" s="2">
        <v>45417</v>
      </c>
      <c r="C278" t="s">
        <v>12</v>
      </c>
      <c r="D278" t="s">
        <v>20</v>
      </c>
      <c r="E278" t="s">
        <v>34</v>
      </c>
      <c r="F278" t="s">
        <v>15</v>
      </c>
      <c r="G278">
        <v>33</v>
      </c>
      <c r="H278" s="3">
        <v>122.54</v>
      </c>
      <c r="I278" s="3">
        <v>86.44</v>
      </c>
      <c r="J278" s="3">
        <f t="shared" si="12"/>
        <v>4043.82</v>
      </c>
      <c r="K278" s="3">
        <f t="shared" si="13"/>
        <v>2852.52</v>
      </c>
      <c r="L278" s="3">
        <f t="shared" si="14"/>
        <v>1191.3000000000002</v>
      </c>
    </row>
    <row r="279" spans="1:12" x14ac:dyDescent="0.3">
      <c r="A279">
        <v>1601</v>
      </c>
      <c r="B279" s="2">
        <v>45418</v>
      </c>
      <c r="C279" t="s">
        <v>16</v>
      </c>
      <c r="D279" t="s">
        <v>13</v>
      </c>
      <c r="E279" t="s">
        <v>46</v>
      </c>
      <c r="F279" t="s">
        <v>39</v>
      </c>
      <c r="G279">
        <v>12</v>
      </c>
      <c r="H279" s="3">
        <v>4.67</v>
      </c>
      <c r="I279" s="3">
        <v>2.66</v>
      </c>
      <c r="J279" s="3">
        <f t="shared" si="12"/>
        <v>56.04</v>
      </c>
      <c r="K279" s="3">
        <f t="shared" si="13"/>
        <v>31.92</v>
      </c>
      <c r="L279" s="3">
        <f t="shared" si="14"/>
        <v>24.119999999999997</v>
      </c>
    </row>
    <row r="280" spans="1:12" x14ac:dyDescent="0.3">
      <c r="A280">
        <v>2041</v>
      </c>
      <c r="B280" s="2">
        <v>45418</v>
      </c>
      <c r="C280" t="s">
        <v>23</v>
      </c>
      <c r="D280" t="s">
        <v>20</v>
      </c>
      <c r="E280" t="s">
        <v>34</v>
      </c>
      <c r="F280" t="s">
        <v>15</v>
      </c>
      <c r="G280">
        <v>6</v>
      </c>
      <c r="H280" s="3">
        <v>225.14</v>
      </c>
      <c r="I280" s="3">
        <v>113.7</v>
      </c>
      <c r="J280" s="3">
        <f t="shared" si="12"/>
        <v>1350.84</v>
      </c>
      <c r="K280" s="3">
        <f t="shared" si="13"/>
        <v>682.2</v>
      </c>
      <c r="L280" s="3">
        <f t="shared" si="14"/>
        <v>668.63999999999987</v>
      </c>
    </row>
    <row r="281" spans="1:12" x14ac:dyDescent="0.3">
      <c r="A281">
        <v>1824</v>
      </c>
      <c r="B281" s="2">
        <v>45419</v>
      </c>
      <c r="C281" t="s">
        <v>16</v>
      </c>
      <c r="D281" t="s">
        <v>17</v>
      </c>
      <c r="E281" t="s">
        <v>35</v>
      </c>
      <c r="F281" t="s">
        <v>36</v>
      </c>
      <c r="G281">
        <v>5</v>
      </c>
      <c r="H281" s="3">
        <v>336.66</v>
      </c>
      <c r="I281" s="3">
        <v>180.65</v>
      </c>
      <c r="J281" s="3">
        <f t="shared" si="12"/>
        <v>1683.3000000000002</v>
      </c>
      <c r="K281" s="3">
        <f t="shared" si="13"/>
        <v>903.25</v>
      </c>
      <c r="L281" s="3">
        <f t="shared" si="14"/>
        <v>780.05000000000018</v>
      </c>
    </row>
    <row r="282" spans="1:12" x14ac:dyDescent="0.3">
      <c r="A282">
        <v>1882</v>
      </c>
      <c r="B282" s="2">
        <v>45420</v>
      </c>
      <c r="C282" t="s">
        <v>12</v>
      </c>
      <c r="D282" t="s">
        <v>20</v>
      </c>
      <c r="E282" t="s">
        <v>42</v>
      </c>
      <c r="F282" t="s">
        <v>39</v>
      </c>
      <c r="G282">
        <v>26</v>
      </c>
      <c r="H282" s="3">
        <v>255.68</v>
      </c>
      <c r="I282" s="3">
        <v>180.03</v>
      </c>
      <c r="J282" s="3">
        <f t="shared" si="12"/>
        <v>6647.68</v>
      </c>
      <c r="K282" s="3">
        <f t="shared" si="13"/>
        <v>4680.78</v>
      </c>
      <c r="L282" s="3">
        <f t="shared" si="14"/>
        <v>1966.9000000000005</v>
      </c>
    </row>
    <row r="283" spans="1:12" x14ac:dyDescent="0.3">
      <c r="A283">
        <v>1965</v>
      </c>
      <c r="B283" s="2">
        <v>45420</v>
      </c>
      <c r="C283" t="s">
        <v>23</v>
      </c>
      <c r="D283" t="s">
        <v>17</v>
      </c>
      <c r="E283" t="s">
        <v>18</v>
      </c>
      <c r="F283" t="s">
        <v>28</v>
      </c>
      <c r="G283">
        <v>4</v>
      </c>
      <c r="H283" s="3">
        <v>131.11000000000001</v>
      </c>
      <c r="I283" s="3">
        <v>85.04</v>
      </c>
      <c r="J283" s="3">
        <f t="shared" si="12"/>
        <v>524.44000000000005</v>
      </c>
      <c r="K283" s="3">
        <f t="shared" si="13"/>
        <v>340.16</v>
      </c>
      <c r="L283" s="3">
        <f t="shared" si="14"/>
        <v>184.28000000000003</v>
      </c>
    </row>
    <row r="284" spans="1:12" x14ac:dyDescent="0.3">
      <c r="A284">
        <v>2015</v>
      </c>
      <c r="B284" s="2">
        <v>45420</v>
      </c>
      <c r="C284" t="s">
        <v>16</v>
      </c>
      <c r="D284" t="s">
        <v>13</v>
      </c>
      <c r="E284" t="s">
        <v>14</v>
      </c>
      <c r="F284" t="s">
        <v>19</v>
      </c>
      <c r="G284">
        <v>39</v>
      </c>
      <c r="H284" s="3">
        <v>19.350000000000001</v>
      </c>
      <c r="I284" s="3">
        <v>11.71</v>
      </c>
      <c r="J284" s="3">
        <f t="shared" si="12"/>
        <v>754.65000000000009</v>
      </c>
      <c r="K284" s="3">
        <f t="shared" si="13"/>
        <v>456.69000000000005</v>
      </c>
      <c r="L284" s="3">
        <f t="shared" si="14"/>
        <v>297.96000000000004</v>
      </c>
    </row>
    <row r="285" spans="1:12" x14ac:dyDescent="0.3">
      <c r="A285">
        <v>2026</v>
      </c>
      <c r="B285" s="2">
        <v>45421</v>
      </c>
      <c r="C285" t="s">
        <v>23</v>
      </c>
      <c r="D285" t="s">
        <v>29</v>
      </c>
      <c r="E285" t="s">
        <v>30</v>
      </c>
      <c r="F285" t="s">
        <v>25</v>
      </c>
      <c r="G285">
        <v>29</v>
      </c>
      <c r="H285" s="3">
        <v>116.48</v>
      </c>
      <c r="I285" s="3">
        <v>66.349999999999994</v>
      </c>
      <c r="J285" s="3">
        <f t="shared" si="12"/>
        <v>3377.92</v>
      </c>
      <c r="K285" s="3">
        <f t="shared" si="13"/>
        <v>1924.1499999999999</v>
      </c>
      <c r="L285" s="3">
        <f t="shared" si="14"/>
        <v>1453.7700000000002</v>
      </c>
    </row>
    <row r="286" spans="1:12" x14ac:dyDescent="0.3">
      <c r="A286">
        <v>2095</v>
      </c>
      <c r="B286" s="2">
        <v>45421</v>
      </c>
      <c r="C286" t="s">
        <v>12</v>
      </c>
      <c r="D286" t="s">
        <v>20</v>
      </c>
      <c r="E286" t="s">
        <v>21</v>
      </c>
      <c r="F286" t="s">
        <v>15</v>
      </c>
      <c r="G286">
        <v>23</v>
      </c>
      <c r="H286" s="3">
        <v>251.16</v>
      </c>
      <c r="I286" s="3">
        <v>178</v>
      </c>
      <c r="J286" s="3">
        <f t="shared" si="12"/>
        <v>5776.68</v>
      </c>
      <c r="K286" s="3">
        <f t="shared" si="13"/>
        <v>4094</v>
      </c>
      <c r="L286" s="3">
        <f t="shared" si="14"/>
        <v>1682.6800000000003</v>
      </c>
    </row>
    <row r="287" spans="1:12" x14ac:dyDescent="0.3">
      <c r="A287">
        <v>1195</v>
      </c>
      <c r="B287" s="2">
        <v>45422</v>
      </c>
      <c r="C287" t="s">
        <v>12</v>
      </c>
      <c r="D287" t="s">
        <v>17</v>
      </c>
      <c r="E287" t="s">
        <v>27</v>
      </c>
      <c r="F287" t="s">
        <v>15</v>
      </c>
      <c r="G287">
        <v>30</v>
      </c>
      <c r="H287" s="3">
        <v>625.74</v>
      </c>
      <c r="I287" s="3">
        <v>351.59</v>
      </c>
      <c r="J287" s="3">
        <f t="shared" si="12"/>
        <v>18772.2</v>
      </c>
      <c r="K287" s="3">
        <f t="shared" si="13"/>
        <v>10547.699999999999</v>
      </c>
      <c r="L287" s="3">
        <f t="shared" si="14"/>
        <v>8224.5000000000018</v>
      </c>
    </row>
    <row r="288" spans="1:12" x14ac:dyDescent="0.3">
      <c r="A288">
        <v>2152</v>
      </c>
      <c r="B288" s="2">
        <v>45422</v>
      </c>
      <c r="C288" t="s">
        <v>16</v>
      </c>
      <c r="D288" t="s">
        <v>29</v>
      </c>
      <c r="E288" t="s">
        <v>30</v>
      </c>
      <c r="F288" t="s">
        <v>33</v>
      </c>
      <c r="G288">
        <v>21</v>
      </c>
      <c r="H288" s="3">
        <v>164.71</v>
      </c>
      <c r="I288" s="3">
        <v>123.16</v>
      </c>
      <c r="J288" s="3">
        <f t="shared" si="12"/>
        <v>3458.9100000000003</v>
      </c>
      <c r="K288" s="3">
        <f t="shared" si="13"/>
        <v>2586.36</v>
      </c>
      <c r="L288" s="3">
        <f t="shared" si="14"/>
        <v>872.55000000000018</v>
      </c>
    </row>
    <row r="289" spans="1:12" x14ac:dyDescent="0.3">
      <c r="A289">
        <v>2463</v>
      </c>
      <c r="B289" s="2">
        <v>45422</v>
      </c>
      <c r="C289" t="s">
        <v>16</v>
      </c>
      <c r="D289" t="s">
        <v>17</v>
      </c>
      <c r="E289" t="s">
        <v>44</v>
      </c>
      <c r="F289" t="s">
        <v>36</v>
      </c>
      <c r="G289">
        <v>22</v>
      </c>
      <c r="H289" s="3">
        <v>456.71</v>
      </c>
      <c r="I289" s="3">
        <v>340.13</v>
      </c>
      <c r="J289" s="3">
        <f t="shared" si="12"/>
        <v>10047.619999999999</v>
      </c>
      <c r="K289" s="3">
        <f t="shared" si="13"/>
        <v>7482.86</v>
      </c>
      <c r="L289" s="3">
        <f t="shared" si="14"/>
        <v>2564.7599999999993</v>
      </c>
    </row>
    <row r="290" spans="1:12" x14ac:dyDescent="0.3">
      <c r="A290">
        <v>1449</v>
      </c>
      <c r="B290" s="2">
        <v>45424</v>
      </c>
      <c r="C290" t="s">
        <v>12</v>
      </c>
      <c r="D290" t="s">
        <v>17</v>
      </c>
      <c r="E290" t="s">
        <v>44</v>
      </c>
      <c r="F290" t="s">
        <v>25</v>
      </c>
      <c r="G290">
        <v>32</v>
      </c>
      <c r="H290" s="3">
        <v>220.96</v>
      </c>
      <c r="I290" s="3">
        <v>137.54</v>
      </c>
      <c r="J290" s="3">
        <f t="shared" si="12"/>
        <v>7070.72</v>
      </c>
      <c r="K290" s="3">
        <f t="shared" si="13"/>
        <v>4401.28</v>
      </c>
      <c r="L290" s="3">
        <f t="shared" si="14"/>
        <v>2669.4400000000005</v>
      </c>
    </row>
    <row r="291" spans="1:12" x14ac:dyDescent="0.3">
      <c r="A291">
        <v>1496</v>
      </c>
      <c r="B291" s="2">
        <v>45424</v>
      </c>
      <c r="C291" t="s">
        <v>16</v>
      </c>
      <c r="D291" t="s">
        <v>20</v>
      </c>
      <c r="E291" t="s">
        <v>21</v>
      </c>
      <c r="F291" t="s">
        <v>28</v>
      </c>
      <c r="G291">
        <v>12</v>
      </c>
      <c r="H291" s="3">
        <v>74.2</v>
      </c>
      <c r="I291" s="3">
        <v>39.29</v>
      </c>
      <c r="J291" s="3">
        <f t="shared" si="12"/>
        <v>890.40000000000009</v>
      </c>
      <c r="K291" s="3">
        <f t="shared" si="13"/>
        <v>471.48</v>
      </c>
      <c r="L291" s="3">
        <f t="shared" si="14"/>
        <v>418.92000000000007</v>
      </c>
    </row>
    <row r="292" spans="1:12" x14ac:dyDescent="0.3">
      <c r="A292">
        <v>1692</v>
      </c>
      <c r="B292" s="2">
        <v>45425</v>
      </c>
      <c r="C292" t="s">
        <v>23</v>
      </c>
      <c r="D292" t="s">
        <v>13</v>
      </c>
      <c r="E292" t="s">
        <v>14</v>
      </c>
      <c r="F292" t="s">
        <v>25</v>
      </c>
      <c r="G292">
        <v>24</v>
      </c>
      <c r="H292" s="3">
        <v>25.96</v>
      </c>
      <c r="I292" s="3">
        <v>18.64</v>
      </c>
      <c r="J292" s="3">
        <f t="shared" si="12"/>
        <v>623.04</v>
      </c>
      <c r="K292" s="3">
        <f t="shared" si="13"/>
        <v>447.36</v>
      </c>
      <c r="L292" s="3">
        <f t="shared" si="14"/>
        <v>175.67999999999995</v>
      </c>
    </row>
    <row r="293" spans="1:12" x14ac:dyDescent="0.3">
      <c r="A293">
        <v>2614</v>
      </c>
      <c r="B293" s="2">
        <v>45425</v>
      </c>
      <c r="C293" t="s">
        <v>12</v>
      </c>
      <c r="D293" t="s">
        <v>20</v>
      </c>
      <c r="E293" t="s">
        <v>38</v>
      </c>
      <c r="F293" t="s">
        <v>15</v>
      </c>
      <c r="G293">
        <v>4</v>
      </c>
      <c r="H293" s="3">
        <v>117.17</v>
      </c>
      <c r="I293" s="3">
        <v>85.69</v>
      </c>
      <c r="J293" s="3">
        <f t="shared" si="12"/>
        <v>468.68</v>
      </c>
      <c r="K293" s="3">
        <f t="shared" si="13"/>
        <v>342.76</v>
      </c>
      <c r="L293" s="3">
        <f t="shared" si="14"/>
        <v>125.92000000000002</v>
      </c>
    </row>
    <row r="294" spans="1:12" x14ac:dyDescent="0.3">
      <c r="A294">
        <v>2066</v>
      </c>
      <c r="B294" s="2">
        <v>45426</v>
      </c>
      <c r="C294" t="s">
        <v>26</v>
      </c>
      <c r="D294" t="s">
        <v>20</v>
      </c>
      <c r="E294" t="s">
        <v>42</v>
      </c>
      <c r="F294" t="s">
        <v>22</v>
      </c>
      <c r="G294">
        <v>29</v>
      </c>
      <c r="H294" s="3">
        <v>172.34</v>
      </c>
      <c r="I294" s="3">
        <v>128.54</v>
      </c>
      <c r="J294" s="3">
        <f t="shared" si="12"/>
        <v>4997.8599999999997</v>
      </c>
      <c r="K294" s="3">
        <f t="shared" si="13"/>
        <v>3727.66</v>
      </c>
      <c r="L294" s="3">
        <f t="shared" si="14"/>
        <v>1270.1999999999998</v>
      </c>
    </row>
    <row r="295" spans="1:12" x14ac:dyDescent="0.3">
      <c r="A295">
        <v>2072</v>
      </c>
      <c r="B295" s="2">
        <v>45427</v>
      </c>
      <c r="C295" t="s">
        <v>32</v>
      </c>
      <c r="D295" t="s">
        <v>17</v>
      </c>
      <c r="E295" t="s">
        <v>18</v>
      </c>
      <c r="F295" t="s">
        <v>15</v>
      </c>
      <c r="G295">
        <v>12</v>
      </c>
      <c r="H295" s="3">
        <v>294.33</v>
      </c>
      <c r="I295" s="3">
        <v>167.24</v>
      </c>
      <c r="J295" s="3">
        <f t="shared" si="12"/>
        <v>3531.96</v>
      </c>
      <c r="K295" s="3">
        <f t="shared" si="13"/>
        <v>2006.88</v>
      </c>
      <c r="L295" s="3">
        <f t="shared" si="14"/>
        <v>1525.08</v>
      </c>
    </row>
    <row r="296" spans="1:12" x14ac:dyDescent="0.3">
      <c r="A296">
        <v>2128</v>
      </c>
      <c r="B296" s="2">
        <v>45427</v>
      </c>
      <c r="C296" t="s">
        <v>16</v>
      </c>
      <c r="D296" t="s">
        <v>29</v>
      </c>
      <c r="E296" t="s">
        <v>30</v>
      </c>
      <c r="F296" t="s">
        <v>39</v>
      </c>
      <c r="G296">
        <v>15</v>
      </c>
      <c r="H296" s="3">
        <v>280.45999999999998</v>
      </c>
      <c r="I296" s="3">
        <v>202.05</v>
      </c>
      <c r="J296" s="3">
        <f t="shared" si="12"/>
        <v>4206.8999999999996</v>
      </c>
      <c r="K296" s="3">
        <f t="shared" si="13"/>
        <v>3030.75</v>
      </c>
      <c r="L296" s="3">
        <f t="shared" si="14"/>
        <v>1176.1499999999996</v>
      </c>
    </row>
    <row r="297" spans="1:12" x14ac:dyDescent="0.3">
      <c r="A297">
        <v>2317</v>
      </c>
      <c r="B297" s="2">
        <v>45427</v>
      </c>
      <c r="C297" t="s">
        <v>16</v>
      </c>
      <c r="D297" t="s">
        <v>17</v>
      </c>
      <c r="E297" t="s">
        <v>18</v>
      </c>
      <c r="F297" t="s">
        <v>28</v>
      </c>
      <c r="G297">
        <v>24</v>
      </c>
      <c r="H297" s="3">
        <v>727.24</v>
      </c>
      <c r="I297" s="3">
        <v>430.58</v>
      </c>
      <c r="J297" s="3">
        <f t="shared" si="12"/>
        <v>17453.760000000002</v>
      </c>
      <c r="K297" s="3">
        <f t="shared" si="13"/>
        <v>10333.92</v>
      </c>
      <c r="L297" s="3">
        <f t="shared" si="14"/>
        <v>7119.840000000002</v>
      </c>
    </row>
    <row r="298" spans="1:12" x14ac:dyDescent="0.3">
      <c r="A298">
        <v>1771</v>
      </c>
      <c r="B298" s="2">
        <v>45428</v>
      </c>
      <c r="C298" t="s">
        <v>32</v>
      </c>
      <c r="D298" t="s">
        <v>13</v>
      </c>
      <c r="E298" t="s">
        <v>31</v>
      </c>
      <c r="F298" t="s">
        <v>28</v>
      </c>
      <c r="G298">
        <v>5</v>
      </c>
      <c r="H298" s="3">
        <v>37.69</v>
      </c>
      <c r="I298" s="3">
        <v>24.88</v>
      </c>
      <c r="J298" s="3">
        <f t="shared" si="12"/>
        <v>188.45</v>
      </c>
      <c r="K298" s="3">
        <f t="shared" si="13"/>
        <v>124.39999999999999</v>
      </c>
      <c r="L298" s="3">
        <f t="shared" si="14"/>
        <v>64.05</v>
      </c>
    </row>
    <row r="299" spans="1:12" x14ac:dyDescent="0.3">
      <c r="A299">
        <v>1834</v>
      </c>
      <c r="B299" s="2">
        <v>45428</v>
      </c>
      <c r="C299" t="s">
        <v>16</v>
      </c>
      <c r="D299" t="s">
        <v>29</v>
      </c>
      <c r="E299" t="s">
        <v>30</v>
      </c>
      <c r="F299" t="s">
        <v>36</v>
      </c>
      <c r="G299">
        <v>32</v>
      </c>
      <c r="H299" s="3">
        <v>127.56</v>
      </c>
      <c r="I299" s="3">
        <v>71.75</v>
      </c>
      <c r="J299" s="3">
        <f t="shared" si="12"/>
        <v>4081.92</v>
      </c>
      <c r="K299" s="3">
        <f t="shared" si="13"/>
        <v>2296</v>
      </c>
      <c r="L299" s="3">
        <f t="shared" si="14"/>
        <v>1785.92</v>
      </c>
    </row>
    <row r="300" spans="1:12" x14ac:dyDescent="0.3">
      <c r="A300">
        <v>1858</v>
      </c>
      <c r="B300" s="2">
        <v>45428</v>
      </c>
      <c r="C300" t="s">
        <v>32</v>
      </c>
      <c r="D300" t="s">
        <v>17</v>
      </c>
      <c r="E300" t="s">
        <v>44</v>
      </c>
      <c r="F300" t="s">
        <v>39</v>
      </c>
      <c r="G300">
        <v>35</v>
      </c>
      <c r="H300" s="3">
        <v>157.6</v>
      </c>
      <c r="I300" s="3">
        <v>91.59</v>
      </c>
      <c r="J300" s="3">
        <f t="shared" si="12"/>
        <v>5516</v>
      </c>
      <c r="K300" s="3">
        <f t="shared" si="13"/>
        <v>3205.65</v>
      </c>
      <c r="L300" s="3">
        <f t="shared" si="14"/>
        <v>2310.35</v>
      </c>
    </row>
    <row r="301" spans="1:12" x14ac:dyDescent="0.3">
      <c r="A301">
        <v>1876</v>
      </c>
      <c r="B301" s="2">
        <v>45428</v>
      </c>
      <c r="C301" t="s">
        <v>26</v>
      </c>
      <c r="D301" t="s">
        <v>17</v>
      </c>
      <c r="E301" t="s">
        <v>40</v>
      </c>
      <c r="F301" t="s">
        <v>33</v>
      </c>
      <c r="G301">
        <v>9</v>
      </c>
      <c r="H301" s="3">
        <v>307.55</v>
      </c>
      <c r="I301" s="3">
        <v>223.97</v>
      </c>
      <c r="J301" s="3">
        <f t="shared" si="12"/>
        <v>2767.9500000000003</v>
      </c>
      <c r="K301" s="3">
        <f t="shared" si="13"/>
        <v>2015.73</v>
      </c>
      <c r="L301" s="3">
        <f t="shared" si="14"/>
        <v>752.22000000000025</v>
      </c>
    </row>
    <row r="302" spans="1:12" x14ac:dyDescent="0.3">
      <c r="A302">
        <v>1202</v>
      </c>
      <c r="B302" s="2">
        <v>45429</v>
      </c>
      <c r="C302" t="s">
        <v>23</v>
      </c>
      <c r="D302" t="s">
        <v>13</v>
      </c>
      <c r="E302" t="s">
        <v>31</v>
      </c>
      <c r="F302" t="s">
        <v>39</v>
      </c>
      <c r="G302">
        <v>22</v>
      </c>
      <c r="H302" s="3">
        <v>55.57</v>
      </c>
      <c r="I302" s="3">
        <v>37.85</v>
      </c>
      <c r="J302" s="3">
        <f t="shared" si="12"/>
        <v>1222.54</v>
      </c>
      <c r="K302" s="3">
        <f t="shared" si="13"/>
        <v>832.7</v>
      </c>
      <c r="L302" s="3">
        <f t="shared" si="14"/>
        <v>389.83999999999992</v>
      </c>
    </row>
    <row r="303" spans="1:12" x14ac:dyDescent="0.3">
      <c r="A303">
        <v>2198</v>
      </c>
      <c r="B303" s="2">
        <v>45429</v>
      </c>
      <c r="C303" t="s">
        <v>32</v>
      </c>
      <c r="D303" t="s">
        <v>13</v>
      </c>
      <c r="E303" t="s">
        <v>46</v>
      </c>
      <c r="F303" t="s">
        <v>19</v>
      </c>
      <c r="G303">
        <v>7</v>
      </c>
      <c r="H303" s="3">
        <v>47.7</v>
      </c>
      <c r="I303" s="3">
        <v>27.59</v>
      </c>
      <c r="J303" s="3">
        <f t="shared" si="12"/>
        <v>333.90000000000003</v>
      </c>
      <c r="K303" s="3">
        <f t="shared" si="13"/>
        <v>193.13</v>
      </c>
      <c r="L303" s="3">
        <f t="shared" si="14"/>
        <v>140.77000000000004</v>
      </c>
    </row>
    <row r="304" spans="1:12" x14ac:dyDescent="0.3">
      <c r="A304">
        <v>2457</v>
      </c>
      <c r="B304" s="2">
        <v>45429</v>
      </c>
      <c r="C304" t="s">
        <v>23</v>
      </c>
      <c r="D304" t="s">
        <v>17</v>
      </c>
      <c r="E304" t="s">
        <v>40</v>
      </c>
      <c r="F304" t="s">
        <v>22</v>
      </c>
      <c r="G304">
        <v>19</v>
      </c>
      <c r="H304" s="3">
        <v>636.94000000000005</v>
      </c>
      <c r="I304" s="3">
        <v>464.41</v>
      </c>
      <c r="J304" s="3">
        <f t="shared" si="12"/>
        <v>12101.86</v>
      </c>
      <c r="K304" s="3">
        <f t="shared" si="13"/>
        <v>8823.7900000000009</v>
      </c>
      <c r="L304" s="3">
        <f t="shared" si="14"/>
        <v>3278.0699999999997</v>
      </c>
    </row>
    <row r="305" spans="1:12" x14ac:dyDescent="0.3">
      <c r="A305">
        <v>1248</v>
      </c>
      <c r="B305" s="2">
        <v>45430</v>
      </c>
      <c r="C305" t="s">
        <v>23</v>
      </c>
      <c r="D305" t="s">
        <v>17</v>
      </c>
      <c r="E305" t="s">
        <v>40</v>
      </c>
      <c r="F305" t="s">
        <v>19</v>
      </c>
      <c r="G305">
        <v>9</v>
      </c>
      <c r="H305" s="3">
        <v>269.73</v>
      </c>
      <c r="I305" s="3">
        <v>180.47</v>
      </c>
      <c r="J305" s="3">
        <f t="shared" si="12"/>
        <v>2427.5700000000002</v>
      </c>
      <c r="K305" s="3">
        <f t="shared" si="13"/>
        <v>1624.23</v>
      </c>
      <c r="L305" s="3">
        <f t="shared" si="14"/>
        <v>803.34000000000015</v>
      </c>
    </row>
    <row r="306" spans="1:12" x14ac:dyDescent="0.3">
      <c r="A306">
        <v>2427</v>
      </c>
      <c r="B306" s="2">
        <v>45430</v>
      </c>
      <c r="C306" t="s">
        <v>12</v>
      </c>
      <c r="D306" t="s">
        <v>13</v>
      </c>
      <c r="E306" t="s">
        <v>24</v>
      </c>
      <c r="F306" t="s">
        <v>33</v>
      </c>
      <c r="G306">
        <v>7</v>
      </c>
      <c r="H306" s="3">
        <v>3.67</v>
      </c>
      <c r="I306" s="3">
        <v>2.09</v>
      </c>
      <c r="J306" s="3">
        <f t="shared" si="12"/>
        <v>25.689999999999998</v>
      </c>
      <c r="K306" s="3">
        <f t="shared" si="13"/>
        <v>14.629999999999999</v>
      </c>
      <c r="L306" s="3">
        <f t="shared" si="14"/>
        <v>11.059999999999999</v>
      </c>
    </row>
    <row r="307" spans="1:12" x14ac:dyDescent="0.3">
      <c r="A307">
        <v>2438</v>
      </c>
      <c r="B307" s="2">
        <v>45430</v>
      </c>
      <c r="C307" t="s">
        <v>26</v>
      </c>
      <c r="D307" t="s">
        <v>13</v>
      </c>
      <c r="E307" t="s">
        <v>46</v>
      </c>
      <c r="F307" t="s">
        <v>39</v>
      </c>
      <c r="G307">
        <v>9</v>
      </c>
      <c r="H307" s="3">
        <v>5.89</v>
      </c>
      <c r="I307" s="3">
        <v>3.05</v>
      </c>
      <c r="J307" s="3">
        <f t="shared" si="12"/>
        <v>53.01</v>
      </c>
      <c r="K307" s="3">
        <f t="shared" si="13"/>
        <v>27.45</v>
      </c>
      <c r="L307" s="3">
        <f t="shared" si="14"/>
        <v>25.56</v>
      </c>
    </row>
    <row r="308" spans="1:12" x14ac:dyDescent="0.3">
      <c r="A308">
        <v>1081</v>
      </c>
      <c r="B308" s="2">
        <v>45431</v>
      </c>
      <c r="C308" t="s">
        <v>26</v>
      </c>
      <c r="D308" t="s">
        <v>29</v>
      </c>
      <c r="E308" t="s">
        <v>41</v>
      </c>
      <c r="F308" t="s">
        <v>33</v>
      </c>
      <c r="G308">
        <v>33</v>
      </c>
      <c r="H308" s="3">
        <v>384.94</v>
      </c>
      <c r="I308" s="3">
        <v>248.28</v>
      </c>
      <c r="J308" s="3">
        <f t="shared" si="12"/>
        <v>12703.02</v>
      </c>
      <c r="K308" s="3">
        <f t="shared" si="13"/>
        <v>8193.24</v>
      </c>
      <c r="L308" s="3">
        <f t="shared" si="14"/>
        <v>4509.7800000000007</v>
      </c>
    </row>
    <row r="309" spans="1:12" x14ac:dyDescent="0.3">
      <c r="A309">
        <v>1435</v>
      </c>
      <c r="B309" s="2">
        <v>45431</v>
      </c>
      <c r="C309" t="s">
        <v>32</v>
      </c>
      <c r="D309" t="s">
        <v>17</v>
      </c>
      <c r="E309" t="s">
        <v>18</v>
      </c>
      <c r="F309" t="s">
        <v>28</v>
      </c>
      <c r="G309">
        <v>18</v>
      </c>
      <c r="H309" s="3">
        <v>648.4</v>
      </c>
      <c r="I309" s="3">
        <v>481.39</v>
      </c>
      <c r="J309" s="3">
        <f t="shared" si="12"/>
        <v>11671.199999999999</v>
      </c>
      <c r="K309" s="3">
        <f t="shared" si="13"/>
        <v>8665.02</v>
      </c>
      <c r="L309" s="3">
        <f t="shared" si="14"/>
        <v>3006.1799999999985</v>
      </c>
    </row>
    <row r="310" spans="1:12" x14ac:dyDescent="0.3">
      <c r="A310">
        <v>1500</v>
      </c>
      <c r="B310" s="2">
        <v>45431</v>
      </c>
      <c r="C310" t="s">
        <v>23</v>
      </c>
      <c r="D310" t="s">
        <v>13</v>
      </c>
      <c r="E310" t="s">
        <v>14</v>
      </c>
      <c r="F310" t="s">
        <v>33</v>
      </c>
      <c r="G310">
        <v>30</v>
      </c>
      <c r="H310" s="3">
        <v>26.6</v>
      </c>
      <c r="I310" s="3">
        <v>15.29</v>
      </c>
      <c r="J310" s="3">
        <f t="shared" si="12"/>
        <v>798</v>
      </c>
      <c r="K310" s="3">
        <f t="shared" si="13"/>
        <v>458.7</v>
      </c>
      <c r="L310" s="3">
        <f t="shared" si="14"/>
        <v>339.3</v>
      </c>
    </row>
    <row r="311" spans="1:12" x14ac:dyDescent="0.3">
      <c r="A311">
        <v>1523</v>
      </c>
      <c r="B311" s="2">
        <v>45431</v>
      </c>
      <c r="C311" t="s">
        <v>26</v>
      </c>
      <c r="D311" t="s">
        <v>13</v>
      </c>
      <c r="E311" t="s">
        <v>14</v>
      </c>
      <c r="F311" t="s">
        <v>28</v>
      </c>
      <c r="G311">
        <v>39</v>
      </c>
      <c r="H311" s="3">
        <v>38.53</v>
      </c>
      <c r="I311" s="3">
        <v>27.16</v>
      </c>
      <c r="J311" s="3">
        <f t="shared" si="12"/>
        <v>1502.67</v>
      </c>
      <c r="K311" s="3">
        <f t="shared" si="13"/>
        <v>1059.24</v>
      </c>
      <c r="L311" s="3">
        <f t="shared" si="14"/>
        <v>443.43000000000006</v>
      </c>
    </row>
    <row r="312" spans="1:12" x14ac:dyDescent="0.3">
      <c r="A312">
        <v>1563</v>
      </c>
      <c r="B312" s="2">
        <v>45431</v>
      </c>
      <c r="C312" t="s">
        <v>26</v>
      </c>
      <c r="D312" t="s">
        <v>20</v>
      </c>
      <c r="E312" t="s">
        <v>21</v>
      </c>
      <c r="F312" t="s">
        <v>36</v>
      </c>
      <c r="G312">
        <v>11</v>
      </c>
      <c r="H312" s="3">
        <v>63.9</v>
      </c>
      <c r="I312" s="3">
        <v>44.64</v>
      </c>
      <c r="J312" s="3">
        <f t="shared" si="12"/>
        <v>702.9</v>
      </c>
      <c r="K312" s="3">
        <f t="shared" si="13"/>
        <v>491.04</v>
      </c>
      <c r="L312" s="3">
        <f t="shared" si="14"/>
        <v>211.85999999999996</v>
      </c>
    </row>
    <row r="313" spans="1:12" x14ac:dyDescent="0.3">
      <c r="A313">
        <v>1762</v>
      </c>
      <c r="B313" s="2">
        <v>45431</v>
      </c>
      <c r="C313" t="s">
        <v>32</v>
      </c>
      <c r="D313" t="s">
        <v>20</v>
      </c>
      <c r="E313" t="s">
        <v>21</v>
      </c>
      <c r="F313" t="s">
        <v>28</v>
      </c>
      <c r="G313">
        <v>5</v>
      </c>
      <c r="H313" s="3">
        <v>142.56</v>
      </c>
      <c r="I313" s="3">
        <v>88.06</v>
      </c>
      <c r="J313" s="3">
        <f t="shared" si="12"/>
        <v>712.8</v>
      </c>
      <c r="K313" s="3">
        <f t="shared" si="13"/>
        <v>440.3</v>
      </c>
      <c r="L313" s="3">
        <f t="shared" si="14"/>
        <v>272.49999999999994</v>
      </c>
    </row>
    <row r="314" spans="1:12" x14ac:dyDescent="0.3">
      <c r="A314">
        <v>2689</v>
      </c>
      <c r="B314" s="2">
        <v>45431</v>
      </c>
      <c r="C314" t="s">
        <v>16</v>
      </c>
      <c r="D314" t="s">
        <v>17</v>
      </c>
      <c r="E314" t="s">
        <v>40</v>
      </c>
      <c r="F314" t="s">
        <v>33</v>
      </c>
      <c r="G314">
        <v>30</v>
      </c>
      <c r="H314" s="3">
        <v>340.63</v>
      </c>
      <c r="I314" s="3">
        <v>216.56</v>
      </c>
      <c r="J314" s="3">
        <f t="shared" si="12"/>
        <v>10218.9</v>
      </c>
      <c r="K314" s="3">
        <f t="shared" si="13"/>
        <v>6496.8</v>
      </c>
      <c r="L314" s="3">
        <f t="shared" si="14"/>
        <v>3722.0999999999995</v>
      </c>
    </row>
    <row r="315" spans="1:12" x14ac:dyDescent="0.3">
      <c r="A315">
        <v>1337</v>
      </c>
      <c r="B315" s="2">
        <v>45432</v>
      </c>
      <c r="C315" t="s">
        <v>23</v>
      </c>
      <c r="D315" t="s">
        <v>17</v>
      </c>
      <c r="E315" t="s">
        <v>35</v>
      </c>
      <c r="F315" t="s">
        <v>25</v>
      </c>
      <c r="G315">
        <v>19</v>
      </c>
      <c r="H315" s="3">
        <v>155.77000000000001</v>
      </c>
      <c r="I315" s="3">
        <v>88.13</v>
      </c>
      <c r="J315" s="3">
        <f t="shared" si="12"/>
        <v>2959.63</v>
      </c>
      <c r="K315" s="3">
        <f t="shared" si="13"/>
        <v>1674.4699999999998</v>
      </c>
      <c r="L315" s="3">
        <f t="shared" si="14"/>
        <v>1285.1600000000003</v>
      </c>
    </row>
    <row r="316" spans="1:12" x14ac:dyDescent="0.3">
      <c r="A316">
        <v>2322</v>
      </c>
      <c r="B316" s="2">
        <v>45432</v>
      </c>
      <c r="C316" t="s">
        <v>32</v>
      </c>
      <c r="D316" t="s">
        <v>13</v>
      </c>
      <c r="E316" t="s">
        <v>14</v>
      </c>
      <c r="F316" t="s">
        <v>39</v>
      </c>
      <c r="G316">
        <v>13</v>
      </c>
      <c r="H316" s="3">
        <v>30.26</v>
      </c>
      <c r="I316" s="3">
        <v>19.309999999999999</v>
      </c>
      <c r="J316" s="3">
        <f t="shared" si="12"/>
        <v>393.38</v>
      </c>
      <c r="K316" s="3">
        <f t="shared" si="13"/>
        <v>251.02999999999997</v>
      </c>
      <c r="L316" s="3">
        <f t="shared" si="14"/>
        <v>142.35000000000002</v>
      </c>
    </row>
    <row r="317" spans="1:12" x14ac:dyDescent="0.3">
      <c r="A317">
        <v>2597</v>
      </c>
      <c r="B317" s="2">
        <v>45432</v>
      </c>
      <c r="C317" t="s">
        <v>32</v>
      </c>
      <c r="D317" t="s">
        <v>20</v>
      </c>
      <c r="E317" t="s">
        <v>21</v>
      </c>
      <c r="F317" t="s">
        <v>19</v>
      </c>
      <c r="G317">
        <v>34</v>
      </c>
      <c r="H317" s="3">
        <v>194.51</v>
      </c>
      <c r="I317" s="3">
        <v>100.34</v>
      </c>
      <c r="J317" s="3">
        <f t="shared" si="12"/>
        <v>6613.34</v>
      </c>
      <c r="K317" s="3">
        <f t="shared" si="13"/>
        <v>3411.56</v>
      </c>
      <c r="L317" s="3">
        <f t="shared" si="14"/>
        <v>3201.78</v>
      </c>
    </row>
    <row r="318" spans="1:12" x14ac:dyDescent="0.3">
      <c r="A318">
        <v>1047</v>
      </c>
      <c r="B318" s="2">
        <v>45433</v>
      </c>
      <c r="C318" t="s">
        <v>12</v>
      </c>
      <c r="D318" t="s">
        <v>13</v>
      </c>
      <c r="E318" t="s">
        <v>14</v>
      </c>
      <c r="F318" t="s">
        <v>19</v>
      </c>
      <c r="G318">
        <v>14</v>
      </c>
      <c r="H318" s="3">
        <v>26.23</v>
      </c>
      <c r="I318" s="3">
        <v>14.47</v>
      </c>
      <c r="J318" s="3">
        <f t="shared" si="12"/>
        <v>367.22</v>
      </c>
      <c r="K318" s="3">
        <f t="shared" si="13"/>
        <v>202.58</v>
      </c>
      <c r="L318" s="3">
        <f t="shared" si="14"/>
        <v>164.64000000000001</v>
      </c>
    </row>
    <row r="319" spans="1:12" x14ac:dyDescent="0.3">
      <c r="A319">
        <v>1959</v>
      </c>
      <c r="B319" s="2">
        <v>45433</v>
      </c>
      <c r="C319" t="s">
        <v>32</v>
      </c>
      <c r="D319" t="s">
        <v>29</v>
      </c>
      <c r="E319" t="s">
        <v>37</v>
      </c>
      <c r="F319" t="s">
        <v>25</v>
      </c>
      <c r="G319">
        <v>18</v>
      </c>
      <c r="H319" s="3">
        <v>261.45999999999998</v>
      </c>
      <c r="I319" s="3">
        <v>149.74</v>
      </c>
      <c r="J319" s="3">
        <f t="shared" si="12"/>
        <v>4706.28</v>
      </c>
      <c r="K319" s="3">
        <f t="shared" si="13"/>
        <v>2695.32</v>
      </c>
      <c r="L319" s="3">
        <f t="shared" si="14"/>
        <v>2010.9599999999996</v>
      </c>
    </row>
    <row r="320" spans="1:12" x14ac:dyDescent="0.3">
      <c r="A320">
        <v>1588</v>
      </c>
      <c r="B320" s="2">
        <v>45434</v>
      </c>
      <c r="C320" t="s">
        <v>16</v>
      </c>
      <c r="D320" t="s">
        <v>17</v>
      </c>
      <c r="E320" t="s">
        <v>44</v>
      </c>
      <c r="F320" t="s">
        <v>39</v>
      </c>
      <c r="G320">
        <v>20</v>
      </c>
      <c r="H320" s="3">
        <v>458.68</v>
      </c>
      <c r="I320" s="3">
        <v>339.43</v>
      </c>
      <c r="J320" s="3">
        <f t="shared" si="12"/>
        <v>9173.6</v>
      </c>
      <c r="K320" s="3">
        <f t="shared" si="13"/>
        <v>6788.6</v>
      </c>
      <c r="L320" s="3">
        <f t="shared" si="14"/>
        <v>2385</v>
      </c>
    </row>
    <row r="321" spans="1:12" x14ac:dyDescent="0.3">
      <c r="A321">
        <v>1598</v>
      </c>
      <c r="B321" s="2">
        <v>45434</v>
      </c>
      <c r="C321" t="s">
        <v>23</v>
      </c>
      <c r="D321" t="s">
        <v>29</v>
      </c>
      <c r="E321" t="s">
        <v>37</v>
      </c>
      <c r="F321" t="s">
        <v>15</v>
      </c>
      <c r="G321">
        <v>2</v>
      </c>
      <c r="H321" s="3">
        <v>134.06</v>
      </c>
      <c r="I321" s="3">
        <v>90.09</v>
      </c>
      <c r="J321" s="3">
        <f t="shared" si="12"/>
        <v>268.12</v>
      </c>
      <c r="K321" s="3">
        <f t="shared" si="13"/>
        <v>180.18</v>
      </c>
      <c r="L321" s="3">
        <f t="shared" si="14"/>
        <v>87.94</v>
      </c>
    </row>
    <row r="322" spans="1:12" x14ac:dyDescent="0.3">
      <c r="A322">
        <v>1795</v>
      </c>
      <c r="B322" s="2">
        <v>45434</v>
      </c>
      <c r="C322" t="s">
        <v>26</v>
      </c>
      <c r="D322" t="s">
        <v>17</v>
      </c>
      <c r="E322" t="s">
        <v>35</v>
      </c>
      <c r="F322" t="s">
        <v>15</v>
      </c>
      <c r="G322">
        <v>16</v>
      </c>
      <c r="H322" s="3">
        <v>369.48</v>
      </c>
      <c r="I322" s="3">
        <v>222.9</v>
      </c>
      <c r="J322" s="3">
        <f t="shared" ref="J322:J385" si="15">G322*H322</f>
        <v>5911.68</v>
      </c>
      <c r="K322" s="3">
        <f t="shared" ref="K322:K385" si="16">G322*I322</f>
        <v>3566.4</v>
      </c>
      <c r="L322" s="3">
        <f t="shared" ref="L322:L385" si="17">J322-K322</f>
        <v>2345.2800000000002</v>
      </c>
    </row>
    <row r="323" spans="1:12" x14ac:dyDescent="0.3">
      <c r="A323">
        <v>1217</v>
      </c>
      <c r="B323" s="2">
        <v>45435</v>
      </c>
      <c r="C323" t="s">
        <v>26</v>
      </c>
      <c r="D323" t="s">
        <v>29</v>
      </c>
      <c r="E323" t="s">
        <v>30</v>
      </c>
      <c r="F323" t="s">
        <v>25</v>
      </c>
      <c r="G323">
        <v>28</v>
      </c>
      <c r="H323" s="3">
        <v>334.17</v>
      </c>
      <c r="I323" s="3">
        <v>216.84</v>
      </c>
      <c r="J323" s="3">
        <f t="shared" si="15"/>
        <v>9356.76</v>
      </c>
      <c r="K323" s="3">
        <f t="shared" si="16"/>
        <v>6071.52</v>
      </c>
      <c r="L323" s="3">
        <f t="shared" si="17"/>
        <v>3285.24</v>
      </c>
    </row>
    <row r="324" spans="1:12" x14ac:dyDescent="0.3">
      <c r="A324">
        <v>1630</v>
      </c>
      <c r="B324" s="2">
        <v>45435</v>
      </c>
      <c r="C324" t="s">
        <v>12</v>
      </c>
      <c r="D324" t="s">
        <v>17</v>
      </c>
      <c r="E324" t="s">
        <v>35</v>
      </c>
      <c r="F324" t="s">
        <v>25</v>
      </c>
      <c r="G324">
        <v>34</v>
      </c>
      <c r="H324" s="3">
        <v>617.94000000000005</v>
      </c>
      <c r="I324" s="3">
        <v>385.66</v>
      </c>
      <c r="J324" s="3">
        <f t="shared" si="15"/>
        <v>21009.960000000003</v>
      </c>
      <c r="K324" s="3">
        <f t="shared" si="16"/>
        <v>13112.44</v>
      </c>
      <c r="L324" s="3">
        <f t="shared" si="17"/>
        <v>7897.5200000000023</v>
      </c>
    </row>
    <row r="325" spans="1:12" x14ac:dyDescent="0.3">
      <c r="A325">
        <v>1964</v>
      </c>
      <c r="B325" s="2">
        <v>45435</v>
      </c>
      <c r="C325" t="s">
        <v>16</v>
      </c>
      <c r="D325" t="s">
        <v>29</v>
      </c>
      <c r="E325" t="s">
        <v>37</v>
      </c>
      <c r="F325" t="s">
        <v>33</v>
      </c>
      <c r="G325">
        <v>9</v>
      </c>
      <c r="H325" s="3">
        <v>448.68</v>
      </c>
      <c r="I325" s="3">
        <v>319.14</v>
      </c>
      <c r="J325" s="3">
        <f t="shared" si="15"/>
        <v>4038.12</v>
      </c>
      <c r="K325" s="3">
        <f t="shared" si="16"/>
        <v>2872.2599999999998</v>
      </c>
      <c r="L325" s="3">
        <f t="shared" si="17"/>
        <v>1165.8600000000001</v>
      </c>
    </row>
    <row r="326" spans="1:12" x14ac:dyDescent="0.3">
      <c r="A326">
        <v>1975</v>
      </c>
      <c r="B326" s="2">
        <v>45435</v>
      </c>
      <c r="C326" t="s">
        <v>32</v>
      </c>
      <c r="D326" t="s">
        <v>29</v>
      </c>
      <c r="E326" t="s">
        <v>41</v>
      </c>
      <c r="F326" t="s">
        <v>25</v>
      </c>
      <c r="G326">
        <v>31</v>
      </c>
      <c r="H326" s="3">
        <v>356.77</v>
      </c>
      <c r="I326" s="3">
        <v>261.10000000000002</v>
      </c>
      <c r="J326" s="3">
        <f t="shared" si="15"/>
        <v>11059.869999999999</v>
      </c>
      <c r="K326" s="3">
        <f t="shared" si="16"/>
        <v>8094.1</v>
      </c>
      <c r="L326" s="3">
        <f t="shared" si="17"/>
        <v>2965.7699999999986</v>
      </c>
    </row>
    <row r="327" spans="1:12" x14ac:dyDescent="0.3">
      <c r="A327">
        <v>2384</v>
      </c>
      <c r="B327" s="2">
        <v>45435</v>
      </c>
      <c r="C327" t="s">
        <v>12</v>
      </c>
      <c r="D327" t="s">
        <v>20</v>
      </c>
      <c r="E327" t="s">
        <v>38</v>
      </c>
      <c r="F327" t="s">
        <v>39</v>
      </c>
      <c r="G327">
        <v>12</v>
      </c>
      <c r="H327" s="3">
        <v>219.18</v>
      </c>
      <c r="I327" s="3">
        <v>153.44</v>
      </c>
      <c r="J327" s="3">
        <f t="shared" si="15"/>
        <v>2630.16</v>
      </c>
      <c r="K327" s="3">
        <f t="shared" si="16"/>
        <v>1841.28</v>
      </c>
      <c r="L327" s="3">
        <f t="shared" si="17"/>
        <v>788.87999999999988</v>
      </c>
    </row>
    <row r="328" spans="1:12" x14ac:dyDescent="0.3">
      <c r="A328">
        <v>2491</v>
      </c>
      <c r="B328" s="2">
        <v>45435</v>
      </c>
      <c r="C328" t="s">
        <v>23</v>
      </c>
      <c r="D328" t="s">
        <v>20</v>
      </c>
      <c r="E328" t="s">
        <v>34</v>
      </c>
      <c r="F328" t="s">
        <v>19</v>
      </c>
      <c r="G328">
        <v>23</v>
      </c>
      <c r="H328" s="3">
        <v>157.79</v>
      </c>
      <c r="I328" s="3">
        <v>103.57</v>
      </c>
      <c r="J328" s="3">
        <f t="shared" si="15"/>
        <v>3629.1699999999996</v>
      </c>
      <c r="K328" s="3">
        <f t="shared" si="16"/>
        <v>2382.1099999999997</v>
      </c>
      <c r="L328" s="3">
        <f t="shared" si="17"/>
        <v>1247.06</v>
      </c>
    </row>
    <row r="329" spans="1:12" x14ac:dyDescent="0.3">
      <c r="A329">
        <v>1233</v>
      </c>
      <c r="B329" s="2">
        <v>45437</v>
      </c>
      <c r="C329" t="s">
        <v>32</v>
      </c>
      <c r="D329" t="s">
        <v>29</v>
      </c>
      <c r="E329" t="s">
        <v>43</v>
      </c>
      <c r="F329" t="s">
        <v>28</v>
      </c>
      <c r="G329">
        <v>14</v>
      </c>
      <c r="H329" s="3">
        <v>121</v>
      </c>
      <c r="I329" s="3">
        <v>74.19</v>
      </c>
      <c r="J329" s="3">
        <f t="shared" si="15"/>
        <v>1694</v>
      </c>
      <c r="K329" s="3">
        <f t="shared" si="16"/>
        <v>1038.6599999999999</v>
      </c>
      <c r="L329" s="3">
        <f t="shared" si="17"/>
        <v>655.34000000000015</v>
      </c>
    </row>
    <row r="330" spans="1:12" x14ac:dyDescent="0.3">
      <c r="A330">
        <v>1708</v>
      </c>
      <c r="B330" s="2">
        <v>45437</v>
      </c>
      <c r="C330" t="s">
        <v>32</v>
      </c>
      <c r="D330" t="s">
        <v>13</v>
      </c>
      <c r="E330" t="s">
        <v>24</v>
      </c>
      <c r="F330" t="s">
        <v>36</v>
      </c>
      <c r="G330">
        <v>36</v>
      </c>
      <c r="H330" s="3">
        <v>3.06</v>
      </c>
      <c r="I330" s="3">
        <v>1.75</v>
      </c>
      <c r="J330" s="3">
        <f t="shared" si="15"/>
        <v>110.16</v>
      </c>
      <c r="K330" s="3">
        <f t="shared" si="16"/>
        <v>63</v>
      </c>
      <c r="L330" s="3">
        <f t="shared" si="17"/>
        <v>47.16</v>
      </c>
    </row>
    <row r="331" spans="1:12" x14ac:dyDescent="0.3">
      <c r="A331">
        <v>2792</v>
      </c>
      <c r="B331" s="2">
        <v>45437</v>
      </c>
      <c r="C331" t="s">
        <v>23</v>
      </c>
      <c r="D331" t="s">
        <v>20</v>
      </c>
      <c r="E331" t="s">
        <v>38</v>
      </c>
      <c r="F331" t="s">
        <v>39</v>
      </c>
      <c r="G331">
        <v>15</v>
      </c>
      <c r="H331" s="3">
        <v>260</v>
      </c>
      <c r="I331" s="3">
        <v>139.72999999999999</v>
      </c>
      <c r="J331" s="3">
        <f t="shared" si="15"/>
        <v>3900</v>
      </c>
      <c r="K331" s="3">
        <f t="shared" si="16"/>
        <v>2095.9499999999998</v>
      </c>
      <c r="L331" s="3">
        <f t="shared" si="17"/>
        <v>1804.0500000000002</v>
      </c>
    </row>
    <row r="332" spans="1:12" x14ac:dyDescent="0.3">
      <c r="A332">
        <v>1393</v>
      </c>
      <c r="B332" s="2">
        <v>45438</v>
      </c>
      <c r="C332" t="s">
        <v>16</v>
      </c>
      <c r="D332" t="s">
        <v>13</v>
      </c>
      <c r="E332" t="s">
        <v>46</v>
      </c>
      <c r="F332" t="s">
        <v>15</v>
      </c>
      <c r="G332">
        <v>11</v>
      </c>
      <c r="H332" s="3">
        <v>22.53</v>
      </c>
      <c r="I332" s="3">
        <v>12.56</v>
      </c>
      <c r="J332" s="3">
        <f t="shared" si="15"/>
        <v>247.83</v>
      </c>
      <c r="K332" s="3">
        <f t="shared" si="16"/>
        <v>138.16</v>
      </c>
      <c r="L332" s="3">
        <f t="shared" si="17"/>
        <v>109.67000000000002</v>
      </c>
    </row>
    <row r="333" spans="1:12" x14ac:dyDescent="0.3">
      <c r="A333">
        <v>2009</v>
      </c>
      <c r="B333" s="2">
        <v>45438</v>
      </c>
      <c r="C333" t="s">
        <v>26</v>
      </c>
      <c r="D333" t="s">
        <v>29</v>
      </c>
      <c r="E333" t="s">
        <v>43</v>
      </c>
      <c r="F333" t="s">
        <v>33</v>
      </c>
      <c r="G333">
        <v>27</v>
      </c>
      <c r="H333" s="3">
        <v>475.84</v>
      </c>
      <c r="I333" s="3">
        <v>241.63</v>
      </c>
      <c r="J333" s="3">
        <f t="shared" si="15"/>
        <v>12847.679999999998</v>
      </c>
      <c r="K333" s="3">
        <f t="shared" si="16"/>
        <v>6524.01</v>
      </c>
      <c r="L333" s="3">
        <f t="shared" si="17"/>
        <v>6323.6699999999983</v>
      </c>
    </row>
    <row r="334" spans="1:12" x14ac:dyDescent="0.3">
      <c r="A334">
        <v>2472</v>
      </c>
      <c r="B334" s="2">
        <v>45438</v>
      </c>
      <c r="C334" t="s">
        <v>16</v>
      </c>
      <c r="D334" t="s">
        <v>13</v>
      </c>
      <c r="E334" t="s">
        <v>46</v>
      </c>
      <c r="F334" t="s">
        <v>15</v>
      </c>
      <c r="G334">
        <v>19</v>
      </c>
      <c r="H334" s="3">
        <v>5.3</v>
      </c>
      <c r="I334" s="3">
        <v>2.66</v>
      </c>
      <c r="J334" s="3">
        <f t="shared" si="15"/>
        <v>100.7</v>
      </c>
      <c r="K334" s="3">
        <f t="shared" si="16"/>
        <v>50.540000000000006</v>
      </c>
      <c r="L334" s="3">
        <f t="shared" si="17"/>
        <v>50.16</v>
      </c>
    </row>
    <row r="335" spans="1:12" x14ac:dyDescent="0.3">
      <c r="A335">
        <v>1170</v>
      </c>
      <c r="B335" s="2">
        <v>45439</v>
      </c>
      <c r="C335" t="s">
        <v>12</v>
      </c>
      <c r="D335" t="s">
        <v>20</v>
      </c>
      <c r="E335" t="s">
        <v>42</v>
      </c>
      <c r="F335" t="s">
        <v>22</v>
      </c>
      <c r="G335">
        <v>3</v>
      </c>
      <c r="H335" s="3">
        <v>147.96</v>
      </c>
      <c r="I335" s="3">
        <v>96.41</v>
      </c>
      <c r="J335" s="3">
        <f t="shared" si="15"/>
        <v>443.88</v>
      </c>
      <c r="K335" s="3">
        <f t="shared" si="16"/>
        <v>289.23</v>
      </c>
      <c r="L335" s="3">
        <f t="shared" si="17"/>
        <v>154.64999999999998</v>
      </c>
    </row>
    <row r="336" spans="1:12" x14ac:dyDescent="0.3">
      <c r="A336">
        <v>1312</v>
      </c>
      <c r="B336" s="2">
        <v>45439</v>
      </c>
      <c r="C336" t="s">
        <v>16</v>
      </c>
      <c r="D336" t="s">
        <v>20</v>
      </c>
      <c r="E336" t="s">
        <v>42</v>
      </c>
      <c r="F336" t="s">
        <v>36</v>
      </c>
      <c r="G336">
        <v>22</v>
      </c>
      <c r="H336" s="3">
        <v>95.2</v>
      </c>
      <c r="I336" s="3">
        <v>56.46</v>
      </c>
      <c r="J336" s="3">
        <f t="shared" si="15"/>
        <v>2094.4</v>
      </c>
      <c r="K336" s="3">
        <f t="shared" si="16"/>
        <v>1242.1200000000001</v>
      </c>
      <c r="L336" s="3">
        <f t="shared" si="17"/>
        <v>852.28</v>
      </c>
    </row>
    <row r="337" spans="1:12" x14ac:dyDescent="0.3">
      <c r="A337">
        <v>1967</v>
      </c>
      <c r="B337" s="2">
        <v>45439</v>
      </c>
      <c r="C337" t="s">
        <v>16</v>
      </c>
      <c r="D337" t="s">
        <v>20</v>
      </c>
      <c r="E337" t="s">
        <v>34</v>
      </c>
      <c r="F337" t="s">
        <v>39</v>
      </c>
      <c r="G337">
        <v>10</v>
      </c>
      <c r="H337" s="3">
        <v>21.81</v>
      </c>
      <c r="I337" s="3">
        <v>13.55</v>
      </c>
      <c r="J337" s="3">
        <f t="shared" si="15"/>
        <v>218.1</v>
      </c>
      <c r="K337" s="3">
        <f t="shared" si="16"/>
        <v>135.5</v>
      </c>
      <c r="L337" s="3">
        <f t="shared" si="17"/>
        <v>82.6</v>
      </c>
    </row>
    <row r="338" spans="1:12" x14ac:dyDescent="0.3">
      <c r="A338">
        <v>2046</v>
      </c>
      <c r="B338" s="2">
        <v>45439</v>
      </c>
      <c r="C338" t="s">
        <v>26</v>
      </c>
      <c r="D338" t="s">
        <v>17</v>
      </c>
      <c r="E338" t="s">
        <v>35</v>
      </c>
      <c r="F338" t="s">
        <v>19</v>
      </c>
      <c r="G338">
        <v>14</v>
      </c>
      <c r="H338" s="3">
        <v>786.46</v>
      </c>
      <c r="I338" s="3">
        <v>514.44000000000005</v>
      </c>
      <c r="J338" s="3">
        <f t="shared" si="15"/>
        <v>11010.44</v>
      </c>
      <c r="K338" s="3">
        <f t="shared" si="16"/>
        <v>7202.1600000000008</v>
      </c>
      <c r="L338" s="3">
        <f t="shared" si="17"/>
        <v>3808.2799999999997</v>
      </c>
    </row>
    <row r="339" spans="1:12" x14ac:dyDescent="0.3">
      <c r="A339">
        <v>2415</v>
      </c>
      <c r="B339" s="2">
        <v>45439</v>
      </c>
      <c r="C339" t="s">
        <v>12</v>
      </c>
      <c r="D339" t="s">
        <v>17</v>
      </c>
      <c r="E339" t="s">
        <v>40</v>
      </c>
      <c r="F339" t="s">
        <v>33</v>
      </c>
      <c r="G339">
        <v>27</v>
      </c>
      <c r="H339" s="3">
        <v>378.13</v>
      </c>
      <c r="I339" s="3">
        <v>270.14999999999998</v>
      </c>
      <c r="J339" s="3">
        <f t="shared" si="15"/>
        <v>10209.51</v>
      </c>
      <c r="K339" s="3">
        <f t="shared" si="16"/>
        <v>7294.0499999999993</v>
      </c>
      <c r="L339" s="3">
        <f t="shared" si="17"/>
        <v>2915.4600000000009</v>
      </c>
    </row>
    <row r="340" spans="1:12" x14ac:dyDescent="0.3">
      <c r="A340">
        <v>1488</v>
      </c>
      <c r="B340" s="2">
        <v>45440</v>
      </c>
      <c r="C340" t="s">
        <v>12</v>
      </c>
      <c r="D340" t="s">
        <v>17</v>
      </c>
      <c r="E340" t="s">
        <v>18</v>
      </c>
      <c r="F340" t="s">
        <v>15</v>
      </c>
      <c r="G340">
        <v>20</v>
      </c>
      <c r="H340" s="3">
        <v>673.34</v>
      </c>
      <c r="I340" s="3">
        <v>487.93</v>
      </c>
      <c r="J340" s="3">
        <f t="shared" si="15"/>
        <v>13466.800000000001</v>
      </c>
      <c r="K340" s="3">
        <f t="shared" si="16"/>
        <v>9758.6</v>
      </c>
      <c r="L340" s="3">
        <f t="shared" si="17"/>
        <v>3708.2000000000007</v>
      </c>
    </row>
    <row r="341" spans="1:12" x14ac:dyDescent="0.3">
      <c r="A341">
        <v>1903</v>
      </c>
      <c r="B341" s="2">
        <v>45440</v>
      </c>
      <c r="C341" t="s">
        <v>32</v>
      </c>
      <c r="D341" t="s">
        <v>29</v>
      </c>
      <c r="E341" t="s">
        <v>30</v>
      </c>
      <c r="F341" t="s">
        <v>19</v>
      </c>
      <c r="G341">
        <v>30</v>
      </c>
      <c r="H341" s="3">
        <v>212.89</v>
      </c>
      <c r="I341" s="3">
        <v>142.31</v>
      </c>
      <c r="J341" s="3">
        <f t="shared" si="15"/>
        <v>6386.7</v>
      </c>
      <c r="K341" s="3">
        <f t="shared" si="16"/>
        <v>4269.3</v>
      </c>
      <c r="L341" s="3">
        <f t="shared" si="17"/>
        <v>2117.3999999999996</v>
      </c>
    </row>
    <row r="342" spans="1:12" x14ac:dyDescent="0.3">
      <c r="A342">
        <v>2652</v>
      </c>
      <c r="B342" s="2">
        <v>45440</v>
      </c>
      <c r="C342" t="s">
        <v>32</v>
      </c>
      <c r="D342" t="s">
        <v>17</v>
      </c>
      <c r="E342" t="s">
        <v>35</v>
      </c>
      <c r="F342" t="s">
        <v>36</v>
      </c>
      <c r="G342">
        <v>9</v>
      </c>
      <c r="H342" s="3">
        <v>426.02</v>
      </c>
      <c r="I342" s="3">
        <v>248.61</v>
      </c>
      <c r="J342" s="3">
        <f t="shared" si="15"/>
        <v>3834.18</v>
      </c>
      <c r="K342" s="3">
        <f t="shared" si="16"/>
        <v>2237.4900000000002</v>
      </c>
      <c r="L342" s="3">
        <f t="shared" si="17"/>
        <v>1596.6899999999996</v>
      </c>
    </row>
    <row r="343" spans="1:12" x14ac:dyDescent="0.3">
      <c r="A343">
        <v>1223</v>
      </c>
      <c r="B343" s="2">
        <v>45441</v>
      </c>
      <c r="C343" t="s">
        <v>26</v>
      </c>
      <c r="D343" t="s">
        <v>13</v>
      </c>
      <c r="E343" t="s">
        <v>14</v>
      </c>
      <c r="F343" t="s">
        <v>15</v>
      </c>
      <c r="G343">
        <v>27</v>
      </c>
      <c r="H343" s="3">
        <v>47.61</v>
      </c>
      <c r="I343" s="3">
        <v>32.39</v>
      </c>
      <c r="J343" s="3">
        <f t="shared" si="15"/>
        <v>1285.47</v>
      </c>
      <c r="K343" s="3">
        <f t="shared" si="16"/>
        <v>874.53</v>
      </c>
      <c r="L343" s="3">
        <f t="shared" si="17"/>
        <v>410.94000000000005</v>
      </c>
    </row>
    <row r="344" spans="1:12" x14ac:dyDescent="0.3">
      <c r="A344">
        <v>2274</v>
      </c>
      <c r="B344" s="2">
        <v>45441</v>
      </c>
      <c r="C344" t="s">
        <v>32</v>
      </c>
      <c r="D344" t="s">
        <v>29</v>
      </c>
      <c r="E344" t="s">
        <v>41</v>
      </c>
      <c r="F344" t="s">
        <v>33</v>
      </c>
      <c r="G344">
        <v>39</v>
      </c>
      <c r="H344" s="3">
        <v>420.51</v>
      </c>
      <c r="I344" s="3">
        <v>307.36</v>
      </c>
      <c r="J344" s="3">
        <f t="shared" si="15"/>
        <v>16399.89</v>
      </c>
      <c r="K344" s="3">
        <f t="shared" si="16"/>
        <v>11987.04</v>
      </c>
      <c r="L344" s="3">
        <f t="shared" si="17"/>
        <v>4412.8499999999985</v>
      </c>
    </row>
    <row r="345" spans="1:12" x14ac:dyDescent="0.3">
      <c r="A345">
        <v>2327</v>
      </c>
      <c r="B345" s="2">
        <v>45441</v>
      </c>
      <c r="C345" t="s">
        <v>26</v>
      </c>
      <c r="D345" t="s">
        <v>29</v>
      </c>
      <c r="E345" t="s">
        <v>43</v>
      </c>
      <c r="F345" t="s">
        <v>36</v>
      </c>
      <c r="G345">
        <v>18</v>
      </c>
      <c r="H345" s="3">
        <v>465.19</v>
      </c>
      <c r="I345" s="3">
        <v>294.85000000000002</v>
      </c>
      <c r="J345" s="3">
        <f t="shared" si="15"/>
        <v>8373.42</v>
      </c>
      <c r="K345" s="3">
        <f t="shared" si="16"/>
        <v>5307.3</v>
      </c>
      <c r="L345" s="3">
        <f t="shared" si="17"/>
        <v>3066.12</v>
      </c>
    </row>
    <row r="346" spans="1:12" x14ac:dyDescent="0.3">
      <c r="A346">
        <v>2416</v>
      </c>
      <c r="B346" s="2">
        <v>45441</v>
      </c>
      <c r="C346" t="s">
        <v>12</v>
      </c>
      <c r="D346" t="s">
        <v>20</v>
      </c>
      <c r="E346" t="s">
        <v>38</v>
      </c>
      <c r="F346" t="s">
        <v>39</v>
      </c>
      <c r="G346">
        <v>16</v>
      </c>
      <c r="H346" s="3">
        <v>90.59</v>
      </c>
      <c r="I346" s="3">
        <v>55.11</v>
      </c>
      <c r="J346" s="3">
        <f t="shared" si="15"/>
        <v>1449.44</v>
      </c>
      <c r="K346" s="3">
        <f t="shared" si="16"/>
        <v>881.76</v>
      </c>
      <c r="L346" s="3">
        <f t="shared" si="17"/>
        <v>567.68000000000006</v>
      </c>
    </row>
    <row r="347" spans="1:12" x14ac:dyDescent="0.3">
      <c r="A347">
        <v>1138</v>
      </c>
      <c r="B347" s="2">
        <v>45442</v>
      </c>
      <c r="C347" t="s">
        <v>23</v>
      </c>
      <c r="D347" t="s">
        <v>17</v>
      </c>
      <c r="E347" t="s">
        <v>44</v>
      </c>
      <c r="F347" t="s">
        <v>28</v>
      </c>
      <c r="G347">
        <v>23</v>
      </c>
      <c r="H347" s="3">
        <v>841.6</v>
      </c>
      <c r="I347" s="3">
        <v>502.05</v>
      </c>
      <c r="J347" s="3">
        <f t="shared" si="15"/>
        <v>19356.8</v>
      </c>
      <c r="K347" s="3">
        <f t="shared" si="16"/>
        <v>11547.15</v>
      </c>
      <c r="L347" s="3">
        <f t="shared" si="17"/>
        <v>7809.65</v>
      </c>
    </row>
    <row r="348" spans="1:12" x14ac:dyDescent="0.3">
      <c r="A348">
        <v>1583</v>
      </c>
      <c r="B348" s="2">
        <v>45442</v>
      </c>
      <c r="C348" t="s">
        <v>16</v>
      </c>
      <c r="D348" t="s">
        <v>20</v>
      </c>
      <c r="E348" t="s">
        <v>38</v>
      </c>
      <c r="F348" t="s">
        <v>25</v>
      </c>
      <c r="G348">
        <v>31</v>
      </c>
      <c r="H348" s="3">
        <v>106.26</v>
      </c>
      <c r="I348" s="3">
        <v>63.8</v>
      </c>
      <c r="J348" s="3">
        <f t="shared" si="15"/>
        <v>3294.06</v>
      </c>
      <c r="K348" s="3">
        <f t="shared" si="16"/>
        <v>1977.8</v>
      </c>
      <c r="L348" s="3">
        <f t="shared" si="17"/>
        <v>1316.26</v>
      </c>
    </row>
    <row r="349" spans="1:12" x14ac:dyDescent="0.3">
      <c r="A349">
        <v>1942</v>
      </c>
      <c r="B349" s="2">
        <v>45442</v>
      </c>
      <c r="C349" t="s">
        <v>23</v>
      </c>
      <c r="D349" t="s">
        <v>17</v>
      </c>
      <c r="E349" t="s">
        <v>27</v>
      </c>
      <c r="F349" t="s">
        <v>39</v>
      </c>
      <c r="G349">
        <v>2</v>
      </c>
      <c r="H349" s="3">
        <v>811.04</v>
      </c>
      <c r="I349" s="3">
        <v>497.3</v>
      </c>
      <c r="J349" s="3">
        <f t="shared" si="15"/>
        <v>1622.08</v>
      </c>
      <c r="K349" s="3">
        <f t="shared" si="16"/>
        <v>994.6</v>
      </c>
      <c r="L349" s="3">
        <f t="shared" si="17"/>
        <v>627.4799999999999</v>
      </c>
    </row>
    <row r="350" spans="1:12" x14ac:dyDescent="0.3">
      <c r="A350">
        <v>1951</v>
      </c>
      <c r="B350" s="2">
        <v>45442</v>
      </c>
      <c r="C350" t="s">
        <v>26</v>
      </c>
      <c r="D350" t="s">
        <v>17</v>
      </c>
      <c r="E350" t="s">
        <v>40</v>
      </c>
      <c r="F350" t="s">
        <v>33</v>
      </c>
      <c r="G350">
        <v>29</v>
      </c>
      <c r="H350" s="3">
        <v>472.16</v>
      </c>
      <c r="I350" s="3">
        <v>266.01</v>
      </c>
      <c r="J350" s="3">
        <f t="shared" si="15"/>
        <v>13692.640000000001</v>
      </c>
      <c r="K350" s="3">
        <f t="shared" si="16"/>
        <v>7714.29</v>
      </c>
      <c r="L350" s="3">
        <f t="shared" si="17"/>
        <v>5978.3500000000013</v>
      </c>
    </row>
    <row r="351" spans="1:12" x14ac:dyDescent="0.3">
      <c r="A351">
        <v>2058</v>
      </c>
      <c r="B351" s="2">
        <v>45442</v>
      </c>
      <c r="C351" t="s">
        <v>12</v>
      </c>
      <c r="D351" t="s">
        <v>13</v>
      </c>
      <c r="E351" t="s">
        <v>14</v>
      </c>
      <c r="F351" t="s">
        <v>22</v>
      </c>
      <c r="G351">
        <v>21</v>
      </c>
      <c r="H351" s="3">
        <v>58.28</v>
      </c>
      <c r="I351" s="3">
        <v>35.340000000000003</v>
      </c>
      <c r="J351" s="3">
        <f t="shared" si="15"/>
        <v>1223.8800000000001</v>
      </c>
      <c r="K351" s="3">
        <f t="shared" si="16"/>
        <v>742.1400000000001</v>
      </c>
      <c r="L351" s="3">
        <f t="shared" si="17"/>
        <v>481.74</v>
      </c>
    </row>
    <row r="352" spans="1:12" x14ac:dyDescent="0.3">
      <c r="A352">
        <v>2788</v>
      </c>
      <c r="B352" s="2">
        <v>45442</v>
      </c>
      <c r="C352" t="s">
        <v>12</v>
      </c>
      <c r="D352" t="s">
        <v>20</v>
      </c>
      <c r="E352" t="s">
        <v>34</v>
      </c>
      <c r="F352" t="s">
        <v>39</v>
      </c>
      <c r="G352">
        <v>29</v>
      </c>
      <c r="H352" s="3">
        <v>47.92</v>
      </c>
      <c r="I352" s="3">
        <v>24.97</v>
      </c>
      <c r="J352" s="3">
        <f t="shared" si="15"/>
        <v>1389.68</v>
      </c>
      <c r="K352" s="3">
        <f t="shared" si="16"/>
        <v>724.13</v>
      </c>
      <c r="L352" s="3">
        <f t="shared" si="17"/>
        <v>665.55000000000007</v>
      </c>
    </row>
    <row r="353" spans="1:12" x14ac:dyDescent="0.3">
      <c r="A353">
        <v>1124</v>
      </c>
      <c r="B353" s="2">
        <v>45443</v>
      </c>
      <c r="C353" t="s">
        <v>12</v>
      </c>
      <c r="D353" t="s">
        <v>17</v>
      </c>
      <c r="E353" t="s">
        <v>44</v>
      </c>
      <c r="F353" t="s">
        <v>15</v>
      </c>
      <c r="G353">
        <v>13</v>
      </c>
      <c r="H353" s="3">
        <v>205.74</v>
      </c>
      <c r="I353" s="3">
        <v>151.80000000000001</v>
      </c>
      <c r="J353" s="3">
        <f t="shared" si="15"/>
        <v>2674.62</v>
      </c>
      <c r="K353" s="3">
        <f t="shared" si="16"/>
        <v>1973.4</v>
      </c>
      <c r="L353" s="3">
        <f t="shared" si="17"/>
        <v>701.2199999999998</v>
      </c>
    </row>
    <row r="354" spans="1:12" x14ac:dyDescent="0.3">
      <c r="A354">
        <v>1174</v>
      </c>
      <c r="B354" s="2">
        <v>45443</v>
      </c>
      <c r="C354" t="s">
        <v>12</v>
      </c>
      <c r="D354" t="s">
        <v>17</v>
      </c>
      <c r="E354" t="s">
        <v>35</v>
      </c>
      <c r="F354" t="s">
        <v>25</v>
      </c>
      <c r="G354">
        <v>13</v>
      </c>
      <c r="H354" s="3">
        <v>75.91</v>
      </c>
      <c r="I354" s="3">
        <v>45.74</v>
      </c>
      <c r="J354" s="3">
        <f t="shared" si="15"/>
        <v>986.82999999999993</v>
      </c>
      <c r="K354" s="3">
        <f t="shared" si="16"/>
        <v>594.62</v>
      </c>
      <c r="L354" s="3">
        <f t="shared" si="17"/>
        <v>392.20999999999992</v>
      </c>
    </row>
    <row r="355" spans="1:12" x14ac:dyDescent="0.3">
      <c r="A355">
        <v>1467</v>
      </c>
      <c r="B355" s="2">
        <v>45443</v>
      </c>
      <c r="C355" t="s">
        <v>32</v>
      </c>
      <c r="D355" t="s">
        <v>17</v>
      </c>
      <c r="E355" t="s">
        <v>40</v>
      </c>
      <c r="F355" t="s">
        <v>25</v>
      </c>
      <c r="G355">
        <v>20</v>
      </c>
      <c r="H355" s="3">
        <v>438.05</v>
      </c>
      <c r="I355" s="3">
        <v>241.34</v>
      </c>
      <c r="J355" s="3">
        <f t="shared" si="15"/>
        <v>8761</v>
      </c>
      <c r="K355" s="3">
        <f t="shared" si="16"/>
        <v>4826.8</v>
      </c>
      <c r="L355" s="3">
        <f t="shared" si="17"/>
        <v>3934.2</v>
      </c>
    </row>
    <row r="356" spans="1:12" x14ac:dyDescent="0.3">
      <c r="A356">
        <v>2016</v>
      </c>
      <c r="B356" s="2">
        <v>45443</v>
      </c>
      <c r="C356" t="s">
        <v>16</v>
      </c>
      <c r="D356" t="s">
        <v>20</v>
      </c>
      <c r="E356" t="s">
        <v>34</v>
      </c>
      <c r="F356" t="s">
        <v>19</v>
      </c>
      <c r="G356">
        <v>30</v>
      </c>
      <c r="H356" s="3">
        <v>175.28</v>
      </c>
      <c r="I356" s="3">
        <v>128.4</v>
      </c>
      <c r="J356" s="3">
        <f t="shared" si="15"/>
        <v>5258.4</v>
      </c>
      <c r="K356" s="3">
        <f t="shared" si="16"/>
        <v>3852</v>
      </c>
      <c r="L356" s="3">
        <f t="shared" si="17"/>
        <v>1406.3999999999996</v>
      </c>
    </row>
    <row r="357" spans="1:12" x14ac:dyDescent="0.3">
      <c r="A357">
        <v>2277</v>
      </c>
      <c r="B357" s="2">
        <v>45443</v>
      </c>
      <c r="C357" t="s">
        <v>23</v>
      </c>
      <c r="D357" t="s">
        <v>20</v>
      </c>
      <c r="E357" t="s">
        <v>34</v>
      </c>
      <c r="F357" t="s">
        <v>28</v>
      </c>
      <c r="G357">
        <v>21</v>
      </c>
      <c r="H357" s="3">
        <v>217.76</v>
      </c>
      <c r="I357" s="3">
        <v>133.56</v>
      </c>
      <c r="J357" s="3">
        <f t="shared" si="15"/>
        <v>4572.96</v>
      </c>
      <c r="K357" s="3">
        <f t="shared" si="16"/>
        <v>2804.76</v>
      </c>
      <c r="L357" s="3">
        <f t="shared" si="17"/>
        <v>1768.1999999999998</v>
      </c>
    </row>
    <row r="358" spans="1:12" x14ac:dyDescent="0.3">
      <c r="A358">
        <v>2246</v>
      </c>
      <c r="B358" s="2">
        <v>45445</v>
      </c>
      <c r="C358" t="s">
        <v>26</v>
      </c>
      <c r="D358" t="s">
        <v>13</v>
      </c>
      <c r="E358" t="s">
        <v>31</v>
      </c>
      <c r="F358" t="s">
        <v>15</v>
      </c>
      <c r="G358">
        <v>6</v>
      </c>
      <c r="H358" s="3">
        <v>59.06</v>
      </c>
      <c r="I358" s="3">
        <v>38.25</v>
      </c>
      <c r="J358" s="3">
        <f t="shared" si="15"/>
        <v>354.36</v>
      </c>
      <c r="K358" s="3">
        <f t="shared" si="16"/>
        <v>229.5</v>
      </c>
      <c r="L358" s="3">
        <f t="shared" si="17"/>
        <v>124.86000000000001</v>
      </c>
    </row>
    <row r="359" spans="1:12" x14ac:dyDescent="0.3">
      <c r="A359">
        <v>2534</v>
      </c>
      <c r="B359" s="2">
        <v>45445</v>
      </c>
      <c r="C359" t="s">
        <v>26</v>
      </c>
      <c r="D359" t="s">
        <v>13</v>
      </c>
      <c r="E359" t="s">
        <v>31</v>
      </c>
      <c r="F359" t="s">
        <v>19</v>
      </c>
      <c r="G359">
        <v>24</v>
      </c>
      <c r="H359" s="3">
        <v>57.13</v>
      </c>
      <c r="I359" s="3">
        <v>40.18</v>
      </c>
      <c r="J359" s="3">
        <f t="shared" si="15"/>
        <v>1371.1200000000001</v>
      </c>
      <c r="K359" s="3">
        <f t="shared" si="16"/>
        <v>964.31999999999994</v>
      </c>
      <c r="L359" s="3">
        <f t="shared" si="17"/>
        <v>406.80000000000018</v>
      </c>
    </row>
    <row r="360" spans="1:12" x14ac:dyDescent="0.3">
      <c r="A360">
        <v>2160</v>
      </c>
      <c r="B360" s="2">
        <v>45447</v>
      </c>
      <c r="C360" t="s">
        <v>12</v>
      </c>
      <c r="D360" t="s">
        <v>29</v>
      </c>
      <c r="E360" t="s">
        <v>30</v>
      </c>
      <c r="F360" t="s">
        <v>19</v>
      </c>
      <c r="G360">
        <v>2</v>
      </c>
      <c r="H360" s="3">
        <v>342.63</v>
      </c>
      <c r="I360" s="3">
        <v>194.03</v>
      </c>
      <c r="J360" s="3">
        <f t="shared" si="15"/>
        <v>685.26</v>
      </c>
      <c r="K360" s="3">
        <f t="shared" si="16"/>
        <v>388.06</v>
      </c>
      <c r="L360" s="3">
        <f t="shared" si="17"/>
        <v>297.2</v>
      </c>
    </row>
    <row r="361" spans="1:12" x14ac:dyDescent="0.3">
      <c r="A361">
        <v>2800</v>
      </c>
      <c r="B361" s="2">
        <v>45447</v>
      </c>
      <c r="C361" t="s">
        <v>16</v>
      </c>
      <c r="D361" t="s">
        <v>29</v>
      </c>
      <c r="E361" t="s">
        <v>43</v>
      </c>
      <c r="F361" t="s">
        <v>36</v>
      </c>
      <c r="G361">
        <v>15</v>
      </c>
      <c r="H361" s="3">
        <v>382.48</v>
      </c>
      <c r="I361" s="3">
        <v>230.31</v>
      </c>
      <c r="J361" s="3">
        <f t="shared" si="15"/>
        <v>5737.2000000000007</v>
      </c>
      <c r="K361" s="3">
        <f t="shared" si="16"/>
        <v>3454.65</v>
      </c>
      <c r="L361" s="3">
        <f t="shared" si="17"/>
        <v>2282.5500000000006</v>
      </c>
    </row>
    <row r="362" spans="1:12" x14ac:dyDescent="0.3">
      <c r="A362">
        <v>2232</v>
      </c>
      <c r="B362" s="2">
        <v>45448</v>
      </c>
      <c r="C362" t="s">
        <v>23</v>
      </c>
      <c r="D362" t="s">
        <v>29</v>
      </c>
      <c r="E362" t="s">
        <v>37</v>
      </c>
      <c r="F362" t="s">
        <v>19</v>
      </c>
      <c r="G362">
        <v>19</v>
      </c>
      <c r="H362" s="3">
        <v>486.3</v>
      </c>
      <c r="I362" s="3">
        <v>350.37</v>
      </c>
      <c r="J362" s="3">
        <f t="shared" si="15"/>
        <v>9239.7000000000007</v>
      </c>
      <c r="K362" s="3">
        <f t="shared" si="16"/>
        <v>6657.03</v>
      </c>
      <c r="L362" s="3">
        <f t="shared" si="17"/>
        <v>2582.670000000001</v>
      </c>
    </row>
    <row r="363" spans="1:12" x14ac:dyDescent="0.3">
      <c r="A363">
        <v>2595</v>
      </c>
      <c r="B363" s="2">
        <v>45448</v>
      </c>
      <c r="C363" t="s">
        <v>16</v>
      </c>
      <c r="D363" t="s">
        <v>29</v>
      </c>
      <c r="E363" t="s">
        <v>30</v>
      </c>
      <c r="F363" t="s">
        <v>36</v>
      </c>
      <c r="G363">
        <v>10</v>
      </c>
      <c r="H363" s="3">
        <v>323.60000000000002</v>
      </c>
      <c r="I363" s="3">
        <v>212.79</v>
      </c>
      <c r="J363" s="3">
        <f t="shared" si="15"/>
        <v>3236</v>
      </c>
      <c r="K363" s="3">
        <f t="shared" si="16"/>
        <v>2127.9</v>
      </c>
      <c r="L363" s="3">
        <f t="shared" si="17"/>
        <v>1108.0999999999999</v>
      </c>
    </row>
    <row r="364" spans="1:12" x14ac:dyDescent="0.3">
      <c r="A364">
        <v>1152</v>
      </c>
      <c r="B364" s="2">
        <v>45449</v>
      </c>
      <c r="C364" t="s">
        <v>23</v>
      </c>
      <c r="D364" t="s">
        <v>29</v>
      </c>
      <c r="E364" t="s">
        <v>43</v>
      </c>
      <c r="F364" t="s">
        <v>28</v>
      </c>
      <c r="G364">
        <v>5</v>
      </c>
      <c r="H364" s="3">
        <v>247.17</v>
      </c>
      <c r="I364" s="3">
        <v>139.01</v>
      </c>
      <c r="J364" s="3">
        <f t="shared" si="15"/>
        <v>1235.8499999999999</v>
      </c>
      <c r="K364" s="3">
        <f t="shared" si="16"/>
        <v>695.05</v>
      </c>
      <c r="L364" s="3">
        <f t="shared" si="17"/>
        <v>540.79999999999995</v>
      </c>
    </row>
    <row r="365" spans="1:12" x14ac:dyDescent="0.3">
      <c r="A365">
        <v>1867</v>
      </c>
      <c r="B365" s="2">
        <v>45450</v>
      </c>
      <c r="C365" t="s">
        <v>12</v>
      </c>
      <c r="D365" t="s">
        <v>17</v>
      </c>
      <c r="E365" t="s">
        <v>35</v>
      </c>
      <c r="F365" t="s">
        <v>15</v>
      </c>
      <c r="G365">
        <v>35</v>
      </c>
      <c r="H365" s="3">
        <v>163.38</v>
      </c>
      <c r="I365" s="3">
        <v>102.58</v>
      </c>
      <c r="J365" s="3">
        <f t="shared" si="15"/>
        <v>5718.3</v>
      </c>
      <c r="K365" s="3">
        <f t="shared" si="16"/>
        <v>3590.2999999999997</v>
      </c>
      <c r="L365" s="3">
        <f t="shared" si="17"/>
        <v>2128.0000000000005</v>
      </c>
    </row>
    <row r="366" spans="1:12" x14ac:dyDescent="0.3">
      <c r="A366">
        <v>1676</v>
      </c>
      <c r="B366" s="2">
        <v>45452</v>
      </c>
      <c r="C366" t="s">
        <v>16</v>
      </c>
      <c r="D366" t="s">
        <v>20</v>
      </c>
      <c r="E366" t="s">
        <v>42</v>
      </c>
      <c r="F366" t="s">
        <v>36</v>
      </c>
      <c r="G366">
        <v>32</v>
      </c>
      <c r="H366" s="3">
        <v>25.08</v>
      </c>
      <c r="I366" s="3">
        <v>18.059999999999999</v>
      </c>
      <c r="J366" s="3">
        <f t="shared" si="15"/>
        <v>802.56</v>
      </c>
      <c r="K366" s="3">
        <f t="shared" si="16"/>
        <v>577.91999999999996</v>
      </c>
      <c r="L366" s="3">
        <f t="shared" si="17"/>
        <v>224.64</v>
      </c>
    </row>
    <row r="367" spans="1:12" x14ac:dyDescent="0.3">
      <c r="A367">
        <v>1680</v>
      </c>
      <c r="B367" s="2">
        <v>45452</v>
      </c>
      <c r="C367" t="s">
        <v>32</v>
      </c>
      <c r="D367" t="s">
        <v>20</v>
      </c>
      <c r="E367" t="s">
        <v>21</v>
      </c>
      <c r="F367" t="s">
        <v>25</v>
      </c>
      <c r="G367">
        <v>10</v>
      </c>
      <c r="H367" s="3">
        <v>257.61</v>
      </c>
      <c r="I367" s="3">
        <v>157.08000000000001</v>
      </c>
      <c r="J367" s="3">
        <f t="shared" si="15"/>
        <v>2576.1000000000004</v>
      </c>
      <c r="K367" s="3">
        <f t="shared" si="16"/>
        <v>1570.8000000000002</v>
      </c>
      <c r="L367" s="3">
        <f t="shared" si="17"/>
        <v>1005.3000000000002</v>
      </c>
    </row>
    <row r="368" spans="1:12" x14ac:dyDescent="0.3">
      <c r="A368">
        <v>1742</v>
      </c>
      <c r="B368" s="2">
        <v>45452</v>
      </c>
      <c r="C368" t="s">
        <v>32</v>
      </c>
      <c r="D368" t="s">
        <v>29</v>
      </c>
      <c r="E368" t="s">
        <v>30</v>
      </c>
      <c r="F368" t="s">
        <v>19</v>
      </c>
      <c r="G368">
        <v>6</v>
      </c>
      <c r="H368" s="3">
        <v>176.67</v>
      </c>
      <c r="I368" s="3">
        <v>110.96</v>
      </c>
      <c r="J368" s="3">
        <f t="shared" si="15"/>
        <v>1060.02</v>
      </c>
      <c r="K368" s="3">
        <f t="shared" si="16"/>
        <v>665.76</v>
      </c>
      <c r="L368" s="3">
        <f t="shared" si="17"/>
        <v>394.26</v>
      </c>
    </row>
    <row r="369" spans="1:12" x14ac:dyDescent="0.3">
      <c r="A369">
        <v>2136</v>
      </c>
      <c r="B369" s="2">
        <v>45452</v>
      </c>
      <c r="C369" t="s">
        <v>32</v>
      </c>
      <c r="D369" t="s">
        <v>20</v>
      </c>
      <c r="E369" t="s">
        <v>21</v>
      </c>
      <c r="F369" t="s">
        <v>15</v>
      </c>
      <c r="G369">
        <v>15</v>
      </c>
      <c r="H369" s="3">
        <v>105.01</v>
      </c>
      <c r="I369" s="3">
        <v>56.31</v>
      </c>
      <c r="J369" s="3">
        <f t="shared" si="15"/>
        <v>1575.15</v>
      </c>
      <c r="K369" s="3">
        <f t="shared" si="16"/>
        <v>844.65000000000009</v>
      </c>
      <c r="L369" s="3">
        <f t="shared" si="17"/>
        <v>730.5</v>
      </c>
    </row>
    <row r="370" spans="1:12" x14ac:dyDescent="0.3">
      <c r="A370">
        <v>1028</v>
      </c>
      <c r="B370" s="2">
        <v>45453</v>
      </c>
      <c r="C370" t="s">
        <v>23</v>
      </c>
      <c r="D370" t="s">
        <v>29</v>
      </c>
      <c r="E370" t="s">
        <v>30</v>
      </c>
      <c r="F370" t="s">
        <v>15</v>
      </c>
      <c r="G370">
        <v>7</v>
      </c>
      <c r="H370" s="3">
        <v>128.47999999999999</v>
      </c>
      <c r="I370" s="3">
        <v>82.01</v>
      </c>
      <c r="J370" s="3">
        <f t="shared" si="15"/>
        <v>899.3599999999999</v>
      </c>
      <c r="K370" s="3">
        <f t="shared" si="16"/>
        <v>574.07000000000005</v>
      </c>
      <c r="L370" s="3">
        <f t="shared" si="17"/>
        <v>325.28999999999985</v>
      </c>
    </row>
    <row r="371" spans="1:12" x14ac:dyDescent="0.3">
      <c r="A371">
        <v>1977</v>
      </c>
      <c r="B371" s="2">
        <v>45454</v>
      </c>
      <c r="C371" t="s">
        <v>12</v>
      </c>
      <c r="D371" t="s">
        <v>17</v>
      </c>
      <c r="E371" t="s">
        <v>27</v>
      </c>
      <c r="F371" t="s">
        <v>28</v>
      </c>
      <c r="G371">
        <v>31</v>
      </c>
      <c r="H371" s="3">
        <v>331.87</v>
      </c>
      <c r="I371" s="3">
        <v>231.94</v>
      </c>
      <c r="J371" s="3">
        <f t="shared" si="15"/>
        <v>10287.969999999999</v>
      </c>
      <c r="K371" s="3">
        <f t="shared" si="16"/>
        <v>7190.14</v>
      </c>
      <c r="L371" s="3">
        <f t="shared" si="17"/>
        <v>3097.829999999999</v>
      </c>
    </row>
    <row r="372" spans="1:12" x14ac:dyDescent="0.3">
      <c r="A372">
        <v>2120</v>
      </c>
      <c r="B372" s="2">
        <v>45454</v>
      </c>
      <c r="C372" t="s">
        <v>16</v>
      </c>
      <c r="D372" t="s">
        <v>29</v>
      </c>
      <c r="E372" t="s">
        <v>41</v>
      </c>
      <c r="F372" t="s">
        <v>28</v>
      </c>
      <c r="G372">
        <v>19</v>
      </c>
      <c r="H372" s="3">
        <v>133.99</v>
      </c>
      <c r="I372" s="3">
        <v>95.77</v>
      </c>
      <c r="J372" s="3">
        <f t="shared" si="15"/>
        <v>2545.8100000000004</v>
      </c>
      <c r="K372" s="3">
        <f t="shared" si="16"/>
        <v>1819.6299999999999</v>
      </c>
      <c r="L372" s="3">
        <f t="shared" si="17"/>
        <v>726.18000000000052</v>
      </c>
    </row>
    <row r="373" spans="1:12" x14ac:dyDescent="0.3">
      <c r="A373">
        <v>2417</v>
      </c>
      <c r="B373" s="2">
        <v>45454</v>
      </c>
      <c r="C373" t="s">
        <v>26</v>
      </c>
      <c r="D373" t="s">
        <v>17</v>
      </c>
      <c r="E373" t="s">
        <v>18</v>
      </c>
      <c r="F373" t="s">
        <v>15</v>
      </c>
      <c r="G373">
        <v>14</v>
      </c>
      <c r="H373" s="3">
        <v>407.26</v>
      </c>
      <c r="I373" s="3">
        <v>247.02</v>
      </c>
      <c r="J373" s="3">
        <f t="shared" si="15"/>
        <v>5701.6399999999994</v>
      </c>
      <c r="K373" s="3">
        <f t="shared" si="16"/>
        <v>3458.28</v>
      </c>
      <c r="L373" s="3">
        <f t="shared" si="17"/>
        <v>2243.3599999999992</v>
      </c>
    </row>
    <row r="374" spans="1:12" x14ac:dyDescent="0.3">
      <c r="A374">
        <v>1034</v>
      </c>
      <c r="B374" s="2">
        <v>45455</v>
      </c>
      <c r="C374" t="s">
        <v>26</v>
      </c>
      <c r="D374" t="s">
        <v>20</v>
      </c>
      <c r="E374" t="s">
        <v>42</v>
      </c>
      <c r="F374" t="s">
        <v>28</v>
      </c>
      <c r="G374">
        <v>15</v>
      </c>
      <c r="H374" s="3">
        <v>249.75</v>
      </c>
      <c r="I374" s="3">
        <v>179.28</v>
      </c>
      <c r="J374" s="3">
        <f t="shared" si="15"/>
        <v>3746.25</v>
      </c>
      <c r="K374" s="3">
        <f t="shared" si="16"/>
        <v>2689.2</v>
      </c>
      <c r="L374" s="3">
        <f t="shared" si="17"/>
        <v>1057.0500000000002</v>
      </c>
    </row>
    <row r="375" spans="1:12" x14ac:dyDescent="0.3">
      <c r="A375">
        <v>1288</v>
      </c>
      <c r="B375" s="2">
        <v>45455</v>
      </c>
      <c r="C375" t="s">
        <v>26</v>
      </c>
      <c r="D375" t="s">
        <v>13</v>
      </c>
      <c r="E375" t="s">
        <v>24</v>
      </c>
      <c r="F375" t="s">
        <v>15</v>
      </c>
      <c r="G375">
        <v>35</v>
      </c>
      <c r="H375" s="3">
        <v>55.28</v>
      </c>
      <c r="I375" s="3">
        <v>30.67</v>
      </c>
      <c r="J375" s="3">
        <f t="shared" si="15"/>
        <v>1934.8</v>
      </c>
      <c r="K375" s="3">
        <f t="shared" si="16"/>
        <v>1073.45</v>
      </c>
      <c r="L375" s="3">
        <f t="shared" si="17"/>
        <v>861.34999999999991</v>
      </c>
    </row>
    <row r="376" spans="1:12" x14ac:dyDescent="0.3">
      <c r="A376">
        <v>1628</v>
      </c>
      <c r="B376" s="2">
        <v>45455</v>
      </c>
      <c r="C376" t="s">
        <v>32</v>
      </c>
      <c r="D376" t="s">
        <v>13</v>
      </c>
      <c r="E376" t="s">
        <v>45</v>
      </c>
      <c r="F376" t="s">
        <v>15</v>
      </c>
      <c r="G376">
        <v>18</v>
      </c>
      <c r="H376" s="3">
        <v>13.03</v>
      </c>
      <c r="I376" s="3">
        <v>8.1</v>
      </c>
      <c r="J376" s="3">
        <f t="shared" si="15"/>
        <v>234.54</v>
      </c>
      <c r="K376" s="3">
        <f t="shared" si="16"/>
        <v>145.79999999999998</v>
      </c>
      <c r="L376" s="3">
        <f t="shared" si="17"/>
        <v>88.740000000000009</v>
      </c>
    </row>
    <row r="377" spans="1:12" x14ac:dyDescent="0.3">
      <c r="A377">
        <v>1856</v>
      </c>
      <c r="B377" s="2">
        <v>45455</v>
      </c>
      <c r="C377" t="s">
        <v>16</v>
      </c>
      <c r="D377" t="s">
        <v>13</v>
      </c>
      <c r="E377" t="s">
        <v>46</v>
      </c>
      <c r="F377" t="s">
        <v>22</v>
      </c>
      <c r="G377">
        <v>33</v>
      </c>
      <c r="H377" s="3">
        <v>43.34</v>
      </c>
      <c r="I377" s="3">
        <v>24.06</v>
      </c>
      <c r="J377" s="3">
        <f t="shared" si="15"/>
        <v>1430.22</v>
      </c>
      <c r="K377" s="3">
        <f t="shared" si="16"/>
        <v>793.9799999999999</v>
      </c>
      <c r="L377" s="3">
        <f t="shared" si="17"/>
        <v>636.24000000000012</v>
      </c>
    </row>
    <row r="378" spans="1:12" x14ac:dyDescent="0.3">
      <c r="A378">
        <v>2293</v>
      </c>
      <c r="B378" s="2">
        <v>45455</v>
      </c>
      <c r="C378" t="s">
        <v>26</v>
      </c>
      <c r="D378" t="s">
        <v>17</v>
      </c>
      <c r="E378" t="s">
        <v>40</v>
      </c>
      <c r="F378" t="s">
        <v>39</v>
      </c>
      <c r="G378">
        <v>13</v>
      </c>
      <c r="H378" s="3">
        <v>875.59</v>
      </c>
      <c r="I378" s="3">
        <v>580.87</v>
      </c>
      <c r="J378" s="3">
        <f t="shared" si="15"/>
        <v>11382.67</v>
      </c>
      <c r="K378" s="3">
        <f t="shared" si="16"/>
        <v>7551.31</v>
      </c>
      <c r="L378" s="3">
        <f t="shared" si="17"/>
        <v>3831.3599999999997</v>
      </c>
    </row>
    <row r="379" spans="1:12" x14ac:dyDescent="0.3">
      <c r="A379">
        <v>2778</v>
      </c>
      <c r="B379" s="2">
        <v>45455</v>
      </c>
      <c r="C379" t="s">
        <v>12</v>
      </c>
      <c r="D379" t="s">
        <v>13</v>
      </c>
      <c r="E379" t="s">
        <v>24</v>
      </c>
      <c r="F379" t="s">
        <v>19</v>
      </c>
      <c r="G379">
        <v>40</v>
      </c>
      <c r="H379" s="3">
        <v>3.53</v>
      </c>
      <c r="I379" s="3">
        <v>2.27</v>
      </c>
      <c r="J379" s="3">
        <f t="shared" si="15"/>
        <v>141.19999999999999</v>
      </c>
      <c r="K379" s="3">
        <f t="shared" si="16"/>
        <v>90.8</v>
      </c>
      <c r="L379" s="3">
        <f t="shared" si="17"/>
        <v>50.399999999999991</v>
      </c>
    </row>
    <row r="380" spans="1:12" x14ac:dyDescent="0.3">
      <c r="A380">
        <v>2798</v>
      </c>
      <c r="B380" s="2">
        <v>45455</v>
      </c>
      <c r="C380" t="s">
        <v>32</v>
      </c>
      <c r="D380" t="s">
        <v>13</v>
      </c>
      <c r="E380" t="s">
        <v>45</v>
      </c>
      <c r="F380" t="s">
        <v>36</v>
      </c>
      <c r="G380">
        <v>6</v>
      </c>
      <c r="H380" s="3">
        <v>22.91</v>
      </c>
      <c r="I380" s="3">
        <v>12.22</v>
      </c>
      <c r="J380" s="3">
        <f t="shared" si="15"/>
        <v>137.46</v>
      </c>
      <c r="K380" s="3">
        <f t="shared" si="16"/>
        <v>73.320000000000007</v>
      </c>
      <c r="L380" s="3">
        <f t="shared" si="17"/>
        <v>64.14</v>
      </c>
    </row>
    <row r="381" spans="1:12" x14ac:dyDescent="0.3">
      <c r="A381">
        <v>2189</v>
      </c>
      <c r="B381" s="2">
        <v>45456</v>
      </c>
      <c r="C381" t="s">
        <v>12</v>
      </c>
      <c r="D381" t="s">
        <v>29</v>
      </c>
      <c r="E381" t="s">
        <v>41</v>
      </c>
      <c r="F381" t="s">
        <v>33</v>
      </c>
      <c r="G381">
        <v>12</v>
      </c>
      <c r="H381" s="3">
        <v>220.18</v>
      </c>
      <c r="I381" s="3">
        <v>150.82</v>
      </c>
      <c r="J381" s="3">
        <f t="shared" si="15"/>
        <v>2642.16</v>
      </c>
      <c r="K381" s="3">
        <f t="shared" si="16"/>
        <v>1809.84</v>
      </c>
      <c r="L381" s="3">
        <f t="shared" si="17"/>
        <v>832.31999999999994</v>
      </c>
    </row>
    <row r="382" spans="1:12" x14ac:dyDescent="0.3">
      <c r="A382">
        <v>2340</v>
      </c>
      <c r="B382" s="2">
        <v>45456</v>
      </c>
      <c r="C382" t="s">
        <v>26</v>
      </c>
      <c r="D382" t="s">
        <v>29</v>
      </c>
      <c r="E382" t="s">
        <v>41</v>
      </c>
      <c r="F382" t="s">
        <v>25</v>
      </c>
      <c r="G382">
        <v>7</v>
      </c>
      <c r="H382" s="3">
        <v>181.65</v>
      </c>
      <c r="I382" s="3">
        <v>131.33000000000001</v>
      </c>
      <c r="J382" s="3">
        <f t="shared" si="15"/>
        <v>1271.55</v>
      </c>
      <c r="K382" s="3">
        <f t="shared" si="16"/>
        <v>919.31000000000006</v>
      </c>
      <c r="L382" s="3">
        <f t="shared" si="17"/>
        <v>352.2399999999999</v>
      </c>
    </row>
    <row r="383" spans="1:12" x14ac:dyDescent="0.3">
      <c r="A383">
        <v>1568</v>
      </c>
      <c r="B383" s="2">
        <v>45457</v>
      </c>
      <c r="C383" t="s">
        <v>23</v>
      </c>
      <c r="D383" t="s">
        <v>17</v>
      </c>
      <c r="E383" t="s">
        <v>18</v>
      </c>
      <c r="F383" t="s">
        <v>28</v>
      </c>
      <c r="G383">
        <v>9</v>
      </c>
      <c r="H383" s="3">
        <v>794.33</v>
      </c>
      <c r="I383" s="3">
        <v>489.37</v>
      </c>
      <c r="J383" s="3">
        <f t="shared" si="15"/>
        <v>7148.97</v>
      </c>
      <c r="K383" s="3">
        <f t="shared" si="16"/>
        <v>4404.33</v>
      </c>
      <c r="L383" s="3">
        <f t="shared" si="17"/>
        <v>2744.6400000000003</v>
      </c>
    </row>
    <row r="384" spans="1:12" x14ac:dyDescent="0.3">
      <c r="A384">
        <v>2705</v>
      </c>
      <c r="B384" s="2">
        <v>45457</v>
      </c>
      <c r="C384" t="s">
        <v>16</v>
      </c>
      <c r="D384" t="s">
        <v>17</v>
      </c>
      <c r="E384" t="s">
        <v>18</v>
      </c>
      <c r="F384" t="s">
        <v>25</v>
      </c>
      <c r="G384">
        <v>31</v>
      </c>
      <c r="H384" s="3">
        <v>310.77</v>
      </c>
      <c r="I384" s="3">
        <v>200.61</v>
      </c>
      <c r="J384" s="3">
        <f t="shared" si="15"/>
        <v>9633.869999999999</v>
      </c>
      <c r="K384" s="3">
        <f t="shared" si="16"/>
        <v>6218.9100000000008</v>
      </c>
      <c r="L384" s="3">
        <f t="shared" si="17"/>
        <v>3414.9599999999982</v>
      </c>
    </row>
    <row r="385" spans="1:12" x14ac:dyDescent="0.3">
      <c r="A385">
        <v>2741</v>
      </c>
      <c r="B385" s="2">
        <v>45457</v>
      </c>
      <c r="C385" t="s">
        <v>16</v>
      </c>
      <c r="D385" t="s">
        <v>17</v>
      </c>
      <c r="E385" t="s">
        <v>27</v>
      </c>
      <c r="F385" t="s">
        <v>15</v>
      </c>
      <c r="G385">
        <v>17</v>
      </c>
      <c r="H385" s="3">
        <v>897.6</v>
      </c>
      <c r="I385" s="3">
        <v>575.83000000000004</v>
      </c>
      <c r="J385" s="3">
        <f t="shared" si="15"/>
        <v>15259.2</v>
      </c>
      <c r="K385" s="3">
        <f t="shared" si="16"/>
        <v>9789.11</v>
      </c>
      <c r="L385" s="3">
        <f t="shared" si="17"/>
        <v>5470.09</v>
      </c>
    </row>
    <row r="386" spans="1:12" x14ac:dyDescent="0.3">
      <c r="A386">
        <v>1033</v>
      </c>
      <c r="B386" s="2">
        <v>45458</v>
      </c>
      <c r="C386" t="s">
        <v>12</v>
      </c>
      <c r="D386" t="s">
        <v>20</v>
      </c>
      <c r="E386" t="s">
        <v>42</v>
      </c>
      <c r="F386" t="s">
        <v>19</v>
      </c>
      <c r="G386">
        <v>22</v>
      </c>
      <c r="H386" s="3">
        <v>225.82</v>
      </c>
      <c r="I386" s="3">
        <v>126.92</v>
      </c>
      <c r="J386" s="3">
        <f t="shared" ref="J386:J449" si="18">G386*H386</f>
        <v>4968.04</v>
      </c>
      <c r="K386" s="3">
        <f t="shared" ref="K386:K449" si="19">G386*I386</f>
        <v>2792.2400000000002</v>
      </c>
      <c r="L386" s="3">
        <f t="shared" ref="L386:L449" si="20">J386-K386</f>
        <v>2175.7999999999997</v>
      </c>
    </row>
    <row r="387" spans="1:12" x14ac:dyDescent="0.3">
      <c r="A387">
        <v>2278</v>
      </c>
      <c r="B387" s="2">
        <v>45458</v>
      </c>
      <c r="C387" t="s">
        <v>16</v>
      </c>
      <c r="D387" t="s">
        <v>13</v>
      </c>
      <c r="E387" t="s">
        <v>31</v>
      </c>
      <c r="F387" t="s">
        <v>22</v>
      </c>
      <c r="G387">
        <v>8</v>
      </c>
      <c r="H387" s="3">
        <v>21.61</v>
      </c>
      <c r="I387" s="3">
        <v>15.3</v>
      </c>
      <c r="J387" s="3">
        <f t="shared" si="18"/>
        <v>172.88</v>
      </c>
      <c r="K387" s="3">
        <f t="shared" si="19"/>
        <v>122.4</v>
      </c>
      <c r="L387" s="3">
        <f t="shared" si="20"/>
        <v>50.47999999999999</v>
      </c>
    </row>
    <row r="388" spans="1:12" x14ac:dyDescent="0.3">
      <c r="A388">
        <v>2527</v>
      </c>
      <c r="B388" s="2">
        <v>45458</v>
      </c>
      <c r="C388" t="s">
        <v>12</v>
      </c>
      <c r="D388" t="s">
        <v>29</v>
      </c>
      <c r="E388" t="s">
        <v>41</v>
      </c>
      <c r="F388" t="s">
        <v>36</v>
      </c>
      <c r="G388">
        <v>4</v>
      </c>
      <c r="H388" s="3">
        <v>325.10000000000002</v>
      </c>
      <c r="I388" s="3">
        <v>223.85</v>
      </c>
      <c r="J388" s="3">
        <f t="shared" si="18"/>
        <v>1300.4000000000001</v>
      </c>
      <c r="K388" s="3">
        <f t="shared" si="19"/>
        <v>895.4</v>
      </c>
      <c r="L388" s="3">
        <f t="shared" si="20"/>
        <v>405.00000000000011</v>
      </c>
    </row>
    <row r="389" spans="1:12" x14ac:dyDescent="0.3">
      <c r="A389">
        <v>2707</v>
      </c>
      <c r="B389" s="2">
        <v>45458</v>
      </c>
      <c r="C389" t="s">
        <v>12</v>
      </c>
      <c r="D389" t="s">
        <v>17</v>
      </c>
      <c r="E389" t="s">
        <v>44</v>
      </c>
      <c r="F389" t="s">
        <v>25</v>
      </c>
      <c r="G389">
        <v>27</v>
      </c>
      <c r="H389" s="3">
        <v>468.95</v>
      </c>
      <c r="I389" s="3">
        <v>277.69</v>
      </c>
      <c r="J389" s="3">
        <f t="shared" si="18"/>
        <v>12661.65</v>
      </c>
      <c r="K389" s="3">
        <f t="shared" si="19"/>
        <v>7497.63</v>
      </c>
      <c r="L389" s="3">
        <f t="shared" si="20"/>
        <v>5164.0199999999995</v>
      </c>
    </row>
    <row r="390" spans="1:12" x14ac:dyDescent="0.3">
      <c r="A390">
        <v>1318</v>
      </c>
      <c r="B390" s="2">
        <v>45459</v>
      </c>
      <c r="C390" t="s">
        <v>32</v>
      </c>
      <c r="D390" t="s">
        <v>17</v>
      </c>
      <c r="E390" t="s">
        <v>40</v>
      </c>
      <c r="F390" t="s">
        <v>22</v>
      </c>
      <c r="G390">
        <v>25</v>
      </c>
      <c r="H390" s="3">
        <v>101.71</v>
      </c>
      <c r="I390" s="3">
        <v>56.48</v>
      </c>
      <c r="J390" s="3">
        <f t="shared" si="18"/>
        <v>2542.75</v>
      </c>
      <c r="K390" s="3">
        <f t="shared" si="19"/>
        <v>1412</v>
      </c>
      <c r="L390" s="3">
        <f t="shared" si="20"/>
        <v>1130.75</v>
      </c>
    </row>
    <row r="391" spans="1:12" x14ac:dyDescent="0.3">
      <c r="A391">
        <v>2495</v>
      </c>
      <c r="B391" s="2">
        <v>45459</v>
      </c>
      <c r="C391" t="s">
        <v>26</v>
      </c>
      <c r="D391" t="s">
        <v>20</v>
      </c>
      <c r="E391" t="s">
        <v>42</v>
      </c>
      <c r="F391" t="s">
        <v>39</v>
      </c>
      <c r="G391">
        <v>28</v>
      </c>
      <c r="H391" s="3">
        <v>57.06</v>
      </c>
      <c r="I391" s="3">
        <v>35.6</v>
      </c>
      <c r="J391" s="3">
        <f t="shared" si="18"/>
        <v>1597.68</v>
      </c>
      <c r="K391" s="3">
        <f t="shared" si="19"/>
        <v>996.80000000000007</v>
      </c>
      <c r="L391" s="3">
        <f t="shared" si="20"/>
        <v>600.88</v>
      </c>
    </row>
    <row r="392" spans="1:12" x14ac:dyDescent="0.3">
      <c r="A392">
        <v>1278</v>
      </c>
      <c r="B392" s="2">
        <v>45460</v>
      </c>
      <c r="C392" t="s">
        <v>23</v>
      </c>
      <c r="D392" t="s">
        <v>20</v>
      </c>
      <c r="E392" t="s">
        <v>38</v>
      </c>
      <c r="F392" t="s">
        <v>36</v>
      </c>
      <c r="G392">
        <v>8</v>
      </c>
      <c r="H392" s="3">
        <v>106.33</v>
      </c>
      <c r="I392" s="3">
        <v>60.21</v>
      </c>
      <c r="J392" s="3">
        <f t="shared" si="18"/>
        <v>850.64</v>
      </c>
      <c r="K392" s="3">
        <f t="shared" si="19"/>
        <v>481.68</v>
      </c>
      <c r="L392" s="3">
        <f t="shared" si="20"/>
        <v>368.96</v>
      </c>
    </row>
    <row r="393" spans="1:12" x14ac:dyDescent="0.3">
      <c r="A393">
        <v>1301</v>
      </c>
      <c r="B393" s="2">
        <v>45460</v>
      </c>
      <c r="C393" t="s">
        <v>16</v>
      </c>
      <c r="D393" t="s">
        <v>20</v>
      </c>
      <c r="E393" t="s">
        <v>34</v>
      </c>
      <c r="F393" t="s">
        <v>22</v>
      </c>
      <c r="G393">
        <v>7</v>
      </c>
      <c r="H393" s="3">
        <v>175.15</v>
      </c>
      <c r="I393" s="3">
        <v>128.1</v>
      </c>
      <c r="J393" s="3">
        <f t="shared" si="18"/>
        <v>1226.05</v>
      </c>
      <c r="K393" s="3">
        <f t="shared" si="19"/>
        <v>896.69999999999993</v>
      </c>
      <c r="L393" s="3">
        <f t="shared" si="20"/>
        <v>329.35</v>
      </c>
    </row>
    <row r="394" spans="1:12" x14ac:dyDescent="0.3">
      <c r="A394">
        <v>1684</v>
      </c>
      <c r="B394" s="2">
        <v>45460</v>
      </c>
      <c r="C394" t="s">
        <v>23</v>
      </c>
      <c r="D394" t="s">
        <v>17</v>
      </c>
      <c r="E394" t="s">
        <v>18</v>
      </c>
      <c r="F394" t="s">
        <v>22</v>
      </c>
      <c r="G394">
        <v>10</v>
      </c>
      <c r="H394" s="3">
        <v>818.11</v>
      </c>
      <c r="I394" s="3">
        <v>544.12</v>
      </c>
      <c r="J394" s="3">
        <f t="shared" si="18"/>
        <v>8181.1</v>
      </c>
      <c r="K394" s="3">
        <f t="shared" si="19"/>
        <v>5441.2</v>
      </c>
      <c r="L394" s="3">
        <f t="shared" si="20"/>
        <v>2739.9000000000005</v>
      </c>
    </row>
    <row r="395" spans="1:12" x14ac:dyDescent="0.3">
      <c r="A395">
        <v>2053</v>
      </c>
      <c r="B395" s="2">
        <v>45460</v>
      </c>
      <c r="C395" t="s">
        <v>16</v>
      </c>
      <c r="D395" t="s">
        <v>20</v>
      </c>
      <c r="E395" t="s">
        <v>42</v>
      </c>
      <c r="F395" t="s">
        <v>33</v>
      </c>
      <c r="G395">
        <v>27</v>
      </c>
      <c r="H395" s="3">
        <v>21.57</v>
      </c>
      <c r="I395" s="3">
        <v>14.57</v>
      </c>
      <c r="J395" s="3">
        <f t="shared" si="18"/>
        <v>582.39</v>
      </c>
      <c r="K395" s="3">
        <f t="shared" si="19"/>
        <v>393.39</v>
      </c>
      <c r="L395" s="3">
        <f t="shared" si="20"/>
        <v>189</v>
      </c>
    </row>
    <row r="396" spans="1:12" x14ac:dyDescent="0.3">
      <c r="A396">
        <v>2286</v>
      </c>
      <c r="B396" s="2">
        <v>45460</v>
      </c>
      <c r="C396" t="s">
        <v>23</v>
      </c>
      <c r="D396" t="s">
        <v>13</v>
      </c>
      <c r="E396" t="s">
        <v>24</v>
      </c>
      <c r="F396" t="s">
        <v>22</v>
      </c>
      <c r="G396">
        <v>40</v>
      </c>
      <c r="H396" s="3">
        <v>34.71</v>
      </c>
      <c r="I396" s="3">
        <v>19.100000000000001</v>
      </c>
      <c r="J396" s="3">
        <f t="shared" si="18"/>
        <v>1388.4</v>
      </c>
      <c r="K396" s="3">
        <f t="shared" si="19"/>
        <v>764</v>
      </c>
      <c r="L396" s="3">
        <f t="shared" si="20"/>
        <v>624.40000000000009</v>
      </c>
    </row>
    <row r="397" spans="1:12" x14ac:dyDescent="0.3">
      <c r="A397">
        <v>2304</v>
      </c>
      <c r="B397" s="2">
        <v>45460</v>
      </c>
      <c r="C397" t="s">
        <v>12</v>
      </c>
      <c r="D397" t="s">
        <v>29</v>
      </c>
      <c r="E397" t="s">
        <v>41</v>
      </c>
      <c r="F397" t="s">
        <v>25</v>
      </c>
      <c r="G397">
        <v>21</v>
      </c>
      <c r="H397" s="3">
        <v>310.35000000000002</v>
      </c>
      <c r="I397" s="3">
        <v>206.14</v>
      </c>
      <c r="J397" s="3">
        <f t="shared" si="18"/>
        <v>6517.35</v>
      </c>
      <c r="K397" s="3">
        <f t="shared" si="19"/>
        <v>4328.9399999999996</v>
      </c>
      <c r="L397" s="3">
        <f t="shared" si="20"/>
        <v>2188.4100000000008</v>
      </c>
    </row>
    <row r="398" spans="1:12" x14ac:dyDescent="0.3">
      <c r="A398">
        <v>2324</v>
      </c>
      <c r="B398" s="2">
        <v>45460</v>
      </c>
      <c r="C398" t="s">
        <v>12</v>
      </c>
      <c r="D398" t="s">
        <v>20</v>
      </c>
      <c r="E398" t="s">
        <v>38</v>
      </c>
      <c r="F398" t="s">
        <v>39</v>
      </c>
      <c r="G398">
        <v>17</v>
      </c>
      <c r="H398" s="3">
        <v>109.74</v>
      </c>
      <c r="I398" s="3">
        <v>65.7</v>
      </c>
      <c r="J398" s="3">
        <f t="shared" si="18"/>
        <v>1865.58</v>
      </c>
      <c r="K398" s="3">
        <f t="shared" si="19"/>
        <v>1116.9000000000001</v>
      </c>
      <c r="L398" s="3">
        <f t="shared" si="20"/>
        <v>748.67999999999984</v>
      </c>
    </row>
    <row r="399" spans="1:12" x14ac:dyDescent="0.3">
      <c r="A399">
        <v>2620</v>
      </c>
      <c r="B399" s="2">
        <v>45460</v>
      </c>
      <c r="C399" t="s">
        <v>26</v>
      </c>
      <c r="D399" t="s">
        <v>13</v>
      </c>
      <c r="E399" t="s">
        <v>46</v>
      </c>
      <c r="F399" t="s">
        <v>15</v>
      </c>
      <c r="G399">
        <v>15</v>
      </c>
      <c r="H399" s="3">
        <v>53.42</v>
      </c>
      <c r="I399" s="3">
        <v>36.01</v>
      </c>
      <c r="J399" s="3">
        <f t="shared" si="18"/>
        <v>801.30000000000007</v>
      </c>
      <c r="K399" s="3">
        <f t="shared" si="19"/>
        <v>540.15</v>
      </c>
      <c r="L399" s="3">
        <f t="shared" si="20"/>
        <v>261.15000000000009</v>
      </c>
    </row>
    <row r="400" spans="1:12" x14ac:dyDescent="0.3">
      <c r="A400">
        <v>1050</v>
      </c>
      <c r="B400" s="2">
        <v>45461</v>
      </c>
      <c r="C400" t="s">
        <v>23</v>
      </c>
      <c r="D400" t="s">
        <v>13</v>
      </c>
      <c r="E400" t="s">
        <v>46</v>
      </c>
      <c r="F400" t="s">
        <v>22</v>
      </c>
      <c r="G400">
        <v>26</v>
      </c>
      <c r="H400" s="3">
        <v>40.79</v>
      </c>
      <c r="I400" s="3">
        <v>29.23</v>
      </c>
      <c r="J400" s="3">
        <f t="shared" si="18"/>
        <v>1060.54</v>
      </c>
      <c r="K400" s="3">
        <f t="shared" si="19"/>
        <v>759.98</v>
      </c>
      <c r="L400" s="3">
        <f t="shared" si="20"/>
        <v>300.55999999999995</v>
      </c>
    </row>
    <row r="401" spans="1:12" x14ac:dyDescent="0.3">
      <c r="A401">
        <v>1700</v>
      </c>
      <c r="B401" s="2">
        <v>45461</v>
      </c>
      <c r="C401" t="s">
        <v>26</v>
      </c>
      <c r="D401" t="s">
        <v>29</v>
      </c>
      <c r="E401" t="s">
        <v>30</v>
      </c>
      <c r="F401" t="s">
        <v>25</v>
      </c>
      <c r="G401">
        <v>13</v>
      </c>
      <c r="H401" s="3">
        <v>398.2</v>
      </c>
      <c r="I401" s="3">
        <v>251.04</v>
      </c>
      <c r="J401" s="3">
        <f t="shared" si="18"/>
        <v>5176.5999999999995</v>
      </c>
      <c r="K401" s="3">
        <f t="shared" si="19"/>
        <v>3263.52</v>
      </c>
      <c r="L401" s="3">
        <f t="shared" si="20"/>
        <v>1913.0799999999995</v>
      </c>
    </row>
    <row r="402" spans="1:12" x14ac:dyDescent="0.3">
      <c r="A402">
        <v>2082</v>
      </c>
      <c r="B402" s="2">
        <v>45461</v>
      </c>
      <c r="C402" t="s">
        <v>23</v>
      </c>
      <c r="D402" t="s">
        <v>17</v>
      </c>
      <c r="E402" t="s">
        <v>44</v>
      </c>
      <c r="F402" t="s">
        <v>39</v>
      </c>
      <c r="G402">
        <v>12</v>
      </c>
      <c r="H402" s="3">
        <v>313.08</v>
      </c>
      <c r="I402" s="3">
        <v>163.6</v>
      </c>
      <c r="J402" s="3">
        <f t="shared" si="18"/>
        <v>3756.96</v>
      </c>
      <c r="K402" s="3">
        <f t="shared" si="19"/>
        <v>1963.1999999999998</v>
      </c>
      <c r="L402" s="3">
        <f t="shared" si="20"/>
        <v>1793.7600000000002</v>
      </c>
    </row>
    <row r="403" spans="1:12" x14ac:dyDescent="0.3">
      <c r="A403">
        <v>2174</v>
      </c>
      <c r="B403" s="2">
        <v>45461</v>
      </c>
      <c r="C403" t="s">
        <v>16</v>
      </c>
      <c r="D403" t="s">
        <v>13</v>
      </c>
      <c r="E403" t="s">
        <v>24</v>
      </c>
      <c r="F403" t="s">
        <v>36</v>
      </c>
      <c r="G403">
        <v>13</v>
      </c>
      <c r="H403" s="3">
        <v>57.67</v>
      </c>
      <c r="I403" s="3">
        <v>41.82</v>
      </c>
      <c r="J403" s="3">
        <f t="shared" si="18"/>
        <v>749.71</v>
      </c>
      <c r="K403" s="3">
        <f t="shared" si="19"/>
        <v>543.66</v>
      </c>
      <c r="L403" s="3">
        <f t="shared" si="20"/>
        <v>206.05000000000007</v>
      </c>
    </row>
    <row r="404" spans="1:12" x14ac:dyDescent="0.3">
      <c r="A404">
        <v>2476</v>
      </c>
      <c r="B404" s="2">
        <v>45461</v>
      </c>
      <c r="C404" t="s">
        <v>23</v>
      </c>
      <c r="D404" t="s">
        <v>20</v>
      </c>
      <c r="E404" t="s">
        <v>21</v>
      </c>
      <c r="F404" t="s">
        <v>15</v>
      </c>
      <c r="G404">
        <v>36</v>
      </c>
      <c r="H404" s="3">
        <v>209.25</v>
      </c>
      <c r="I404" s="3">
        <v>144.44</v>
      </c>
      <c r="J404" s="3">
        <f t="shared" si="18"/>
        <v>7533</v>
      </c>
      <c r="K404" s="3">
        <f t="shared" si="19"/>
        <v>5199.84</v>
      </c>
      <c r="L404" s="3">
        <f t="shared" si="20"/>
        <v>2333.16</v>
      </c>
    </row>
    <row r="405" spans="1:12" x14ac:dyDescent="0.3">
      <c r="A405">
        <v>1268</v>
      </c>
      <c r="B405" s="2">
        <v>45462</v>
      </c>
      <c r="C405" t="s">
        <v>32</v>
      </c>
      <c r="D405" t="s">
        <v>13</v>
      </c>
      <c r="E405" t="s">
        <v>31</v>
      </c>
      <c r="F405" t="s">
        <v>25</v>
      </c>
      <c r="G405">
        <v>37</v>
      </c>
      <c r="H405" s="3">
        <v>9.57</v>
      </c>
      <c r="I405" s="3">
        <v>6.84</v>
      </c>
      <c r="J405" s="3">
        <f t="shared" si="18"/>
        <v>354.09000000000003</v>
      </c>
      <c r="K405" s="3">
        <f t="shared" si="19"/>
        <v>253.07999999999998</v>
      </c>
      <c r="L405" s="3">
        <f t="shared" si="20"/>
        <v>101.01000000000005</v>
      </c>
    </row>
    <row r="406" spans="1:12" x14ac:dyDescent="0.3">
      <c r="A406">
        <v>1579</v>
      </c>
      <c r="B406" s="2">
        <v>45462</v>
      </c>
      <c r="C406" t="s">
        <v>16</v>
      </c>
      <c r="D406" t="s">
        <v>13</v>
      </c>
      <c r="E406" t="s">
        <v>46</v>
      </c>
      <c r="F406" t="s">
        <v>15</v>
      </c>
      <c r="G406">
        <v>12</v>
      </c>
      <c r="H406" s="3">
        <v>50.84</v>
      </c>
      <c r="I406" s="3">
        <v>27.37</v>
      </c>
      <c r="J406" s="3">
        <f t="shared" si="18"/>
        <v>610.08000000000004</v>
      </c>
      <c r="K406" s="3">
        <f t="shared" si="19"/>
        <v>328.44</v>
      </c>
      <c r="L406" s="3">
        <f t="shared" si="20"/>
        <v>281.64000000000004</v>
      </c>
    </row>
    <row r="407" spans="1:12" x14ac:dyDescent="0.3">
      <c r="A407">
        <v>1670</v>
      </c>
      <c r="B407" s="2">
        <v>45462</v>
      </c>
      <c r="C407" t="s">
        <v>12</v>
      </c>
      <c r="D407" t="s">
        <v>20</v>
      </c>
      <c r="E407" t="s">
        <v>21</v>
      </c>
      <c r="F407" t="s">
        <v>28</v>
      </c>
      <c r="G407">
        <v>2</v>
      </c>
      <c r="H407" s="3">
        <v>179.44</v>
      </c>
      <c r="I407" s="3">
        <v>127.13</v>
      </c>
      <c r="J407" s="3">
        <f t="shared" si="18"/>
        <v>358.88</v>
      </c>
      <c r="K407" s="3">
        <f t="shared" si="19"/>
        <v>254.26</v>
      </c>
      <c r="L407" s="3">
        <f t="shared" si="20"/>
        <v>104.62</v>
      </c>
    </row>
    <row r="408" spans="1:12" x14ac:dyDescent="0.3">
      <c r="A408">
        <v>2105</v>
      </c>
      <c r="B408" s="2">
        <v>45462</v>
      </c>
      <c r="C408" t="s">
        <v>16</v>
      </c>
      <c r="D408" t="s">
        <v>29</v>
      </c>
      <c r="E408" t="s">
        <v>41</v>
      </c>
      <c r="F408" t="s">
        <v>36</v>
      </c>
      <c r="G408">
        <v>2</v>
      </c>
      <c r="H408" s="3">
        <v>392.5</v>
      </c>
      <c r="I408" s="3">
        <v>233.07</v>
      </c>
      <c r="J408" s="3">
        <f t="shared" si="18"/>
        <v>785</v>
      </c>
      <c r="K408" s="3">
        <f t="shared" si="19"/>
        <v>466.14</v>
      </c>
      <c r="L408" s="3">
        <f t="shared" si="20"/>
        <v>318.86</v>
      </c>
    </row>
    <row r="409" spans="1:12" x14ac:dyDescent="0.3">
      <c r="A409">
        <v>1709</v>
      </c>
      <c r="B409" s="2">
        <v>45463</v>
      </c>
      <c r="C409" t="s">
        <v>26</v>
      </c>
      <c r="D409" t="s">
        <v>17</v>
      </c>
      <c r="E409" t="s">
        <v>18</v>
      </c>
      <c r="F409" t="s">
        <v>15</v>
      </c>
      <c r="G409">
        <v>39</v>
      </c>
      <c r="H409" s="3">
        <v>270.75</v>
      </c>
      <c r="I409" s="3">
        <v>149.78</v>
      </c>
      <c r="J409" s="3">
        <f t="shared" si="18"/>
        <v>10559.25</v>
      </c>
      <c r="K409" s="3">
        <f t="shared" si="19"/>
        <v>5841.42</v>
      </c>
      <c r="L409" s="3">
        <f t="shared" si="20"/>
        <v>4717.83</v>
      </c>
    </row>
    <row r="410" spans="1:12" x14ac:dyDescent="0.3">
      <c r="A410">
        <v>2515</v>
      </c>
      <c r="B410" s="2">
        <v>45463</v>
      </c>
      <c r="C410" t="s">
        <v>32</v>
      </c>
      <c r="D410" t="s">
        <v>13</v>
      </c>
      <c r="E410" t="s">
        <v>31</v>
      </c>
      <c r="F410" t="s">
        <v>33</v>
      </c>
      <c r="G410">
        <v>18</v>
      </c>
      <c r="H410" s="3">
        <v>56.25</v>
      </c>
      <c r="I410" s="3">
        <v>30.88</v>
      </c>
      <c r="J410" s="3">
        <f t="shared" si="18"/>
        <v>1012.5</v>
      </c>
      <c r="K410" s="3">
        <f t="shared" si="19"/>
        <v>555.84</v>
      </c>
      <c r="L410" s="3">
        <f t="shared" si="20"/>
        <v>456.65999999999997</v>
      </c>
    </row>
    <row r="411" spans="1:12" x14ac:dyDescent="0.3">
      <c r="A411">
        <v>2347</v>
      </c>
      <c r="B411" s="2">
        <v>45464</v>
      </c>
      <c r="C411" t="s">
        <v>12</v>
      </c>
      <c r="D411" t="s">
        <v>13</v>
      </c>
      <c r="E411" t="s">
        <v>45</v>
      </c>
      <c r="F411" t="s">
        <v>36</v>
      </c>
      <c r="G411">
        <v>24</v>
      </c>
      <c r="H411" s="3">
        <v>16.03</v>
      </c>
      <c r="I411" s="3">
        <v>10.48</v>
      </c>
      <c r="J411" s="3">
        <f t="shared" si="18"/>
        <v>384.72</v>
      </c>
      <c r="K411" s="3">
        <f t="shared" si="19"/>
        <v>251.52</v>
      </c>
      <c r="L411" s="3">
        <f t="shared" si="20"/>
        <v>133.20000000000002</v>
      </c>
    </row>
    <row r="412" spans="1:12" x14ac:dyDescent="0.3">
      <c r="A412">
        <v>2497</v>
      </c>
      <c r="B412" s="2">
        <v>45464</v>
      </c>
      <c r="C412" t="s">
        <v>16</v>
      </c>
      <c r="D412" t="s">
        <v>29</v>
      </c>
      <c r="E412" t="s">
        <v>30</v>
      </c>
      <c r="F412" t="s">
        <v>19</v>
      </c>
      <c r="G412">
        <v>26</v>
      </c>
      <c r="H412" s="3">
        <v>423.33</v>
      </c>
      <c r="I412" s="3">
        <v>241.8</v>
      </c>
      <c r="J412" s="3">
        <f t="shared" si="18"/>
        <v>11006.58</v>
      </c>
      <c r="K412" s="3">
        <f t="shared" si="19"/>
        <v>6286.8</v>
      </c>
      <c r="L412" s="3">
        <f t="shared" si="20"/>
        <v>4719.78</v>
      </c>
    </row>
    <row r="413" spans="1:12" x14ac:dyDescent="0.3">
      <c r="A413">
        <v>2711</v>
      </c>
      <c r="B413" s="2">
        <v>45464</v>
      </c>
      <c r="C413" t="s">
        <v>23</v>
      </c>
      <c r="D413" t="s">
        <v>13</v>
      </c>
      <c r="E413" t="s">
        <v>14</v>
      </c>
      <c r="F413" t="s">
        <v>25</v>
      </c>
      <c r="G413">
        <v>6</v>
      </c>
      <c r="H413" s="3">
        <v>11.37</v>
      </c>
      <c r="I413" s="3">
        <v>6.08</v>
      </c>
      <c r="J413" s="3">
        <f t="shared" si="18"/>
        <v>68.22</v>
      </c>
      <c r="K413" s="3">
        <f t="shared" si="19"/>
        <v>36.480000000000004</v>
      </c>
      <c r="L413" s="3">
        <f t="shared" si="20"/>
        <v>31.739999999999995</v>
      </c>
    </row>
    <row r="414" spans="1:12" x14ac:dyDescent="0.3">
      <c r="A414">
        <v>2123</v>
      </c>
      <c r="B414" s="2">
        <v>45465</v>
      </c>
      <c r="C414" t="s">
        <v>16</v>
      </c>
      <c r="D414" t="s">
        <v>20</v>
      </c>
      <c r="E414" t="s">
        <v>34</v>
      </c>
      <c r="F414" t="s">
        <v>28</v>
      </c>
      <c r="G414">
        <v>25</v>
      </c>
      <c r="H414" s="3">
        <v>106.61</v>
      </c>
      <c r="I414" s="3">
        <v>59.28</v>
      </c>
      <c r="J414" s="3">
        <f t="shared" si="18"/>
        <v>2665.25</v>
      </c>
      <c r="K414" s="3">
        <f t="shared" si="19"/>
        <v>1482</v>
      </c>
      <c r="L414" s="3">
        <f t="shared" si="20"/>
        <v>1183.25</v>
      </c>
    </row>
    <row r="415" spans="1:12" x14ac:dyDescent="0.3">
      <c r="A415">
        <v>2247</v>
      </c>
      <c r="B415" s="2">
        <v>45465</v>
      </c>
      <c r="C415" t="s">
        <v>32</v>
      </c>
      <c r="D415" t="s">
        <v>29</v>
      </c>
      <c r="E415" t="s">
        <v>37</v>
      </c>
      <c r="F415" t="s">
        <v>15</v>
      </c>
      <c r="G415">
        <v>34</v>
      </c>
      <c r="H415" s="3">
        <v>213.8</v>
      </c>
      <c r="I415" s="3">
        <v>141.61000000000001</v>
      </c>
      <c r="J415" s="3">
        <f t="shared" si="18"/>
        <v>7269.2000000000007</v>
      </c>
      <c r="K415" s="3">
        <f t="shared" si="19"/>
        <v>4814.7400000000007</v>
      </c>
      <c r="L415" s="3">
        <f t="shared" si="20"/>
        <v>2454.46</v>
      </c>
    </row>
    <row r="416" spans="1:12" x14ac:dyDescent="0.3">
      <c r="A416">
        <v>1325</v>
      </c>
      <c r="B416" s="2">
        <v>45466</v>
      </c>
      <c r="C416" t="s">
        <v>16</v>
      </c>
      <c r="D416" t="s">
        <v>13</v>
      </c>
      <c r="E416" t="s">
        <v>31</v>
      </c>
      <c r="F416" t="s">
        <v>25</v>
      </c>
      <c r="G416">
        <v>31</v>
      </c>
      <c r="H416" s="3">
        <v>17.739999999999998</v>
      </c>
      <c r="I416" s="3">
        <v>9.68</v>
      </c>
      <c r="J416" s="3">
        <f t="shared" si="18"/>
        <v>549.93999999999994</v>
      </c>
      <c r="K416" s="3">
        <f t="shared" si="19"/>
        <v>300.08</v>
      </c>
      <c r="L416" s="3">
        <f t="shared" si="20"/>
        <v>249.85999999999996</v>
      </c>
    </row>
    <row r="417" spans="1:12" x14ac:dyDescent="0.3">
      <c r="A417">
        <v>1429</v>
      </c>
      <c r="B417" s="2">
        <v>45466</v>
      </c>
      <c r="C417" t="s">
        <v>26</v>
      </c>
      <c r="D417" t="s">
        <v>17</v>
      </c>
      <c r="E417" t="s">
        <v>40</v>
      </c>
      <c r="F417" t="s">
        <v>33</v>
      </c>
      <c r="G417">
        <v>31</v>
      </c>
      <c r="H417" s="3">
        <v>452.44</v>
      </c>
      <c r="I417" s="3">
        <v>241.5</v>
      </c>
      <c r="J417" s="3">
        <f t="shared" si="18"/>
        <v>14025.64</v>
      </c>
      <c r="K417" s="3">
        <f t="shared" si="19"/>
        <v>7486.5</v>
      </c>
      <c r="L417" s="3">
        <f t="shared" si="20"/>
        <v>6539.1399999999994</v>
      </c>
    </row>
    <row r="418" spans="1:12" x14ac:dyDescent="0.3">
      <c r="A418">
        <v>2452</v>
      </c>
      <c r="B418" s="2">
        <v>45466</v>
      </c>
      <c r="C418" t="s">
        <v>16</v>
      </c>
      <c r="D418" t="s">
        <v>29</v>
      </c>
      <c r="E418" t="s">
        <v>41</v>
      </c>
      <c r="F418" t="s">
        <v>15</v>
      </c>
      <c r="G418">
        <v>11</v>
      </c>
      <c r="H418" s="3">
        <v>397.72</v>
      </c>
      <c r="I418" s="3">
        <v>270.67</v>
      </c>
      <c r="J418" s="3">
        <f t="shared" si="18"/>
        <v>4374.92</v>
      </c>
      <c r="K418" s="3">
        <f t="shared" si="19"/>
        <v>2977.3700000000003</v>
      </c>
      <c r="L418" s="3">
        <f t="shared" si="20"/>
        <v>1397.5499999999997</v>
      </c>
    </row>
    <row r="419" spans="1:12" x14ac:dyDescent="0.3">
      <c r="A419">
        <v>2200</v>
      </c>
      <c r="B419" s="2">
        <v>45467</v>
      </c>
      <c r="C419" t="s">
        <v>26</v>
      </c>
      <c r="D419" t="s">
        <v>20</v>
      </c>
      <c r="E419" t="s">
        <v>42</v>
      </c>
      <c r="F419" t="s">
        <v>33</v>
      </c>
      <c r="G419">
        <v>31</v>
      </c>
      <c r="H419" s="3">
        <v>38.32</v>
      </c>
      <c r="I419" s="3">
        <v>26.05</v>
      </c>
      <c r="J419" s="3">
        <f t="shared" si="18"/>
        <v>1187.92</v>
      </c>
      <c r="K419" s="3">
        <f t="shared" si="19"/>
        <v>807.55000000000007</v>
      </c>
      <c r="L419" s="3">
        <f t="shared" si="20"/>
        <v>380.37</v>
      </c>
    </row>
    <row r="420" spans="1:12" x14ac:dyDescent="0.3">
      <c r="A420">
        <v>2656</v>
      </c>
      <c r="B420" s="2">
        <v>45467</v>
      </c>
      <c r="C420" t="s">
        <v>12</v>
      </c>
      <c r="D420" t="s">
        <v>13</v>
      </c>
      <c r="E420" t="s">
        <v>31</v>
      </c>
      <c r="F420" t="s">
        <v>28</v>
      </c>
      <c r="G420">
        <v>12</v>
      </c>
      <c r="H420" s="3">
        <v>55.41</v>
      </c>
      <c r="I420" s="3">
        <v>39.97</v>
      </c>
      <c r="J420" s="3">
        <f t="shared" si="18"/>
        <v>664.92</v>
      </c>
      <c r="K420" s="3">
        <f t="shared" si="19"/>
        <v>479.64</v>
      </c>
      <c r="L420" s="3">
        <f t="shared" si="20"/>
        <v>185.27999999999997</v>
      </c>
    </row>
    <row r="421" spans="1:12" x14ac:dyDescent="0.3">
      <c r="A421">
        <v>1516</v>
      </c>
      <c r="B421" s="2">
        <v>45469</v>
      </c>
      <c r="C421" t="s">
        <v>26</v>
      </c>
      <c r="D421" t="s">
        <v>20</v>
      </c>
      <c r="E421" t="s">
        <v>42</v>
      </c>
      <c r="F421" t="s">
        <v>28</v>
      </c>
      <c r="G421">
        <v>21</v>
      </c>
      <c r="H421" s="3">
        <v>287.64999999999998</v>
      </c>
      <c r="I421" s="3">
        <v>148.83000000000001</v>
      </c>
      <c r="J421" s="3">
        <f t="shared" si="18"/>
        <v>6040.65</v>
      </c>
      <c r="K421" s="3">
        <f t="shared" si="19"/>
        <v>3125.4300000000003</v>
      </c>
      <c r="L421" s="3">
        <f t="shared" si="20"/>
        <v>2915.2199999999993</v>
      </c>
    </row>
    <row r="422" spans="1:12" x14ac:dyDescent="0.3">
      <c r="A422">
        <v>1777</v>
      </c>
      <c r="B422" s="2">
        <v>45469</v>
      </c>
      <c r="C422" t="s">
        <v>16</v>
      </c>
      <c r="D422" t="s">
        <v>13</v>
      </c>
      <c r="E422" t="s">
        <v>24</v>
      </c>
      <c r="F422" t="s">
        <v>25</v>
      </c>
      <c r="G422">
        <v>28</v>
      </c>
      <c r="H422" s="3">
        <v>20.75</v>
      </c>
      <c r="I422" s="3">
        <v>11.29</v>
      </c>
      <c r="J422" s="3">
        <f t="shared" si="18"/>
        <v>581</v>
      </c>
      <c r="K422" s="3">
        <f t="shared" si="19"/>
        <v>316.12</v>
      </c>
      <c r="L422" s="3">
        <f t="shared" si="20"/>
        <v>264.88</v>
      </c>
    </row>
    <row r="423" spans="1:12" x14ac:dyDescent="0.3">
      <c r="A423">
        <v>1961</v>
      </c>
      <c r="B423" s="2">
        <v>45469</v>
      </c>
      <c r="C423" t="s">
        <v>16</v>
      </c>
      <c r="D423" t="s">
        <v>20</v>
      </c>
      <c r="E423" t="s">
        <v>38</v>
      </c>
      <c r="F423" t="s">
        <v>19</v>
      </c>
      <c r="G423">
        <v>13</v>
      </c>
      <c r="H423" s="3">
        <v>105.4</v>
      </c>
      <c r="I423" s="3">
        <v>60.53</v>
      </c>
      <c r="J423" s="3">
        <f t="shared" si="18"/>
        <v>1370.2</v>
      </c>
      <c r="K423" s="3">
        <f t="shared" si="19"/>
        <v>786.89</v>
      </c>
      <c r="L423" s="3">
        <f t="shared" si="20"/>
        <v>583.31000000000006</v>
      </c>
    </row>
    <row r="424" spans="1:12" x14ac:dyDescent="0.3">
      <c r="A424">
        <v>1104</v>
      </c>
      <c r="B424" s="2">
        <v>45470</v>
      </c>
      <c r="C424" t="s">
        <v>26</v>
      </c>
      <c r="D424" t="s">
        <v>17</v>
      </c>
      <c r="E424" t="s">
        <v>44</v>
      </c>
      <c r="F424" t="s">
        <v>22</v>
      </c>
      <c r="G424">
        <v>23</v>
      </c>
      <c r="H424" s="3">
        <v>723.59</v>
      </c>
      <c r="I424" s="3">
        <v>371.27</v>
      </c>
      <c r="J424" s="3">
        <f t="shared" si="18"/>
        <v>16642.57</v>
      </c>
      <c r="K424" s="3">
        <f t="shared" si="19"/>
        <v>8539.2099999999991</v>
      </c>
      <c r="L424" s="3">
        <f t="shared" si="20"/>
        <v>8103.3600000000006</v>
      </c>
    </row>
    <row r="425" spans="1:12" x14ac:dyDescent="0.3">
      <c r="A425">
        <v>1235</v>
      </c>
      <c r="B425" s="2">
        <v>45470</v>
      </c>
      <c r="C425" t="s">
        <v>16</v>
      </c>
      <c r="D425" t="s">
        <v>13</v>
      </c>
      <c r="E425" t="s">
        <v>31</v>
      </c>
      <c r="F425" t="s">
        <v>36</v>
      </c>
      <c r="G425">
        <v>30</v>
      </c>
      <c r="H425" s="3">
        <v>26.09</v>
      </c>
      <c r="I425" s="3">
        <v>15.86</v>
      </c>
      <c r="J425" s="3">
        <f t="shared" si="18"/>
        <v>782.7</v>
      </c>
      <c r="K425" s="3">
        <f t="shared" si="19"/>
        <v>475.79999999999995</v>
      </c>
      <c r="L425" s="3">
        <f t="shared" si="20"/>
        <v>306.90000000000009</v>
      </c>
    </row>
    <row r="426" spans="1:12" x14ac:dyDescent="0.3">
      <c r="A426">
        <v>2506</v>
      </c>
      <c r="B426" s="2">
        <v>45470</v>
      </c>
      <c r="C426" t="s">
        <v>26</v>
      </c>
      <c r="D426" t="s">
        <v>13</v>
      </c>
      <c r="E426" t="s">
        <v>31</v>
      </c>
      <c r="F426" t="s">
        <v>36</v>
      </c>
      <c r="G426">
        <v>30</v>
      </c>
      <c r="H426" s="3">
        <v>57.43</v>
      </c>
      <c r="I426" s="3">
        <v>38.5</v>
      </c>
      <c r="J426" s="3">
        <f t="shared" si="18"/>
        <v>1722.9</v>
      </c>
      <c r="K426" s="3">
        <f t="shared" si="19"/>
        <v>1155</v>
      </c>
      <c r="L426" s="3">
        <f t="shared" si="20"/>
        <v>567.90000000000009</v>
      </c>
    </row>
    <row r="427" spans="1:12" x14ac:dyDescent="0.3">
      <c r="A427">
        <v>1145</v>
      </c>
      <c r="B427" s="2">
        <v>45471</v>
      </c>
      <c r="C427" t="s">
        <v>23</v>
      </c>
      <c r="D427" t="s">
        <v>20</v>
      </c>
      <c r="E427" t="s">
        <v>34</v>
      </c>
      <c r="F427" t="s">
        <v>19</v>
      </c>
      <c r="G427">
        <v>5</v>
      </c>
      <c r="H427" s="3">
        <v>76.45</v>
      </c>
      <c r="I427" s="3">
        <v>53.35</v>
      </c>
      <c r="J427" s="3">
        <f t="shared" si="18"/>
        <v>382.25</v>
      </c>
      <c r="K427" s="3">
        <f t="shared" si="19"/>
        <v>266.75</v>
      </c>
      <c r="L427" s="3">
        <f t="shared" si="20"/>
        <v>115.5</v>
      </c>
    </row>
    <row r="428" spans="1:12" x14ac:dyDescent="0.3">
      <c r="A428">
        <v>1200</v>
      </c>
      <c r="B428" s="2">
        <v>45471</v>
      </c>
      <c r="C428" t="s">
        <v>23</v>
      </c>
      <c r="D428" t="s">
        <v>20</v>
      </c>
      <c r="E428" t="s">
        <v>42</v>
      </c>
      <c r="F428" t="s">
        <v>33</v>
      </c>
      <c r="G428">
        <v>25</v>
      </c>
      <c r="H428" s="3">
        <v>61.78</v>
      </c>
      <c r="I428" s="3">
        <v>36.700000000000003</v>
      </c>
      <c r="J428" s="3">
        <f t="shared" si="18"/>
        <v>1544.5</v>
      </c>
      <c r="K428" s="3">
        <f t="shared" si="19"/>
        <v>917.50000000000011</v>
      </c>
      <c r="L428" s="3">
        <f t="shared" si="20"/>
        <v>626.99999999999989</v>
      </c>
    </row>
    <row r="429" spans="1:12" x14ac:dyDescent="0.3">
      <c r="A429">
        <v>1381</v>
      </c>
      <c r="B429" s="2">
        <v>45471</v>
      </c>
      <c r="C429" t="s">
        <v>16</v>
      </c>
      <c r="D429" t="s">
        <v>17</v>
      </c>
      <c r="E429" t="s">
        <v>40</v>
      </c>
      <c r="F429" t="s">
        <v>19</v>
      </c>
      <c r="G429">
        <v>35</v>
      </c>
      <c r="H429" s="3">
        <v>225</v>
      </c>
      <c r="I429" s="3">
        <v>162.68</v>
      </c>
      <c r="J429" s="3">
        <f t="shared" si="18"/>
        <v>7875</v>
      </c>
      <c r="K429" s="3">
        <f t="shared" si="19"/>
        <v>5693.8</v>
      </c>
      <c r="L429" s="3">
        <f t="shared" si="20"/>
        <v>2181.1999999999998</v>
      </c>
    </row>
    <row r="430" spans="1:12" x14ac:dyDescent="0.3">
      <c r="A430">
        <v>1758</v>
      </c>
      <c r="B430" s="2">
        <v>45471</v>
      </c>
      <c r="C430" t="s">
        <v>23</v>
      </c>
      <c r="D430" t="s">
        <v>13</v>
      </c>
      <c r="E430" t="s">
        <v>24</v>
      </c>
      <c r="F430" t="s">
        <v>36</v>
      </c>
      <c r="G430">
        <v>30</v>
      </c>
      <c r="H430" s="3">
        <v>40.57</v>
      </c>
      <c r="I430" s="3">
        <v>27.37</v>
      </c>
      <c r="J430" s="3">
        <f t="shared" si="18"/>
        <v>1217.0999999999999</v>
      </c>
      <c r="K430" s="3">
        <f t="shared" si="19"/>
        <v>821.1</v>
      </c>
      <c r="L430" s="3">
        <f t="shared" si="20"/>
        <v>395.99999999999989</v>
      </c>
    </row>
    <row r="431" spans="1:12" x14ac:dyDescent="0.3">
      <c r="A431">
        <v>1900</v>
      </c>
      <c r="B431" s="2">
        <v>45472</v>
      </c>
      <c r="C431" t="s">
        <v>26</v>
      </c>
      <c r="D431" t="s">
        <v>13</v>
      </c>
      <c r="E431" t="s">
        <v>45</v>
      </c>
      <c r="F431" t="s">
        <v>15</v>
      </c>
      <c r="G431">
        <v>26</v>
      </c>
      <c r="H431" s="3">
        <v>52.81</v>
      </c>
      <c r="I431" s="3">
        <v>29.23</v>
      </c>
      <c r="J431" s="3">
        <f t="shared" si="18"/>
        <v>1373.06</v>
      </c>
      <c r="K431" s="3">
        <f t="shared" si="19"/>
        <v>759.98</v>
      </c>
      <c r="L431" s="3">
        <f t="shared" si="20"/>
        <v>613.07999999999993</v>
      </c>
    </row>
    <row r="432" spans="1:12" x14ac:dyDescent="0.3">
      <c r="A432">
        <v>2350</v>
      </c>
      <c r="B432" s="2">
        <v>45472</v>
      </c>
      <c r="C432" t="s">
        <v>32</v>
      </c>
      <c r="D432" t="s">
        <v>20</v>
      </c>
      <c r="E432" t="s">
        <v>21</v>
      </c>
      <c r="F432" t="s">
        <v>19</v>
      </c>
      <c r="G432">
        <v>16</v>
      </c>
      <c r="H432" s="3">
        <v>41.57</v>
      </c>
      <c r="I432" s="3">
        <v>28.82</v>
      </c>
      <c r="J432" s="3">
        <f t="shared" si="18"/>
        <v>665.12</v>
      </c>
      <c r="K432" s="3">
        <f t="shared" si="19"/>
        <v>461.12</v>
      </c>
      <c r="L432" s="3">
        <f t="shared" si="20"/>
        <v>204</v>
      </c>
    </row>
    <row r="433" spans="1:12" x14ac:dyDescent="0.3">
      <c r="A433">
        <v>1295</v>
      </c>
      <c r="B433" s="2">
        <v>45473</v>
      </c>
      <c r="C433" t="s">
        <v>26</v>
      </c>
      <c r="D433" t="s">
        <v>20</v>
      </c>
      <c r="E433" t="s">
        <v>42</v>
      </c>
      <c r="F433" t="s">
        <v>19</v>
      </c>
      <c r="G433">
        <v>39</v>
      </c>
      <c r="H433" s="3">
        <v>199.1</v>
      </c>
      <c r="I433" s="3">
        <v>104.73</v>
      </c>
      <c r="J433" s="3">
        <f t="shared" si="18"/>
        <v>7764.9</v>
      </c>
      <c r="K433" s="3">
        <f t="shared" si="19"/>
        <v>4084.4700000000003</v>
      </c>
      <c r="L433" s="3">
        <f t="shared" si="20"/>
        <v>3680.4299999999994</v>
      </c>
    </row>
    <row r="434" spans="1:12" x14ac:dyDescent="0.3">
      <c r="A434">
        <v>1493</v>
      </c>
      <c r="B434" s="2">
        <v>45473</v>
      </c>
      <c r="C434" t="s">
        <v>23</v>
      </c>
      <c r="D434" t="s">
        <v>29</v>
      </c>
      <c r="E434" t="s">
        <v>30</v>
      </c>
      <c r="F434" t="s">
        <v>25</v>
      </c>
      <c r="G434">
        <v>20</v>
      </c>
      <c r="H434" s="3">
        <v>424.51</v>
      </c>
      <c r="I434" s="3">
        <v>301.75</v>
      </c>
      <c r="J434" s="3">
        <f t="shared" si="18"/>
        <v>8490.2000000000007</v>
      </c>
      <c r="K434" s="3">
        <f t="shared" si="19"/>
        <v>6035</v>
      </c>
      <c r="L434" s="3">
        <f t="shared" si="20"/>
        <v>2455.2000000000007</v>
      </c>
    </row>
    <row r="435" spans="1:12" x14ac:dyDescent="0.3">
      <c r="A435">
        <v>1714</v>
      </c>
      <c r="B435" s="2">
        <v>45473</v>
      </c>
      <c r="C435" t="s">
        <v>26</v>
      </c>
      <c r="D435" t="s">
        <v>17</v>
      </c>
      <c r="E435" t="s">
        <v>18</v>
      </c>
      <c r="F435" t="s">
        <v>33</v>
      </c>
      <c r="G435">
        <v>13</v>
      </c>
      <c r="H435" s="3">
        <v>433.45</v>
      </c>
      <c r="I435" s="3">
        <v>316.57</v>
      </c>
      <c r="J435" s="3">
        <f t="shared" si="18"/>
        <v>5634.8499999999995</v>
      </c>
      <c r="K435" s="3">
        <f t="shared" si="19"/>
        <v>4115.41</v>
      </c>
      <c r="L435" s="3">
        <f t="shared" si="20"/>
        <v>1519.4399999999996</v>
      </c>
    </row>
    <row r="436" spans="1:12" x14ac:dyDescent="0.3">
      <c r="A436">
        <v>1013</v>
      </c>
      <c r="B436" s="2">
        <v>45474</v>
      </c>
      <c r="C436" t="s">
        <v>16</v>
      </c>
      <c r="D436" t="s">
        <v>17</v>
      </c>
      <c r="E436" t="s">
        <v>40</v>
      </c>
      <c r="F436" t="s">
        <v>39</v>
      </c>
      <c r="G436">
        <v>10</v>
      </c>
      <c r="H436" s="3">
        <v>374.09</v>
      </c>
      <c r="I436" s="3">
        <v>272.94</v>
      </c>
      <c r="J436" s="3">
        <f t="shared" si="18"/>
        <v>3740.8999999999996</v>
      </c>
      <c r="K436" s="3">
        <f t="shared" si="19"/>
        <v>2729.4</v>
      </c>
      <c r="L436" s="3">
        <f t="shared" si="20"/>
        <v>1011.4999999999995</v>
      </c>
    </row>
    <row r="437" spans="1:12" x14ac:dyDescent="0.3">
      <c r="A437">
        <v>1735</v>
      </c>
      <c r="B437" s="2">
        <v>45474</v>
      </c>
      <c r="C437" t="s">
        <v>12</v>
      </c>
      <c r="D437" t="s">
        <v>17</v>
      </c>
      <c r="E437" t="s">
        <v>44</v>
      </c>
      <c r="F437" t="s">
        <v>15</v>
      </c>
      <c r="G437">
        <v>7</v>
      </c>
      <c r="H437" s="3">
        <v>77.63</v>
      </c>
      <c r="I437" s="3">
        <v>40.97</v>
      </c>
      <c r="J437" s="3">
        <f t="shared" si="18"/>
        <v>543.41</v>
      </c>
      <c r="K437" s="3">
        <f t="shared" si="19"/>
        <v>286.78999999999996</v>
      </c>
      <c r="L437" s="3">
        <f t="shared" si="20"/>
        <v>256.62</v>
      </c>
    </row>
    <row r="438" spans="1:12" x14ac:dyDescent="0.3">
      <c r="A438">
        <v>2204</v>
      </c>
      <c r="B438" s="2">
        <v>45475</v>
      </c>
      <c r="C438" t="s">
        <v>12</v>
      </c>
      <c r="D438" t="s">
        <v>17</v>
      </c>
      <c r="E438" t="s">
        <v>18</v>
      </c>
      <c r="F438" t="s">
        <v>25</v>
      </c>
      <c r="G438">
        <v>22</v>
      </c>
      <c r="H438" s="3">
        <v>134.85</v>
      </c>
      <c r="I438" s="3">
        <v>80.489999999999995</v>
      </c>
      <c r="J438" s="3">
        <f t="shared" si="18"/>
        <v>2966.7</v>
      </c>
      <c r="K438" s="3">
        <f t="shared" si="19"/>
        <v>1770.78</v>
      </c>
      <c r="L438" s="3">
        <f t="shared" si="20"/>
        <v>1195.9199999999998</v>
      </c>
    </row>
    <row r="439" spans="1:12" x14ac:dyDescent="0.3">
      <c r="A439">
        <v>1287</v>
      </c>
      <c r="B439" s="2">
        <v>45476</v>
      </c>
      <c r="C439" t="s">
        <v>26</v>
      </c>
      <c r="D439" t="s">
        <v>29</v>
      </c>
      <c r="E439" t="s">
        <v>37</v>
      </c>
      <c r="F439" t="s">
        <v>22</v>
      </c>
      <c r="G439">
        <v>18</v>
      </c>
      <c r="H439" s="3">
        <v>302.36</v>
      </c>
      <c r="I439" s="3">
        <v>226.74</v>
      </c>
      <c r="J439" s="3">
        <f t="shared" si="18"/>
        <v>5442.4800000000005</v>
      </c>
      <c r="K439" s="3">
        <f t="shared" si="19"/>
        <v>4081.32</v>
      </c>
      <c r="L439" s="3">
        <f t="shared" si="20"/>
        <v>1361.1600000000003</v>
      </c>
    </row>
    <row r="440" spans="1:12" x14ac:dyDescent="0.3">
      <c r="A440">
        <v>1863</v>
      </c>
      <c r="B440" s="2">
        <v>45476</v>
      </c>
      <c r="C440" t="s">
        <v>32</v>
      </c>
      <c r="D440" t="s">
        <v>17</v>
      </c>
      <c r="E440" t="s">
        <v>40</v>
      </c>
      <c r="F440" t="s">
        <v>19</v>
      </c>
      <c r="G440">
        <v>12</v>
      </c>
      <c r="H440" s="3">
        <v>746.7</v>
      </c>
      <c r="I440" s="3">
        <v>452.95</v>
      </c>
      <c r="J440" s="3">
        <f t="shared" si="18"/>
        <v>8960.4000000000015</v>
      </c>
      <c r="K440" s="3">
        <f t="shared" si="19"/>
        <v>5435.4</v>
      </c>
      <c r="L440" s="3">
        <f t="shared" si="20"/>
        <v>3525.0000000000018</v>
      </c>
    </row>
    <row r="441" spans="1:12" x14ac:dyDescent="0.3">
      <c r="A441">
        <v>2787</v>
      </c>
      <c r="B441" s="2">
        <v>45476</v>
      </c>
      <c r="C441" t="s">
        <v>12</v>
      </c>
      <c r="D441" t="s">
        <v>29</v>
      </c>
      <c r="E441" t="s">
        <v>30</v>
      </c>
      <c r="F441" t="s">
        <v>33</v>
      </c>
      <c r="G441">
        <v>25</v>
      </c>
      <c r="H441" s="3">
        <v>379.3</v>
      </c>
      <c r="I441" s="3">
        <v>258.37</v>
      </c>
      <c r="J441" s="3">
        <f t="shared" si="18"/>
        <v>9482.5</v>
      </c>
      <c r="K441" s="3">
        <f t="shared" si="19"/>
        <v>6459.25</v>
      </c>
      <c r="L441" s="3">
        <f t="shared" si="20"/>
        <v>3023.25</v>
      </c>
    </row>
    <row r="442" spans="1:12" x14ac:dyDescent="0.3">
      <c r="A442">
        <v>2693</v>
      </c>
      <c r="B442" s="2">
        <v>45477</v>
      </c>
      <c r="C442" t="s">
        <v>12</v>
      </c>
      <c r="D442" t="s">
        <v>20</v>
      </c>
      <c r="E442" t="s">
        <v>34</v>
      </c>
      <c r="F442" t="s">
        <v>25</v>
      </c>
      <c r="G442">
        <v>39</v>
      </c>
      <c r="H442" s="3">
        <v>274.91000000000003</v>
      </c>
      <c r="I442" s="3">
        <v>191.45</v>
      </c>
      <c r="J442" s="3">
        <f t="shared" si="18"/>
        <v>10721.490000000002</v>
      </c>
      <c r="K442" s="3">
        <f t="shared" si="19"/>
        <v>7466.5499999999993</v>
      </c>
      <c r="L442" s="3">
        <f t="shared" si="20"/>
        <v>3254.9400000000023</v>
      </c>
    </row>
    <row r="443" spans="1:12" x14ac:dyDescent="0.3">
      <c r="A443">
        <v>1051</v>
      </c>
      <c r="B443" s="2">
        <v>45478</v>
      </c>
      <c r="C443" t="s">
        <v>26</v>
      </c>
      <c r="D443" t="s">
        <v>29</v>
      </c>
      <c r="E443" t="s">
        <v>41</v>
      </c>
      <c r="F443" t="s">
        <v>33</v>
      </c>
      <c r="G443">
        <v>14</v>
      </c>
      <c r="H443" s="3">
        <v>449.45</v>
      </c>
      <c r="I443" s="3">
        <v>331.6</v>
      </c>
      <c r="J443" s="3">
        <f t="shared" si="18"/>
        <v>6292.3</v>
      </c>
      <c r="K443" s="3">
        <f t="shared" si="19"/>
        <v>4642.4000000000005</v>
      </c>
      <c r="L443" s="3">
        <f t="shared" si="20"/>
        <v>1649.8999999999996</v>
      </c>
    </row>
    <row r="444" spans="1:12" x14ac:dyDescent="0.3">
      <c r="A444">
        <v>1159</v>
      </c>
      <c r="B444" s="2">
        <v>45478</v>
      </c>
      <c r="C444" t="s">
        <v>12</v>
      </c>
      <c r="D444" t="s">
        <v>20</v>
      </c>
      <c r="E444" t="s">
        <v>42</v>
      </c>
      <c r="F444" t="s">
        <v>25</v>
      </c>
      <c r="G444">
        <v>34</v>
      </c>
      <c r="H444" s="3">
        <v>218.61</v>
      </c>
      <c r="I444" s="3">
        <v>128.22</v>
      </c>
      <c r="J444" s="3">
        <f t="shared" si="18"/>
        <v>7432.7400000000007</v>
      </c>
      <c r="K444" s="3">
        <f t="shared" si="19"/>
        <v>4359.4799999999996</v>
      </c>
      <c r="L444" s="3">
        <f t="shared" si="20"/>
        <v>3073.2600000000011</v>
      </c>
    </row>
    <row r="445" spans="1:12" x14ac:dyDescent="0.3">
      <c r="A445">
        <v>1665</v>
      </c>
      <c r="B445" s="2">
        <v>45478</v>
      </c>
      <c r="C445" t="s">
        <v>23</v>
      </c>
      <c r="D445" t="s">
        <v>17</v>
      </c>
      <c r="E445" t="s">
        <v>27</v>
      </c>
      <c r="F445" t="s">
        <v>36</v>
      </c>
      <c r="G445">
        <v>20</v>
      </c>
      <c r="H445" s="3">
        <v>323.70999999999998</v>
      </c>
      <c r="I445" s="3">
        <v>227.23</v>
      </c>
      <c r="J445" s="3">
        <f t="shared" si="18"/>
        <v>6474.2</v>
      </c>
      <c r="K445" s="3">
        <f t="shared" si="19"/>
        <v>4544.5999999999995</v>
      </c>
      <c r="L445" s="3">
        <f t="shared" si="20"/>
        <v>1929.6000000000004</v>
      </c>
    </row>
    <row r="446" spans="1:12" x14ac:dyDescent="0.3">
      <c r="A446">
        <v>2149</v>
      </c>
      <c r="B446" s="2">
        <v>45478</v>
      </c>
      <c r="C446" t="s">
        <v>16</v>
      </c>
      <c r="D446" t="s">
        <v>29</v>
      </c>
      <c r="E446" t="s">
        <v>41</v>
      </c>
      <c r="F446" t="s">
        <v>36</v>
      </c>
      <c r="G446">
        <v>2</v>
      </c>
      <c r="H446" s="3">
        <v>341.95</v>
      </c>
      <c r="I446" s="3">
        <v>171.7</v>
      </c>
      <c r="J446" s="3">
        <f t="shared" si="18"/>
        <v>683.9</v>
      </c>
      <c r="K446" s="3">
        <f t="shared" si="19"/>
        <v>343.4</v>
      </c>
      <c r="L446" s="3">
        <f t="shared" si="20"/>
        <v>340.5</v>
      </c>
    </row>
    <row r="447" spans="1:12" x14ac:dyDescent="0.3">
      <c r="A447">
        <v>2172</v>
      </c>
      <c r="B447" s="2">
        <v>45478</v>
      </c>
      <c r="C447" t="s">
        <v>23</v>
      </c>
      <c r="D447" t="s">
        <v>13</v>
      </c>
      <c r="E447" t="s">
        <v>24</v>
      </c>
      <c r="F447" t="s">
        <v>39</v>
      </c>
      <c r="G447">
        <v>2</v>
      </c>
      <c r="H447" s="3">
        <v>45.44</v>
      </c>
      <c r="I447" s="3">
        <v>29.11</v>
      </c>
      <c r="J447" s="3">
        <f t="shared" si="18"/>
        <v>90.88</v>
      </c>
      <c r="K447" s="3">
        <f t="shared" si="19"/>
        <v>58.22</v>
      </c>
      <c r="L447" s="3">
        <f t="shared" si="20"/>
        <v>32.659999999999997</v>
      </c>
    </row>
    <row r="448" spans="1:12" x14ac:dyDescent="0.3">
      <c r="A448">
        <v>2500</v>
      </c>
      <c r="B448" s="2">
        <v>45478</v>
      </c>
      <c r="C448" t="s">
        <v>26</v>
      </c>
      <c r="D448" t="s">
        <v>13</v>
      </c>
      <c r="E448" t="s">
        <v>31</v>
      </c>
      <c r="F448" t="s">
        <v>36</v>
      </c>
      <c r="G448">
        <v>11</v>
      </c>
      <c r="H448" s="3">
        <v>22.39</v>
      </c>
      <c r="I448" s="3">
        <v>15.04</v>
      </c>
      <c r="J448" s="3">
        <f t="shared" si="18"/>
        <v>246.29000000000002</v>
      </c>
      <c r="K448" s="3">
        <f t="shared" si="19"/>
        <v>165.44</v>
      </c>
      <c r="L448" s="3">
        <f t="shared" si="20"/>
        <v>80.850000000000023</v>
      </c>
    </row>
    <row r="449" spans="1:12" x14ac:dyDescent="0.3">
      <c r="A449">
        <v>1776</v>
      </c>
      <c r="B449" s="2">
        <v>45479</v>
      </c>
      <c r="C449" t="s">
        <v>23</v>
      </c>
      <c r="D449" t="s">
        <v>17</v>
      </c>
      <c r="E449" t="s">
        <v>27</v>
      </c>
      <c r="F449" t="s">
        <v>28</v>
      </c>
      <c r="G449">
        <v>5</v>
      </c>
      <c r="H449" s="3">
        <v>861.08</v>
      </c>
      <c r="I449" s="3">
        <v>457.57</v>
      </c>
      <c r="J449" s="3">
        <f t="shared" si="18"/>
        <v>4305.4000000000005</v>
      </c>
      <c r="K449" s="3">
        <f t="shared" si="19"/>
        <v>2287.85</v>
      </c>
      <c r="L449" s="3">
        <f t="shared" si="20"/>
        <v>2017.5500000000006</v>
      </c>
    </row>
    <row r="450" spans="1:12" x14ac:dyDescent="0.3">
      <c r="A450">
        <v>1366</v>
      </c>
      <c r="B450" s="2">
        <v>45480</v>
      </c>
      <c r="C450" t="s">
        <v>16</v>
      </c>
      <c r="D450" t="s">
        <v>17</v>
      </c>
      <c r="E450" t="s">
        <v>35</v>
      </c>
      <c r="F450" t="s">
        <v>19</v>
      </c>
      <c r="G450">
        <v>27</v>
      </c>
      <c r="H450" s="3">
        <v>516.19000000000005</v>
      </c>
      <c r="I450" s="3">
        <v>343.7</v>
      </c>
      <c r="J450" s="3">
        <f t="shared" ref="J450:J513" si="21">G450*H450</f>
        <v>13937.130000000001</v>
      </c>
      <c r="K450" s="3">
        <f t="shared" ref="K450:K513" si="22">G450*I450</f>
        <v>9279.9</v>
      </c>
      <c r="L450" s="3">
        <f t="shared" ref="L450:L513" si="23">J450-K450</f>
        <v>4657.2300000000014</v>
      </c>
    </row>
    <row r="451" spans="1:12" x14ac:dyDescent="0.3">
      <c r="A451">
        <v>2206</v>
      </c>
      <c r="B451" s="2">
        <v>45480</v>
      </c>
      <c r="C451" t="s">
        <v>32</v>
      </c>
      <c r="D451" t="s">
        <v>20</v>
      </c>
      <c r="E451" t="s">
        <v>34</v>
      </c>
      <c r="F451" t="s">
        <v>39</v>
      </c>
      <c r="G451">
        <v>23</v>
      </c>
      <c r="H451" s="3">
        <v>230.51</v>
      </c>
      <c r="I451" s="3">
        <v>145.44</v>
      </c>
      <c r="J451" s="3">
        <f t="shared" si="21"/>
        <v>5301.73</v>
      </c>
      <c r="K451" s="3">
        <f t="shared" si="22"/>
        <v>3345.12</v>
      </c>
      <c r="L451" s="3">
        <f t="shared" si="23"/>
        <v>1956.6099999999997</v>
      </c>
    </row>
    <row r="452" spans="1:12" x14ac:dyDescent="0.3">
      <c r="A452">
        <v>2413</v>
      </c>
      <c r="B452" s="2">
        <v>45480</v>
      </c>
      <c r="C452" t="s">
        <v>16</v>
      </c>
      <c r="D452" t="s">
        <v>17</v>
      </c>
      <c r="E452" t="s">
        <v>44</v>
      </c>
      <c r="F452" t="s">
        <v>19</v>
      </c>
      <c r="G452">
        <v>3</v>
      </c>
      <c r="H452" s="3">
        <v>253.92</v>
      </c>
      <c r="I452" s="3">
        <v>152.02000000000001</v>
      </c>
      <c r="J452" s="3">
        <f t="shared" si="21"/>
        <v>761.76</v>
      </c>
      <c r="K452" s="3">
        <f t="shared" si="22"/>
        <v>456.06000000000006</v>
      </c>
      <c r="L452" s="3">
        <f t="shared" si="23"/>
        <v>305.69999999999993</v>
      </c>
    </row>
    <row r="453" spans="1:12" x14ac:dyDescent="0.3">
      <c r="A453">
        <v>1604</v>
      </c>
      <c r="B453" s="2">
        <v>45481</v>
      </c>
      <c r="C453" t="s">
        <v>23</v>
      </c>
      <c r="D453" t="s">
        <v>17</v>
      </c>
      <c r="E453" t="s">
        <v>44</v>
      </c>
      <c r="F453" t="s">
        <v>33</v>
      </c>
      <c r="G453">
        <v>25</v>
      </c>
      <c r="H453" s="3">
        <v>416.24</v>
      </c>
      <c r="I453" s="3">
        <v>240.82</v>
      </c>
      <c r="J453" s="3">
        <f t="shared" si="21"/>
        <v>10406</v>
      </c>
      <c r="K453" s="3">
        <f t="shared" si="22"/>
        <v>6020.5</v>
      </c>
      <c r="L453" s="3">
        <f t="shared" si="23"/>
        <v>4385.5</v>
      </c>
    </row>
    <row r="454" spans="1:12" x14ac:dyDescent="0.3">
      <c r="A454">
        <v>1185</v>
      </c>
      <c r="B454" s="2">
        <v>45482</v>
      </c>
      <c r="C454" t="s">
        <v>26</v>
      </c>
      <c r="D454" t="s">
        <v>29</v>
      </c>
      <c r="E454" t="s">
        <v>43</v>
      </c>
      <c r="F454" t="s">
        <v>39</v>
      </c>
      <c r="G454">
        <v>12</v>
      </c>
      <c r="H454" s="3">
        <v>250.31</v>
      </c>
      <c r="I454" s="3">
        <v>145.68</v>
      </c>
      <c r="J454" s="3">
        <f t="shared" si="21"/>
        <v>3003.7200000000003</v>
      </c>
      <c r="K454" s="3">
        <f t="shared" si="22"/>
        <v>1748.16</v>
      </c>
      <c r="L454" s="3">
        <f t="shared" si="23"/>
        <v>1255.5600000000002</v>
      </c>
    </row>
    <row r="455" spans="1:12" x14ac:dyDescent="0.3">
      <c r="A455">
        <v>1790</v>
      </c>
      <c r="B455" s="2">
        <v>45482</v>
      </c>
      <c r="C455" t="s">
        <v>12</v>
      </c>
      <c r="D455" t="s">
        <v>17</v>
      </c>
      <c r="E455" t="s">
        <v>44</v>
      </c>
      <c r="F455" t="s">
        <v>39</v>
      </c>
      <c r="G455">
        <v>17</v>
      </c>
      <c r="H455" s="3">
        <v>885.68</v>
      </c>
      <c r="I455" s="3">
        <v>467.02</v>
      </c>
      <c r="J455" s="3">
        <f t="shared" si="21"/>
        <v>15056.56</v>
      </c>
      <c r="K455" s="3">
        <f t="shared" si="22"/>
        <v>7939.34</v>
      </c>
      <c r="L455" s="3">
        <f t="shared" si="23"/>
        <v>7117.2199999999993</v>
      </c>
    </row>
    <row r="456" spans="1:12" x14ac:dyDescent="0.3">
      <c r="A456">
        <v>1837</v>
      </c>
      <c r="B456" s="2">
        <v>45482</v>
      </c>
      <c r="C456" t="s">
        <v>23</v>
      </c>
      <c r="D456" t="s">
        <v>29</v>
      </c>
      <c r="E456" t="s">
        <v>30</v>
      </c>
      <c r="F456" t="s">
        <v>25</v>
      </c>
      <c r="G456">
        <v>28</v>
      </c>
      <c r="H456" s="3">
        <v>296.01</v>
      </c>
      <c r="I456" s="3">
        <v>157.16999999999999</v>
      </c>
      <c r="J456" s="3">
        <f t="shared" si="21"/>
        <v>8288.2799999999988</v>
      </c>
      <c r="K456" s="3">
        <f t="shared" si="22"/>
        <v>4400.7599999999993</v>
      </c>
      <c r="L456" s="3">
        <f t="shared" si="23"/>
        <v>3887.5199999999995</v>
      </c>
    </row>
    <row r="457" spans="1:12" x14ac:dyDescent="0.3">
      <c r="A457">
        <v>2541</v>
      </c>
      <c r="B457" s="2">
        <v>45482</v>
      </c>
      <c r="C457" t="s">
        <v>26</v>
      </c>
      <c r="D457" t="s">
        <v>29</v>
      </c>
      <c r="E457" t="s">
        <v>37</v>
      </c>
      <c r="F457" t="s">
        <v>19</v>
      </c>
      <c r="G457">
        <v>10</v>
      </c>
      <c r="H457" s="3">
        <v>338.22</v>
      </c>
      <c r="I457" s="3">
        <v>243.65</v>
      </c>
      <c r="J457" s="3">
        <f t="shared" si="21"/>
        <v>3382.2000000000003</v>
      </c>
      <c r="K457" s="3">
        <f t="shared" si="22"/>
        <v>2436.5</v>
      </c>
      <c r="L457" s="3">
        <f t="shared" si="23"/>
        <v>945.70000000000027</v>
      </c>
    </row>
    <row r="458" spans="1:12" x14ac:dyDescent="0.3">
      <c r="A458">
        <v>1844</v>
      </c>
      <c r="B458" s="2">
        <v>45483</v>
      </c>
      <c r="C458" t="s">
        <v>12</v>
      </c>
      <c r="D458" t="s">
        <v>29</v>
      </c>
      <c r="E458" t="s">
        <v>30</v>
      </c>
      <c r="F458" t="s">
        <v>15</v>
      </c>
      <c r="G458">
        <v>16</v>
      </c>
      <c r="H458" s="3">
        <v>279.02999999999997</v>
      </c>
      <c r="I458" s="3">
        <v>146.69999999999999</v>
      </c>
      <c r="J458" s="3">
        <f t="shared" si="21"/>
        <v>4464.4799999999996</v>
      </c>
      <c r="K458" s="3">
        <f t="shared" si="22"/>
        <v>2347.1999999999998</v>
      </c>
      <c r="L458" s="3">
        <f t="shared" si="23"/>
        <v>2117.2799999999997</v>
      </c>
    </row>
    <row r="459" spans="1:12" x14ac:dyDescent="0.3">
      <c r="A459">
        <v>2455</v>
      </c>
      <c r="B459" s="2">
        <v>45483</v>
      </c>
      <c r="C459" t="s">
        <v>32</v>
      </c>
      <c r="D459" t="s">
        <v>13</v>
      </c>
      <c r="E459" t="s">
        <v>45</v>
      </c>
      <c r="F459" t="s">
        <v>25</v>
      </c>
      <c r="G459">
        <v>31</v>
      </c>
      <c r="H459" s="3">
        <v>26.44</v>
      </c>
      <c r="I459" s="3">
        <v>17.03</v>
      </c>
      <c r="J459" s="3">
        <f t="shared" si="21"/>
        <v>819.64</v>
      </c>
      <c r="K459" s="3">
        <f t="shared" si="22"/>
        <v>527.93000000000006</v>
      </c>
      <c r="L459" s="3">
        <f t="shared" si="23"/>
        <v>291.70999999999992</v>
      </c>
    </row>
    <row r="460" spans="1:12" x14ac:dyDescent="0.3">
      <c r="A460">
        <v>1597</v>
      </c>
      <c r="B460" s="2">
        <v>45484</v>
      </c>
      <c r="C460" t="s">
        <v>16</v>
      </c>
      <c r="D460" t="s">
        <v>17</v>
      </c>
      <c r="E460" t="s">
        <v>18</v>
      </c>
      <c r="F460" t="s">
        <v>28</v>
      </c>
      <c r="G460">
        <v>5</v>
      </c>
      <c r="H460" s="3">
        <v>157.91999999999999</v>
      </c>
      <c r="I460" s="3">
        <v>106.24</v>
      </c>
      <c r="J460" s="3">
        <f t="shared" si="21"/>
        <v>789.59999999999991</v>
      </c>
      <c r="K460" s="3">
        <f t="shared" si="22"/>
        <v>531.19999999999993</v>
      </c>
      <c r="L460" s="3">
        <f t="shared" si="23"/>
        <v>258.39999999999998</v>
      </c>
    </row>
    <row r="461" spans="1:12" x14ac:dyDescent="0.3">
      <c r="A461">
        <v>1796</v>
      </c>
      <c r="B461" s="2">
        <v>45484</v>
      </c>
      <c r="C461" t="s">
        <v>26</v>
      </c>
      <c r="D461" t="s">
        <v>29</v>
      </c>
      <c r="E461" t="s">
        <v>30</v>
      </c>
      <c r="F461" t="s">
        <v>33</v>
      </c>
      <c r="G461">
        <v>3</v>
      </c>
      <c r="H461" s="3">
        <v>364.73</v>
      </c>
      <c r="I461" s="3">
        <v>226.55</v>
      </c>
      <c r="J461" s="3">
        <f t="shared" si="21"/>
        <v>1094.19</v>
      </c>
      <c r="K461" s="3">
        <f t="shared" si="22"/>
        <v>679.65000000000009</v>
      </c>
      <c r="L461" s="3">
        <f t="shared" si="23"/>
        <v>414.53999999999996</v>
      </c>
    </row>
    <row r="462" spans="1:12" x14ac:dyDescent="0.3">
      <c r="A462">
        <v>1885</v>
      </c>
      <c r="B462" s="2">
        <v>45484</v>
      </c>
      <c r="C462" t="s">
        <v>16</v>
      </c>
      <c r="D462" t="s">
        <v>13</v>
      </c>
      <c r="E462" t="s">
        <v>45</v>
      </c>
      <c r="F462" t="s">
        <v>39</v>
      </c>
      <c r="G462">
        <v>18</v>
      </c>
      <c r="H462" s="3">
        <v>35.5</v>
      </c>
      <c r="I462" s="3">
        <v>22.04</v>
      </c>
      <c r="J462" s="3">
        <f t="shared" si="21"/>
        <v>639</v>
      </c>
      <c r="K462" s="3">
        <f t="shared" si="22"/>
        <v>396.71999999999997</v>
      </c>
      <c r="L462" s="3">
        <f t="shared" si="23"/>
        <v>242.28000000000003</v>
      </c>
    </row>
    <row r="463" spans="1:12" x14ac:dyDescent="0.3">
      <c r="A463">
        <v>2451</v>
      </c>
      <c r="B463" s="2">
        <v>45484</v>
      </c>
      <c r="C463" t="s">
        <v>16</v>
      </c>
      <c r="D463" t="s">
        <v>17</v>
      </c>
      <c r="E463" t="s">
        <v>18</v>
      </c>
      <c r="F463" t="s">
        <v>15</v>
      </c>
      <c r="G463">
        <v>16</v>
      </c>
      <c r="H463" s="3">
        <v>190.08</v>
      </c>
      <c r="I463" s="3">
        <v>109.07</v>
      </c>
      <c r="J463" s="3">
        <f t="shared" si="21"/>
        <v>3041.28</v>
      </c>
      <c r="K463" s="3">
        <f t="shared" si="22"/>
        <v>1745.12</v>
      </c>
      <c r="L463" s="3">
        <f t="shared" si="23"/>
        <v>1296.1600000000003</v>
      </c>
    </row>
    <row r="464" spans="1:12" x14ac:dyDescent="0.3">
      <c r="A464">
        <v>2548</v>
      </c>
      <c r="B464" s="2">
        <v>45484</v>
      </c>
      <c r="C464" t="s">
        <v>12</v>
      </c>
      <c r="D464" t="s">
        <v>17</v>
      </c>
      <c r="E464" t="s">
        <v>27</v>
      </c>
      <c r="F464" t="s">
        <v>15</v>
      </c>
      <c r="G464">
        <v>36</v>
      </c>
      <c r="H464" s="3">
        <v>470.71</v>
      </c>
      <c r="I464" s="3">
        <v>294.60000000000002</v>
      </c>
      <c r="J464" s="3">
        <f t="shared" si="21"/>
        <v>16945.559999999998</v>
      </c>
      <c r="K464" s="3">
        <f t="shared" si="22"/>
        <v>10605.6</v>
      </c>
      <c r="L464" s="3">
        <f t="shared" si="23"/>
        <v>6339.9599999999973</v>
      </c>
    </row>
    <row r="465" spans="1:12" x14ac:dyDescent="0.3">
      <c r="A465">
        <v>1166</v>
      </c>
      <c r="B465" s="2">
        <v>45486</v>
      </c>
      <c r="C465" t="s">
        <v>12</v>
      </c>
      <c r="D465" t="s">
        <v>20</v>
      </c>
      <c r="E465" t="s">
        <v>21</v>
      </c>
      <c r="F465" t="s">
        <v>28</v>
      </c>
      <c r="G465">
        <v>20</v>
      </c>
      <c r="H465" s="3">
        <v>148.02000000000001</v>
      </c>
      <c r="I465" s="3">
        <v>82.92</v>
      </c>
      <c r="J465" s="3">
        <f t="shared" si="21"/>
        <v>2960.4</v>
      </c>
      <c r="K465" s="3">
        <f t="shared" si="22"/>
        <v>1658.4</v>
      </c>
      <c r="L465" s="3">
        <f t="shared" si="23"/>
        <v>1302</v>
      </c>
    </row>
    <row r="466" spans="1:12" x14ac:dyDescent="0.3">
      <c r="A466">
        <v>1203</v>
      </c>
      <c r="B466" s="2">
        <v>45487</v>
      </c>
      <c r="C466" t="s">
        <v>26</v>
      </c>
      <c r="D466" t="s">
        <v>29</v>
      </c>
      <c r="E466" t="s">
        <v>41</v>
      </c>
      <c r="F466" t="s">
        <v>22</v>
      </c>
      <c r="G466">
        <v>5</v>
      </c>
      <c r="H466" s="3">
        <v>384.21</v>
      </c>
      <c r="I466" s="3">
        <v>238.15</v>
      </c>
      <c r="J466" s="3">
        <f t="shared" si="21"/>
        <v>1921.05</v>
      </c>
      <c r="K466" s="3">
        <f t="shared" si="22"/>
        <v>1190.75</v>
      </c>
      <c r="L466" s="3">
        <f t="shared" si="23"/>
        <v>730.3</v>
      </c>
    </row>
    <row r="467" spans="1:12" x14ac:dyDescent="0.3">
      <c r="A467">
        <v>2677</v>
      </c>
      <c r="B467" s="2">
        <v>45487</v>
      </c>
      <c r="C467" t="s">
        <v>12</v>
      </c>
      <c r="D467" t="s">
        <v>20</v>
      </c>
      <c r="E467" t="s">
        <v>42</v>
      </c>
      <c r="F467" t="s">
        <v>33</v>
      </c>
      <c r="G467">
        <v>38</v>
      </c>
      <c r="H467" s="3">
        <v>206.6</v>
      </c>
      <c r="I467" s="3">
        <v>146.13</v>
      </c>
      <c r="J467" s="3">
        <f t="shared" si="21"/>
        <v>7850.8</v>
      </c>
      <c r="K467" s="3">
        <f t="shared" si="22"/>
        <v>5552.94</v>
      </c>
      <c r="L467" s="3">
        <f t="shared" si="23"/>
        <v>2297.8600000000006</v>
      </c>
    </row>
    <row r="468" spans="1:12" x14ac:dyDescent="0.3">
      <c r="A468">
        <v>1603</v>
      </c>
      <c r="B468" s="2">
        <v>45488</v>
      </c>
      <c r="C468" t="s">
        <v>32</v>
      </c>
      <c r="D468" t="s">
        <v>13</v>
      </c>
      <c r="E468" t="s">
        <v>46</v>
      </c>
      <c r="F468" t="s">
        <v>22</v>
      </c>
      <c r="G468">
        <v>7</v>
      </c>
      <c r="H468" s="3">
        <v>55.47</v>
      </c>
      <c r="I468" s="3">
        <v>37.42</v>
      </c>
      <c r="J468" s="3">
        <f t="shared" si="21"/>
        <v>388.28999999999996</v>
      </c>
      <c r="K468" s="3">
        <f t="shared" si="22"/>
        <v>261.94</v>
      </c>
      <c r="L468" s="3">
        <f t="shared" si="23"/>
        <v>126.34999999999997</v>
      </c>
    </row>
    <row r="469" spans="1:12" x14ac:dyDescent="0.3">
      <c r="A469">
        <v>2376</v>
      </c>
      <c r="B469" s="2">
        <v>45488</v>
      </c>
      <c r="C469" t="s">
        <v>12</v>
      </c>
      <c r="D469" t="s">
        <v>20</v>
      </c>
      <c r="E469" t="s">
        <v>21</v>
      </c>
      <c r="F469" t="s">
        <v>25</v>
      </c>
      <c r="G469">
        <v>18</v>
      </c>
      <c r="H469" s="3">
        <v>252.9</v>
      </c>
      <c r="I469" s="3">
        <v>144.43</v>
      </c>
      <c r="J469" s="3">
        <f t="shared" si="21"/>
        <v>4552.2</v>
      </c>
      <c r="K469" s="3">
        <f t="shared" si="22"/>
        <v>2599.7400000000002</v>
      </c>
      <c r="L469" s="3">
        <f t="shared" si="23"/>
        <v>1952.4599999999996</v>
      </c>
    </row>
    <row r="470" spans="1:12" x14ac:dyDescent="0.3">
      <c r="A470">
        <v>1923</v>
      </c>
      <c r="B470" s="2">
        <v>45489</v>
      </c>
      <c r="C470" t="s">
        <v>32</v>
      </c>
      <c r="D470" t="s">
        <v>13</v>
      </c>
      <c r="E470" t="s">
        <v>24</v>
      </c>
      <c r="F470" t="s">
        <v>15</v>
      </c>
      <c r="G470">
        <v>26</v>
      </c>
      <c r="H470" s="3">
        <v>48.21</v>
      </c>
      <c r="I470" s="3">
        <v>26.59</v>
      </c>
      <c r="J470" s="3">
        <f t="shared" si="21"/>
        <v>1253.46</v>
      </c>
      <c r="K470" s="3">
        <f t="shared" si="22"/>
        <v>691.34</v>
      </c>
      <c r="L470" s="3">
        <f t="shared" si="23"/>
        <v>562.12</v>
      </c>
    </row>
    <row r="471" spans="1:12" x14ac:dyDescent="0.3">
      <c r="A471">
        <v>2273</v>
      </c>
      <c r="B471" s="2">
        <v>45489</v>
      </c>
      <c r="C471" t="s">
        <v>32</v>
      </c>
      <c r="D471" t="s">
        <v>13</v>
      </c>
      <c r="E471" t="s">
        <v>31</v>
      </c>
      <c r="F471" t="s">
        <v>22</v>
      </c>
      <c r="G471">
        <v>31</v>
      </c>
      <c r="H471" s="3">
        <v>39.08</v>
      </c>
      <c r="I471" s="3">
        <v>24.25</v>
      </c>
      <c r="J471" s="3">
        <f t="shared" si="21"/>
        <v>1211.48</v>
      </c>
      <c r="K471" s="3">
        <f t="shared" si="22"/>
        <v>751.75</v>
      </c>
      <c r="L471" s="3">
        <f t="shared" si="23"/>
        <v>459.73</v>
      </c>
    </row>
    <row r="472" spans="1:12" x14ac:dyDescent="0.3">
      <c r="A472">
        <v>2325</v>
      </c>
      <c r="B472" s="2">
        <v>45489</v>
      </c>
      <c r="C472" t="s">
        <v>32</v>
      </c>
      <c r="D472" t="s">
        <v>20</v>
      </c>
      <c r="E472" t="s">
        <v>21</v>
      </c>
      <c r="F472" t="s">
        <v>39</v>
      </c>
      <c r="G472">
        <v>9</v>
      </c>
      <c r="H472" s="3">
        <v>133.83000000000001</v>
      </c>
      <c r="I472" s="3">
        <v>96.09</v>
      </c>
      <c r="J472" s="3">
        <f t="shared" si="21"/>
        <v>1204.47</v>
      </c>
      <c r="K472" s="3">
        <f t="shared" si="22"/>
        <v>864.81000000000006</v>
      </c>
      <c r="L472" s="3">
        <f t="shared" si="23"/>
        <v>339.65999999999997</v>
      </c>
    </row>
    <row r="473" spans="1:12" x14ac:dyDescent="0.3">
      <c r="A473">
        <v>1064</v>
      </c>
      <c r="B473" s="2">
        <v>45490</v>
      </c>
      <c r="C473" t="s">
        <v>32</v>
      </c>
      <c r="D473" t="s">
        <v>13</v>
      </c>
      <c r="E473" t="s">
        <v>31</v>
      </c>
      <c r="F473" t="s">
        <v>19</v>
      </c>
      <c r="G473">
        <v>20</v>
      </c>
      <c r="H473" s="3">
        <v>33.450000000000003</v>
      </c>
      <c r="I473" s="3">
        <v>21.35</v>
      </c>
      <c r="J473" s="3">
        <f t="shared" si="21"/>
        <v>669</v>
      </c>
      <c r="K473" s="3">
        <f t="shared" si="22"/>
        <v>427</v>
      </c>
      <c r="L473" s="3">
        <f t="shared" si="23"/>
        <v>242</v>
      </c>
    </row>
    <row r="474" spans="1:12" x14ac:dyDescent="0.3">
      <c r="A474">
        <v>1136</v>
      </c>
      <c r="B474" s="2">
        <v>45490</v>
      </c>
      <c r="C474" t="s">
        <v>32</v>
      </c>
      <c r="D474" t="s">
        <v>20</v>
      </c>
      <c r="E474" t="s">
        <v>21</v>
      </c>
      <c r="F474" t="s">
        <v>15</v>
      </c>
      <c r="G474">
        <v>25</v>
      </c>
      <c r="H474" s="3">
        <v>75.92</v>
      </c>
      <c r="I474" s="3">
        <v>49.44</v>
      </c>
      <c r="J474" s="3">
        <f t="shared" si="21"/>
        <v>1898</v>
      </c>
      <c r="K474" s="3">
        <f t="shared" si="22"/>
        <v>1236</v>
      </c>
      <c r="L474" s="3">
        <f t="shared" si="23"/>
        <v>662</v>
      </c>
    </row>
    <row r="475" spans="1:12" x14ac:dyDescent="0.3">
      <c r="A475">
        <v>2067</v>
      </c>
      <c r="B475" s="2">
        <v>45490</v>
      </c>
      <c r="C475" t="s">
        <v>16</v>
      </c>
      <c r="D475" t="s">
        <v>17</v>
      </c>
      <c r="E475" t="s">
        <v>40</v>
      </c>
      <c r="F475" t="s">
        <v>33</v>
      </c>
      <c r="G475">
        <v>11</v>
      </c>
      <c r="H475" s="3">
        <v>820.81</v>
      </c>
      <c r="I475" s="3">
        <v>603.41</v>
      </c>
      <c r="J475" s="3">
        <f t="shared" si="21"/>
        <v>9028.91</v>
      </c>
      <c r="K475" s="3">
        <f t="shared" si="22"/>
        <v>6637.5099999999993</v>
      </c>
      <c r="L475" s="3">
        <f t="shared" si="23"/>
        <v>2391.4000000000005</v>
      </c>
    </row>
    <row r="476" spans="1:12" x14ac:dyDescent="0.3">
      <c r="A476">
        <v>2729</v>
      </c>
      <c r="B476" s="2">
        <v>45491</v>
      </c>
      <c r="C476" t="s">
        <v>23</v>
      </c>
      <c r="D476" t="s">
        <v>17</v>
      </c>
      <c r="E476" t="s">
        <v>27</v>
      </c>
      <c r="F476" t="s">
        <v>15</v>
      </c>
      <c r="G476">
        <v>4</v>
      </c>
      <c r="H476" s="3">
        <v>602.39</v>
      </c>
      <c r="I476" s="3">
        <v>423.98</v>
      </c>
      <c r="J476" s="3">
        <f t="shared" si="21"/>
        <v>2409.56</v>
      </c>
      <c r="K476" s="3">
        <f t="shared" si="22"/>
        <v>1695.92</v>
      </c>
      <c r="L476" s="3">
        <f t="shared" si="23"/>
        <v>713.63999999999987</v>
      </c>
    </row>
    <row r="477" spans="1:12" x14ac:dyDescent="0.3">
      <c r="A477">
        <v>1353</v>
      </c>
      <c r="B477" s="2">
        <v>45492</v>
      </c>
      <c r="C477" t="s">
        <v>12</v>
      </c>
      <c r="D477" t="s">
        <v>17</v>
      </c>
      <c r="E477" t="s">
        <v>18</v>
      </c>
      <c r="F477" t="s">
        <v>39</v>
      </c>
      <c r="G477">
        <v>30</v>
      </c>
      <c r="H477" s="3">
        <v>752.63</v>
      </c>
      <c r="I477" s="3">
        <v>385.06</v>
      </c>
      <c r="J477" s="3">
        <f t="shared" si="21"/>
        <v>22578.9</v>
      </c>
      <c r="K477" s="3">
        <f t="shared" si="22"/>
        <v>11551.8</v>
      </c>
      <c r="L477" s="3">
        <f t="shared" si="23"/>
        <v>11027.100000000002</v>
      </c>
    </row>
    <row r="478" spans="1:12" x14ac:dyDescent="0.3">
      <c r="A478">
        <v>1585</v>
      </c>
      <c r="B478" s="2">
        <v>45492</v>
      </c>
      <c r="C478" t="s">
        <v>26</v>
      </c>
      <c r="D478" t="s">
        <v>17</v>
      </c>
      <c r="E478" t="s">
        <v>35</v>
      </c>
      <c r="F478" t="s">
        <v>28</v>
      </c>
      <c r="G478">
        <v>6</v>
      </c>
      <c r="H478" s="3">
        <v>879.71</v>
      </c>
      <c r="I478" s="3">
        <v>552.36</v>
      </c>
      <c r="J478" s="3">
        <f t="shared" si="21"/>
        <v>5278.26</v>
      </c>
      <c r="K478" s="3">
        <f t="shared" si="22"/>
        <v>3314.16</v>
      </c>
      <c r="L478" s="3">
        <f t="shared" si="23"/>
        <v>1964.1000000000004</v>
      </c>
    </row>
    <row r="479" spans="1:12" x14ac:dyDescent="0.3">
      <c r="A479">
        <v>2513</v>
      </c>
      <c r="B479" s="2">
        <v>45492</v>
      </c>
      <c r="C479" t="s">
        <v>23</v>
      </c>
      <c r="D479" t="s">
        <v>17</v>
      </c>
      <c r="E479" t="s">
        <v>35</v>
      </c>
      <c r="F479" t="s">
        <v>33</v>
      </c>
      <c r="G479">
        <v>34</v>
      </c>
      <c r="H479" s="3">
        <v>60.55</v>
      </c>
      <c r="I479" s="3">
        <v>35.86</v>
      </c>
      <c r="J479" s="3">
        <f t="shared" si="21"/>
        <v>2058.6999999999998</v>
      </c>
      <c r="K479" s="3">
        <f t="shared" si="22"/>
        <v>1219.24</v>
      </c>
      <c r="L479" s="3">
        <f t="shared" si="23"/>
        <v>839.45999999999981</v>
      </c>
    </row>
    <row r="480" spans="1:12" x14ac:dyDescent="0.3">
      <c r="A480">
        <v>2364</v>
      </c>
      <c r="B480" s="2">
        <v>45493</v>
      </c>
      <c r="C480" t="s">
        <v>26</v>
      </c>
      <c r="D480" t="s">
        <v>20</v>
      </c>
      <c r="E480" t="s">
        <v>38</v>
      </c>
      <c r="F480" t="s">
        <v>36</v>
      </c>
      <c r="G480">
        <v>15</v>
      </c>
      <c r="H480" s="3">
        <v>74.459999999999994</v>
      </c>
      <c r="I480" s="3">
        <v>47.83</v>
      </c>
      <c r="J480" s="3">
        <f t="shared" si="21"/>
        <v>1116.8999999999999</v>
      </c>
      <c r="K480" s="3">
        <f t="shared" si="22"/>
        <v>717.44999999999993</v>
      </c>
      <c r="L480" s="3">
        <f t="shared" si="23"/>
        <v>399.44999999999993</v>
      </c>
    </row>
    <row r="481" spans="1:12" x14ac:dyDescent="0.3">
      <c r="A481">
        <v>2239</v>
      </c>
      <c r="B481" s="2">
        <v>45494</v>
      </c>
      <c r="C481" t="s">
        <v>12</v>
      </c>
      <c r="D481" t="s">
        <v>20</v>
      </c>
      <c r="E481" t="s">
        <v>38</v>
      </c>
      <c r="F481" t="s">
        <v>28</v>
      </c>
      <c r="G481">
        <v>16</v>
      </c>
      <c r="H481" s="3">
        <v>108.54</v>
      </c>
      <c r="I481" s="3">
        <v>79.59</v>
      </c>
      <c r="J481" s="3">
        <f t="shared" si="21"/>
        <v>1736.64</v>
      </c>
      <c r="K481" s="3">
        <f t="shared" si="22"/>
        <v>1273.44</v>
      </c>
      <c r="L481" s="3">
        <f t="shared" si="23"/>
        <v>463.20000000000005</v>
      </c>
    </row>
    <row r="482" spans="1:12" x14ac:dyDescent="0.3">
      <c r="A482">
        <v>2432</v>
      </c>
      <c r="B482" s="2">
        <v>45494</v>
      </c>
      <c r="C482" t="s">
        <v>12</v>
      </c>
      <c r="D482" t="s">
        <v>29</v>
      </c>
      <c r="E482" t="s">
        <v>41</v>
      </c>
      <c r="F482" t="s">
        <v>22</v>
      </c>
      <c r="G482">
        <v>29</v>
      </c>
      <c r="H482" s="3">
        <v>129.51</v>
      </c>
      <c r="I482" s="3">
        <v>71.37</v>
      </c>
      <c r="J482" s="3">
        <f t="shared" si="21"/>
        <v>3755.79</v>
      </c>
      <c r="K482" s="3">
        <f t="shared" si="22"/>
        <v>2069.73</v>
      </c>
      <c r="L482" s="3">
        <f t="shared" si="23"/>
        <v>1686.06</v>
      </c>
    </row>
    <row r="483" spans="1:12" x14ac:dyDescent="0.3">
      <c r="A483">
        <v>2493</v>
      </c>
      <c r="B483" s="2">
        <v>45495</v>
      </c>
      <c r="C483" t="s">
        <v>12</v>
      </c>
      <c r="D483" t="s">
        <v>20</v>
      </c>
      <c r="E483" t="s">
        <v>34</v>
      </c>
      <c r="F483" t="s">
        <v>25</v>
      </c>
      <c r="G483">
        <v>9</v>
      </c>
      <c r="H483" s="3">
        <v>67.95</v>
      </c>
      <c r="I483" s="3">
        <v>39.83</v>
      </c>
      <c r="J483" s="3">
        <f t="shared" si="21"/>
        <v>611.55000000000007</v>
      </c>
      <c r="K483" s="3">
        <f t="shared" si="22"/>
        <v>358.46999999999997</v>
      </c>
      <c r="L483" s="3">
        <f t="shared" si="23"/>
        <v>253.0800000000001</v>
      </c>
    </row>
    <row r="484" spans="1:12" x14ac:dyDescent="0.3">
      <c r="A484">
        <v>2641</v>
      </c>
      <c r="B484" s="2">
        <v>45495</v>
      </c>
      <c r="C484" t="s">
        <v>26</v>
      </c>
      <c r="D484" t="s">
        <v>20</v>
      </c>
      <c r="E484" t="s">
        <v>21</v>
      </c>
      <c r="F484" t="s">
        <v>19</v>
      </c>
      <c r="G484">
        <v>1</v>
      </c>
      <c r="H484" s="3">
        <v>286.7</v>
      </c>
      <c r="I484" s="3">
        <v>185.52</v>
      </c>
      <c r="J484" s="3">
        <f t="shared" si="21"/>
        <v>286.7</v>
      </c>
      <c r="K484" s="3">
        <f t="shared" si="22"/>
        <v>185.52</v>
      </c>
      <c r="L484" s="3">
        <f t="shared" si="23"/>
        <v>101.17999999999998</v>
      </c>
    </row>
    <row r="485" spans="1:12" x14ac:dyDescent="0.3">
      <c r="A485">
        <v>1561</v>
      </c>
      <c r="B485" s="2">
        <v>45496</v>
      </c>
      <c r="C485" t="s">
        <v>23</v>
      </c>
      <c r="D485" t="s">
        <v>13</v>
      </c>
      <c r="E485" t="s">
        <v>45</v>
      </c>
      <c r="F485" t="s">
        <v>28</v>
      </c>
      <c r="G485">
        <v>38</v>
      </c>
      <c r="H485" s="3">
        <v>53.76</v>
      </c>
      <c r="I485" s="3">
        <v>33</v>
      </c>
      <c r="J485" s="3">
        <f t="shared" si="21"/>
        <v>2042.8799999999999</v>
      </c>
      <c r="K485" s="3">
        <f t="shared" si="22"/>
        <v>1254</v>
      </c>
      <c r="L485" s="3">
        <f t="shared" si="23"/>
        <v>788.87999999999988</v>
      </c>
    </row>
    <row r="486" spans="1:12" x14ac:dyDescent="0.3">
      <c r="A486">
        <v>2054</v>
      </c>
      <c r="B486" s="2">
        <v>45496</v>
      </c>
      <c r="C486" t="s">
        <v>26</v>
      </c>
      <c r="D486" t="s">
        <v>20</v>
      </c>
      <c r="E486" t="s">
        <v>38</v>
      </c>
      <c r="F486" t="s">
        <v>25</v>
      </c>
      <c r="G486">
        <v>4</v>
      </c>
      <c r="H486" s="3">
        <v>198.18</v>
      </c>
      <c r="I486" s="3">
        <v>142.86000000000001</v>
      </c>
      <c r="J486" s="3">
        <f t="shared" si="21"/>
        <v>792.72</v>
      </c>
      <c r="K486" s="3">
        <f t="shared" si="22"/>
        <v>571.44000000000005</v>
      </c>
      <c r="L486" s="3">
        <f t="shared" si="23"/>
        <v>221.27999999999997</v>
      </c>
    </row>
    <row r="487" spans="1:12" x14ac:dyDescent="0.3">
      <c r="A487">
        <v>2073</v>
      </c>
      <c r="B487" s="2">
        <v>45496</v>
      </c>
      <c r="C487" t="s">
        <v>12</v>
      </c>
      <c r="D487" t="s">
        <v>29</v>
      </c>
      <c r="E487" t="s">
        <v>43</v>
      </c>
      <c r="F487" t="s">
        <v>28</v>
      </c>
      <c r="G487">
        <v>17</v>
      </c>
      <c r="H487" s="3">
        <v>232.72</v>
      </c>
      <c r="I487" s="3">
        <v>146.79</v>
      </c>
      <c r="J487" s="3">
        <f t="shared" si="21"/>
        <v>3956.24</v>
      </c>
      <c r="K487" s="3">
        <f t="shared" si="22"/>
        <v>2495.4299999999998</v>
      </c>
      <c r="L487" s="3">
        <f t="shared" si="23"/>
        <v>1460.81</v>
      </c>
    </row>
    <row r="488" spans="1:12" x14ac:dyDescent="0.3">
      <c r="A488">
        <v>2738</v>
      </c>
      <c r="B488" s="2">
        <v>45496</v>
      </c>
      <c r="C488" t="s">
        <v>23</v>
      </c>
      <c r="D488" t="s">
        <v>17</v>
      </c>
      <c r="E488" t="s">
        <v>27</v>
      </c>
      <c r="F488" t="s">
        <v>22</v>
      </c>
      <c r="G488">
        <v>32</v>
      </c>
      <c r="H488" s="3">
        <v>164.73</v>
      </c>
      <c r="I488" s="3">
        <v>116.28</v>
      </c>
      <c r="J488" s="3">
        <f t="shared" si="21"/>
        <v>5271.36</v>
      </c>
      <c r="K488" s="3">
        <f t="shared" si="22"/>
        <v>3720.96</v>
      </c>
      <c r="L488" s="3">
        <f t="shared" si="23"/>
        <v>1550.3999999999996</v>
      </c>
    </row>
    <row r="489" spans="1:12" x14ac:dyDescent="0.3">
      <c r="A489">
        <v>1316</v>
      </c>
      <c r="B489" s="2">
        <v>45497</v>
      </c>
      <c r="C489" t="s">
        <v>26</v>
      </c>
      <c r="D489" t="s">
        <v>13</v>
      </c>
      <c r="E489" t="s">
        <v>45</v>
      </c>
      <c r="F489" t="s">
        <v>28</v>
      </c>
      <c r="G489">
        <v>4</v>
      </c>
      <c r="H489" s="3">
        <v>43.16</v>
      </c>
      <c r="I489" s="3">
        <v>27.03</v>
      </c>
      <c r="J489" s="3">
        <f t="shared" si="21"/>
        <v>172.64</v>
      </c>
      <c r="K489" s="3">
        <f t="shared" si="22"/>
        <v>108.12</v>
      </c>
      <c r="L489" s="3">
        <f t="shared" si="23"/>
        <v>64.519999999999982</v>
      </c>
    </row>
    <row r="490" spans="1:12" x14ac:dyDescent="0.3">
      <c r="A490">
        <v>1730</v>
      </c>
      <c r="B490" s="2">
        <v>45497</v>
      </c>
      <c r="C490" t="s">
        <v>12</v>
      </c>
      <c r="D490" t="s">
        <v>17</v>
      </c>
      <c r="E490" t="s">
        <v>40</v>
      </c>
      <c r="F490" t="s">
        <v>39</v>
      </c>
      <c r="G490">
        <v>31</v>
      </c>
      <c r="H490" s="3">
        <v>643.62</v>
      </c>
      <c r="I490" s="3">
        <v>414.88</v>
      </c>
      <c r="J490" s="3">
        <f t="shared" si="21"/>
        <v>19952.22</v>
      </c>
      <c r="K490" s="3">
        <f t="shared" si="22"/>
        <v>12861.28</v>
      </c>
      <c r="L490" s="3">
        <f t="shared" si="23"/>
        <v>7090.9400000000005</v>
      </c>
    </row>
    <row r="491" spans="1:12" x14ac:dyDescent="0.3">
      <c r="A491">
        <v>2224</v>
      </c>
      <c r="B491" s="2">
        <v>45497</v>
      </c>
      <c r="C491" t="s">
        <v>12</v>
      </c>
      <c r="D491" t="s">
        <v>17</v>
      </c>
      <c r="E491" t="s">
        <v>18</v>
      </c>
      <c r="F491" t="s">
        <v>28</v>
      </c>
      <c r="G491">
        <v>7</v>
      </c>
      <c r="H491" s="3">
        <v>153.58000000000001</v>
      </c>
      <c r="I491" s="3">
        <v>103.42</v>
      </c>
      <c r="J491" s="3">
        <f t="shared" si="21"/>
        <v>1075.0600000000002</v>
      </c>
      <c r="K491" s="3">
        <f t="shared" si="22"/>
        <v>723.94</v>
      </c>
      <c r="L491" s="3">
        <f t="shared" si="23"/>
        <v>351.12000000000012</v>
      </c>
    </row>
    <row r="492" spans="1:12" x14ac:dyDescent="0.3">
      <c r="A492">
        <v>2740</v>
      </c>
      <c r="B492" s="2">
        <v>45497</v>
      </c>
      <c r="C492" t="s">
        <v>32</v>
      </c>
      <c r="D492" t="s">
        <v>20</v>
      </c>
      <c r="E492" t="s">
        <v>38</v>
      </c>
      <c r="F492" t="s">
        <v>19</v>
      </c>
      <c r="G492">
        <v>10</v>
      </c>
      <c r="H492" s="3">
        <v>213.44</v>
      </c>
      <c r="I492" s="3">
        <v>114.87</v>
      </c>
      <c r="J492" s="3">
        <f t="shared" si="21"/>
        <v>2134.4</v>
      </c>
      <c r="K492" s="3">
        <f t="shared" si="22"/>
        <v>1148.7</v>
      </c>
      <c r="L492" s="3">
        <f t="shared" si="23"/>
        <v>985.7</v>
      </c>
    </row>
    <row r="493" spans="1:12" x14ac:dyDescent="0.3">
      <c r="A493">
        <v>1756</v>
      </c>
      <c r="B493" s="2">
        <v>45498</v>
      </c>
      <c r="C493" t="s">
        <v>26</v>
      </c>
      <c r="D493" t="s">
        <v>13</v>
      </c>
      <c r="E493" t="s">
        <v>14</v>
      </c>
      <c r="F493" t="s">
        <v>25</v>
      </c>
      <c r="G493">
        <v>26</v>
      </c>
      <c r="H493" s="3">
        <v>17.07</v>
      </c>
      <c r="I493" s="3">
        <v>10.63</v>
      </c>
      <c r="J493" s="3">
        <f t="shared" si="21"/>
        <v>443.82</v>
      </c>
      <c r="K493" s="3">
        <f t="shared" si="22"/>
        <v>276.38</v>
      </c>
      <c r="L493" s="3">
        <f t="shared" si="23"/>
        <v>167.44</v>
      </c>
    </row>
    <row r="494" spans="1:12" x14ac:dyDescent="0.3">
      <c r="A494">
        <v>1852</v>
      </c>
      <c r="B494" s="2">
        <v>45498</v>
      </c>
      <c r="C494" t="s">
        <v>16</v>
      </c>
      <c r="D494" t="s">
        <v>13</v>
      </c>
      <c r="E494" t="s">
        <v>45</v>
      </c>
      <c r="F494" t="s">
        <v>19</v>
      </c>
      <c r="G494">
        <v>13</v>
      </c>
      <c r="H494" s="3">
        <v>43.56</v>
      </c>
      <c r="I494" s="3">
        <v>30.99</v>
      </c>
      <c r="J494" s="3">
        <f t="shared" si="21"/>
        <v>566.28</v>
      </c>
      <c r="K494" s="3">
        <f t="shared" si="22"/>
        <v>402.87</v>
      </c>
      <c r="L494" s="3">
        <f t="shared" si="23"/>
        <v>163.40999999999997</v>
      </c>
    </row>
    <row r="495" spans="1:12" x14ac:dyDescent="0.3">
      <c r="A495">
        <v>1489</v>
      </c>
      <c r="B495" s="2">
        <v>45499</v>
      </c>
      <c r="C495" t="s">
        <v>26</v>
      </c>
      <c r="D495" t="s">
        <v>29</v>
      </c>
      <c r="E495" t="s">
        <v>30</v>
      </c>
      <c r="F495" t="s">
        <v>28</v>
      </c>
      <c r="G495">
        <v>32</v>
      </c>
      <c r="H495" s="3">
        <v>82.42</v>
      </c>
      <c r="I495" s="3">
        <v>46.11</v>
      </c>
      <c r="J495" s="3">
        <f t="shared" si="21"/>
        <v>2637.44</v>
      </c>
      <c r="K495" s="3">
        <f t="shared" si="22"/>
        <v>1475.52</v>
      </c>
      <c r="L495" s="3">
        <f t="shared" si="23"/>
        <v>1161.92</v>
      </c>
    </row>
    <row r="496" spans="1:12" x14ac:dyDescent="0.3">
      <c r="A496">
        <v>1264</v>
      </c>
      <c r="B496" s="2">
        <v>45500</v>
      </c>
      <c r="C496" t="s">
        <v>12</v>
      </c>
      <c r="D496" t="s">
        <v>29</v>
      </c>
      <c r="E496" t="s">
        <v>41</v>
      </c>
      <c r="F496" t="s">
        <v>25</v>
      </c>
      <c r="G496">
        <v>20</v>
      </c>
      <c r="H496" s="3">
        <v>435.52</v>
      </c>
      <c r="I496" s="3">
        <v>227.15</v>
      </c>
      <c r="J496" s="3">
        <f t="shared" si="21"/>
        <v>8710.4</v>
      </c>
      <c r="K496" s="3">
        <f t="shared" si="22"/>
        <v>4543</v>
      </c>
      <c r="L496" s="3">
        <f t="shared" si="23"/>
        <v>4167.3999999999996</v>
      </c>
    </row>
    <row r="497" spans="1:12" x14ac:dyDescent="0.3">
      <c r="A497">
        <v>1947</v>
      </c>
      <c r="B497" s="2">
        <v>45500</v>
      </c>
      <c r="C497" t="s">
        <v>32</v>
      </c>
      <c r="D497" t="s">
        <v>29</v>
      </c>
      <c r="E497" t="s">
        <v>43</v>
      </c>
      <c r="F497" t="s">
        <v>22</v>
      </c>
      <c r="G497">
        <v>7</v>
      </c>
      <c r="H497" s="3">
        <v>341.29</v>
      </c>
      <c r="I497" s="3">
        <v>243.39</v>
      </c>
      <c r="J497" s="3">
        <f t="shared" si="21"/>
        <v>2389.0300000000002</v>
      </c>
      <c r="K497" s="3">
        <f t="shared" si="22"/>
        <v>1703.73</v>
      </c>
      <c r="L497" s="3">
        <f t="shared" si="23"/>
        <v>685.30000000000018</v>
      </c>
    </row>
    <row r="498" spans="1:12" x14ac:dyDescent="0.3">
      <c r="A498">
        <v>2599</v>
      </c>
      <c r="B498" s="2">
        <v>45501</v>
      </c>
      <c r="C498" t="s">
        <v>23</v>
      </c>
      <c r="D498" t="s">
        <v>17</v>
      </c>
      <c r="E498" t="s">
        <v>44</v>
      </c>
      <c r="F498" t="s">
        <v>39</v>
      </c>
      <c r="G498">
        <v>31</v>
      </c>
      <c r="H498" s="3">
        <v>664.56</v>
      </c>
      <c r="I498" s="3">
        <v>339.56</v>
      </c>
      <c r="J498" s="3">
        <f t="shared" si="21"/>
        <v>20601.359999999997</v>
      </c>
      <c r="K498" s="3">
        <f t="shared" si="22"/>
        <v>10526.36</v>
      </c>
      <c r="L498" s="3">
        <f t="shared" si="23"/>
        <v>10074.999999999996</v>
      </c>
    </row>
    <row r="499" spans="1:12" x14ac:dyDescent="0.3">
      <c r="A499">
        <v>1755</v>
      </c>
      <c r="B499" s="2">
        <v>45502</v>
      </c>
      <c r="C499" t="s">
        <v>32</v>
      </c>
      <c r="D499" t="s">
        <v>20</v>
      </c>
      <c r="E499" t="s">
        <v>21</v>
      </c>
      <c r="F499" t="s">
        <v>19</v>
      </c>
      <c r="G499">
        <v>39</v>
      </c>
      <c r="H499" s="3">
        <v>220.7</v>
      </c>
      <c r="I499" s="3">
        <v>135.66999999999999</v>
      </c>
      <c r="J499" s="3">
        <f t="shared" si="21"/>
        <v>8607.2999999999993</v>
      </c>
      <c r="K499" s="3">
        <f t="shared" si="22"/>
        <v>5291.1299999999992</v>
      </c>
      <c r="L499" s="3">
        <f t="shared" si="23"/>
        <v>3316.17</v>
      </c>
    </row>
    <row r="500" spans="1:12" x14ac:dyDescent="0.3">
      <c r="A500">
        <v>2303</v>
      </c>
      <c r="B500" s="2">
        <v>45502</v>
      </c>
      <c r="C500" t="s">
        <v>23</v>
      </c>
      <c r="D500" t="s">
        <v>17</v>
      </c>
      <c r="E500" t="s">
        <v>18</v>
      </c>
      <c r="F500" t="s">
        <v>25</v>
      </c>
      <c r="G500">
        <v>33</v>
      </c>
      <c r="H500" s="3">
        <v>516.96</v>
      </c>
      <c r="I500" s="3">
        <v>329.62</v>
      </c>
      <c r="J500" s="3">
        <f t="shared" si="21"/>
        <v>17059.68</v>
      </c>
      <c r="K500" s="3">
        <f t="shared" si="22"/>
        <v>10877.460000000001</v>
      </c>
      <c r="L500" s="3">
        <f t="shared" si="23"/>
        <v>6182.2199999999993</v>
      </c>
    </row>
    <row r="501" spans="1:12" x14ac:dyDescent="0.3">
      <c r="A501">
        <v>2440</v>
      </c>
      <c r="B501" s="2">
        <v>45502</v>
      </c>
      <c r="C501" t="s">
        <v>12</v>
      </c>
      <c r="D501" t="s">
        <v>13</v>
      </c>
      <c r="E501" t="s">
        <v>45</v>
      </c>
      <c r="F501" t="s">
        <v>19</v>
      </c>
      <c r="G501">
        <v>40</v>
      </c>
      <c r="H501" s="3">
        <v>27.06</v>
      </c>
      <c r="I501" s="3">
        <v>18.670000000000002</v>
      </c>
      <c r="J501" s="3">
        <f t="shared" si="21"/>
        <v>1082.3999999999999</v>
      </c>
      <c r="K501" s="3">
        <f t="shared" si="22"/>
        <v>746.80000000000007</v>
      </c>
      <c r="L501" s="3">
        <f t="shared" si="23"/>
        <v>335.5999999999998</v>
      </c>
    </row>
    <row r="502" spans="1:12" x14ac:dyDescent="0.3">
      <c r="A502">
        <v>1197</v>
      </c>
      <c r="B502" s="2">
        <v>45503</v>
      </c>
      <c r="C502" t="s">
        <v>26</v>
      </c>
      <c r="D502" t="s">
        <v>17</v>
      </c>
      <c r="E502" t="s">
        <v>35</v>
      </c>
      <c r="F502" t="s">
        <v>22</v>
      </c>
      <c r="G502">
        <v>29</v>
      </c>
      <c r="H502" s="3">
        <v>562.14</v>
      </c>
      <c r="I502" s="3">
        <v>337.6</v>
      </c>
      <c r="J502" s="3">
        <f t="shared" si="21"/>
        <v>16302.06</v>
      </c>
      <c r="K502" s="3">
        <f t="shared" si="22"/>
        <v>9790.4000000000015</v>
      </c>
      <c r="L502" s="3">
        <f t="shared" si="23"/>
        <v>6511.659999999998</v>
      </c>
    </row>
    <row r="503" spans="1:12" x14ac:dyDescent="0.3">
      <c r="A503">
        <v>1475</v>
      </c>
      <c r="B503" s="2">
        <v>45503</v>
      </c>
      <c r="C503" t="s">
        <v>12</v>
      </c>
      <c r="D503" t="s">
        <v>13</v>
      </c>
      <c r="E503" t="s">
        <v>24</v>
      </c>
      <c r="F503" t="s">
        <v>15</v>
      </c>
      <c r="G503">
        <v>34</v>
      </c>
      <c r="H503" s="3">
        <v>27.51</v>
      </c>
      <c r="I503" s="3">
        <v>18.27</v>
      </c>
      <c r="J503" s="3">
        <f t="shared" si="21"/>
        <v>935.34</v>
      </c>
      <c r="K503" s="3">
        <f t="shared" si="22"/>
        <v>621.17999999999995</v>
      </c>
      <c r="L503" s="3">
        <f t="shared" si="23"/>
        <v>314.16000000000008</v>
      </c>
    </row>
    <row r="504" spans="1:12" x14ac:dyDescent="0.3">
      <c r="A504">
        <v>1491</v>
      </c>
      <c r="B504" s="2">
        <v>45504</v>
      </c>
      <c r="C504" t="s">
        <v>26</v>
      </c>
      <c r="D504" t="s">
        <v>13</v>
      </c>
      <c r="E504" t="s">
        <v>24</v>
      </c>
      <c r="F504" t="s">
        <v>22</v>
      </c>
      <c r="G504">
        <v>23</v>
      </c>
      <c r="H504" s="3">
        <v>51.67</v>
      </c>
      <c r="I504" s="3">
        <v>29.69</v>
      </c>
      <c r="J504" s="3">
        <f t="shared" si="21"/>
        <v>1188.4100000000001</v>
      </c>
      <c r="K504" s="3">
        <f t="shared" si="22"/>
        <v>682.87</v>
      </c>
      <c r="L504" s="3">
        <f t="shared" si="23"/>
        <v>505.54000000000008</v>
      </c>
    </row>
    <row r="505" spans="1:12" x14ac:dyDescent="0.3">
      <c r="A505">
        <v>1570</v>
      </c>
      <c r="B505" s="2">
        <v>45504</v>
      </c>
      <c r="C505" t="s">
        <v>26</v>
      </c>
      <c r="D505" t="s">
        <v>29</v>
      </c>
      <c r="E505" t="s">
        <v>30</v>
      </c>
      <c r="F505" t="s">
        <v>33</v>
      </c>
      <c r="G505">
        <v>4</v>
      </c>
      <c r="H505" s="3">
        <v>340.04</v>
      </c>
      <c r="I505" s="3">
        <v>184.92</v>
      </c>
      <c r="J505" s="3">
        <f t="shared" si="21"/>
        <v>1360.16</v>
      </c>
      <c r="K505" s="3">
        <f t="shared" si="22"/>
        <v>739.68</v>
      </c>
      <c r="L505" s="3">
        <f t="shared" si="23"/>
        <v>620.48000000000013</v>
      </c>
    </row>
    <row r="506" spans="1:12" x14ac:dyDescent="0.3">
      <c r="A506">
        <v>2154</v>
      </c>
      <c r="B506" s="2">
        <v>45505</v>
      </c>
      <c r="C506" t="s">
        <v>23</v>
      </c>
      <c r="D506" t="s">
        <v>17</v>
      </c>
      <c r="E506" t="s">
        <v>18</v>
      </c>
      <c r="F506" t="s">
        <v>28</v>
      </c>
      <c r="G506">
        <v>26</v>
      </c>
      <c r="H506" s="3">
        <v>226.86</v>
      </c>
      <c r="I506" s="3">
        <v>168.4</v>
      </c>
      <c r="J506" s="3">
        <f t="shared" si="21"/>
        <v>5898.3600000000006</v>
      </c>
      <c r="K506" s="3">
        <f t="shared" si="22"/>
        <v>4378.4000000000005</v>
      </c>
      <c r="L506" s="3">
        <f t="shared" si="23"/>
        <v>1519.96</v>
      </c>
    </row>
    <row r="507" spans="1:12" x14ac:dyDescent="0.3">
      <c r="A507">
        <v>2458</v>
      </c>
      <c r="B507" s="2">
        <v>45505</v>
      </c>
      <c r="C507" t="s">
        <v>32</v>
      </c>
      <c r="D507" t="s">
        <v>13</v>
      </c>
      <c r="E507" t="s">
        <v>46</v>
      </c>
      <c r="F507" t="s">
        <v>15</v>
      </c>
      <c r="G507">
        <v>38</v>
      </c>
      <c r="H507" s="3">
        <v>43.41</v>
      </c>
      <c r="I507" s="3">
        <v>23.24</v>
      </c>
      <c r="J507" s="3">
        <f t="shared" si="21"/>
        <v>1649.58</v>
      </c>
      <c r="K507" s="3">
        <f t="shared" si="22"/>
        <v>883.11999999999989</v>
      </c>
      <c r="L507" s="3">
        <f t="shared" si="23"/>
        <v>766.46</v>
      </c>
    </row>
    <row r="508" spans="1:12" x14ac:dyDescent="0.3">
      <c r="A508">
        <v>1330</v>
      </c>
      <c r="B508" s="2">
        <v>45506</v>
      </c>
      <c r="C508" t="s">
        <v>12</v>
      </c>
      <c r="D508" t="s">
        <v>13</v>
      </c>
      <c r="E508" t="s">
        <v>14</v>
      </c>
      <c r="F508" t="s">
        <v>25</v>
      </c>
      <c r="G508">
        <v>9</v>
      </c>
      <c r="H508" s="3">
        <v>39.11</v>
      </c>
      <c r="I508" s="3">
        <v>23.3</v>
      </c>
      <c r="J508" s="3">
        <f t="shared" si="21"/>
        <v>351.99</v>
      </c>
      <c r="K508" s="3">
        <f t="shared" si="22"/>
        <v>209.70000000000002</v>
      </c>
      <c r="L508" s="3">
        <f t="shared" si="23"/>
        <v>142.29</v>
      </c>
    </row>
    <row r="509" spans="1:12" x14ac:dyDescent="0.3">
      <c r="A509">
        <v>1507</v>
      </c>
      <c r="B509" s="2">
        <v>45506</v>
      </c>
      <c r="C509" t="s">
        <v>32</v>
      </c>
      <c r="D509" t="s">
        <v>13</v>
      </c>
      <c r="E509" t="s">
        <v>24</v>
      </c>
      <c r="F509" t="s">
        <v>15</v>
      </c>
      <c r="G509">
        <v>18</v>
      </c>
      <c r="H509" s="3">
        <v>47.05</v>
      </c>
      <c r="I509" s="3">
        <v>25.38</v>
      </c>
      <c r="J509" s="3">
        <f t="shared" si="21"/>
        <v>846.9</v>
      </c>
      <c r="K509" s="3">
        <f t="shared" si="22"/>
        <v>456.84</v>
      </c>
      <c r="L509" s="3">
        <f t="shared" si="23"/>
        <v>390.06</v>
      </c>
    </row>
    <row r="510" spans="1:12" x14ac:dyDescent="0.3">
      <c r="A510">
        <v>1669</v>
      </c>
      <c r="B510" s="2">
        <v>45506</v>
      </c>
      <c r="C510" t="s">
        <v>23</v>
      </c>
      <c r="D510" t="s">
        <v>13</v>
      </c>
      <c r="E510" t="s">
        <v>24</v>
      </c>
      <c r="F510" t="s">
        <v>36</v>
      </c>
      <c r="G510">
        <v>35</v>
      </c>
      <c r="H510" s="3">
        <v>20.149999999999999</v>
      </c>
      <c r="I510" s="3">
        <v>10.18</v>
      </c>
      <c r="J510" s="3">
        <f t="shared" si="21"/>
        <v>705.25</v>
      </c>
      <c r="K510" s="3">
        <f t="shared" si="22"/>
        <v>356.3</v>
      </c>
      <c r="L510" s="3">
        <f t="shared" si="23"/>
        <v>348.95</v>
      </c>
    </row>
    <row r="511" spans="1:12" x14ac:dyDescent="0.3">
      <c r="A511">
        <v>1417</v>
      </c>
      <c r="B511" s="2">
        <v>45507</v>
      </c>
      <c r="C511" t="s">
        <v>23</v>
      </c>
      <c r="D511" t="s">
        <v>17</v>
      </c>
      <c r="E511" t="s">
        <v>40</v>
      </c>
      <c r="F511" t="s">
        <v>33</v>
      </c>
      <c r="G511">
        <v>40</v>
      </c>
      <c r="H511" s="3">
        <v>783.95</v>
      </c>
      <c r="I511" s="3">
        <v>579.83000000000004</v>
      </c>
      <c r="J511" s="3">
        <f t="shared" si="21"/>
        <v>31358</v>
      </c>
      <c r="K511" s="3">
        <f t="shared" si="22"/>
        <v>23193.200000000001</v>
      </c>
      <c r="L511" s="3">
        <f t="shared" si="23"/>
        <v>8164.7999999999993</v>
      </c>
    </row>
    <row r="512" spans="1:12" x14ac:dyDescent="0.3">
      <c r="A512">
        <v>1736</v>
      </c>
      <c r="B512" s="2">
        <v>45507</v>
      </c>
      <c r="C512" t="s">
        <v>32</v>
      </c>
      <c r="D512" t="s">
        <v>20</v>
      </c>
      <c r="E512" t="s">
        <v>34</v>
      </c>
      <c r="F512" t="s">
        <v>33</v>
      </c>
      <c r="G512">
        <v>24</v>
      </c>
      <c r="H512" s="3">
        <v>299.35000000000002</v>
      </c>
      <c r="I512" s="3">
        <v>215.66</v>
      </c>
      <c r="J512" s="3">
        <f t="shared" si="21"/>
        <v>7184.4000000000005</v>
      </c>
      <c r="K512" s="3">
        <f t="shared" si="22"/>
        <v>5175.84</v>
      </c>
      <c r="L512" s="3">
        <f t="shared" si="23"/>
        <v>2008.5600000000004</v>
      </c>
    </row>
    <row r="513" spans="1:12" x14ac:dyDescent="0.3">
      <c r="A513">
        <v>1807</v>
      </c>
      <c r="B513" s="2">
        <v>45507</v>
      </c>
      <c r="C513" t="s">
        <v>12</v>
      </c>
      <c r="D513" t="s">
        <v>17</v>
      </c>
      <c r="E513" t="s">
        <v>44</v>
      </c>
      <c r="F513" t="s">
        <v>28</v>
      </c>
      <c r="G513">
        <v>26</v>
      </c>
      <c r="H513" s="3">
        <v>311.25</v>
      </c>
      <c r="I513" s="3">
        <v>157.30000000000001</v>
      </c>
      <c r="J513" s="3">
        <f t="shared" si="21"/>
        <v>8092.5</v>
      </c>
      <c r="K513" s="3">
        <f t="shared" si="22"/>
        <v>4089.8</v>
      </c>
      <c r="L513" s="3">
        <f t="shared" si="23"/>
        <v>4002.7</v>
      </c>
    </row>
    <row r="514" spans="1:12" x14ac:dyDescent="0.3">
      <c r="A514">
        <v>2156</v>
      </c>
      <c r="B514" s="2">
        <v>45507</v>
      </c>
      <c r="C514" t="s">
        <v>26</v>
      </c>
      <c r="D514" t="s">
        <v>29</v>
      </c>
      <c r="E514" t="s">
        <v>41</v>
      </c>
      <c r="F514" t="s">
        <v>15</v>
      </c>
      <c r="G514">
        <v>33</v>
      </c>
      <c r="H514" s="3">
        <v>83.05</v>
      </c>
      <c r="I514" s="3">
        <v>49.84</v>
      </c>
      <c r="J514" s="3">
        <f t="shared" ref="J514:J577" si="24">G514*H514</f>
        <v>2740.65</v>
      </c>
      <c r="K514" s="3">
        <f t="shared" ref="K514:K577" si="25">G514*I514</f>
        <v>1644.72</v>
      </c>
      <c r="L514" s="3">
        <f t="shared" ref="L514:L577" si="26">J514-K514</f>
        <v>1095.93</v>
      </c>
    </row>
    <row r="515" spans="1:12" x14ac:dyDescent="0.3">
      <c r="A515">
        <v>2226</v>
      </c>
      <c r="B515" s="2">
        <v>45507</v>
      </c>
      <c r="C515" t="s">
        <v>32</v>
      </c>
      <c r="D515" t="s">
        <v>17</v>
      </c>
      <c r="E515" t="s">
        <v>35</v>
      </c>
      <c r="F515" t="s">
        <v>22</v>
      </c>
      <c r="G515">
        <v>10</v>
      </c>
      <c r="H515" s="3">
        <v>346.73</v>
      </c>
      <c r="I515" s="3">
        <v>190.76</v>
      </c>
      <c r="J515" s="3">
        <f t="shared" si="24"/>
        <v>3467.3</v>
      </c>
      <c r="K515" s="3">
        <f t="shared" si="25"/>
        <v>1907.6</v>
      </c>
      <c r="L515" s="3">
        <f t="shared" si="26"/>
        <v>1559.7000000000003</v>
      </c>
    </row>
    <row r="516" spans="1:12" x14ac:dyDescent="0.3">
      <c r="A516">
        <v>1016</v>
      </c>
      <c r="B516" s="2">
        <v>45508</v>
      </c>
      <c r="C516" t="s">
        <v>16</v>
      </c>
      <c r="D516" t="s">
        <v>13</v>
      </c>
      <c r="E516" t="s">
        <v>31</v>
      </c>
      <c r="F516" t="s">
        <v>36</v>
      </c>
      <c r="G516">
        <v>24</v>
      </c>
      <c r="H516" s="3">
        <v>32.5</v>
      </c>
      <c r="I516" s="3">
        <v>19</v>
      </c>
      <c r="J516" s="3">
        <f t="shared" si="24"/>
        <v>780</v>
      </c>
      <c r="K516" s="3">
        <f t="shared" si="25"/>
        <v>456</v>
      </c>
      <c r="L516" s="3">
        <f t="shared" si="26"/>
        <v>324</v>
      </c>
    </row>
    <row r="517" spans="1:12" x14ac:dyDescent="0.3">
      <c r="A517">
        <v>2411</v>
      </c>
      <c r="B517" s="2">
        <v>45508</v>
      </c>
      <c r="C517" t="s">
        <v>16</v>
      </c>
      <c r="D517" t="s">
        <v>20</v>
      </c>
      <c r="E517" t="s">
        <v>34</v>
      </c>
      <c r="F517" t="s">
        <v>15</v>
      </c>
      <c r="G517">
        <v>23</v>
      </c>
      <c r="H517" s="3">
        <v>181.93</v>
      </c>
      <c r="I517" s="3">
        <v>103.22</v>
      </c>
      <c r="J517" s="3">
        <f t="shared" si="24"/>
        <v>4184.3900000000003</v>
      </c>
      <c r="K517" s="3">
        <f t="shared" si="25"/>
        <v>2374.06</v>
      </c>
      <c r="L517" s="3">
        <f t="shared" si="26"/>
        <v>1810.3300000000004</v>
      </c>
    </row>
    <row r="518" spans="1:12" x14ac:dyDescent="0.3">
      <c r="A518">
        <v>1769</v>
      </c>
      <c r="B518" s="2">
        <v>45509</v>
      </c>
      <c r="C518" t="s">
        <v>23</v>
      </c>
      <c r="D518" t="s">
        <v>13</v>
      </c>
      <c r="E518" t="s">
        <v>45</v>
      </c>
      <c r="F518" t="s">
        <v>15</v>
      </c>
      <c r="G518">
        <v>40</v>
      </c>
      <c r="H518" s="3">
        <v>6.84</v>
      </c>
      <c r="I518" s="3">
        <v>4.4400000000000004</v>
      </c>
      <c r="J518" s="3">
        <f t="shared" si="24"/>
        <v>273.60000000000002</v>
      </c>
      <c r="K518" s="3">
        <f t="shared" si="25"/>
        <v>177.60000000000002</v>
      </c>
      <c r="L518" s="3">
        <f t="shared" si="26"/>
        <v>96</v>
      </c>
    </row>
    <row r="519" spans="1:12" x14ac:dyDescent="0.3">
      <c r="A519">
        <v>2666</v>
      </c>
      <c r="B519" s="2">
        <v>45510</v>
      </c>
      <c r="C519" t="s">
        <v>32</v>
      </c>
      <c r="D519" t="s">
        <v>20</v>
      </c>
      <c r="E519" t="s">
        <v>38</v>
      </c>
      <c r="F519" t="s">
        <v>39</v>
      </c>
      <c r="G519">
        <v>22</v>
      </c>
      <c r="H519" s="3">
        <v>133.58000000000001</v>
      </c>
      <c r="I519" s="3">
        <v>75.91</v>
      </c>
      <c r="J519" s="3">
        <f t="shared" si="24"/>
        <v>2938.76</v>
      </c>
      <c r="K519" s="3">
        <f t="shared" si="25"/>
        <v>1670.02</v>
      </c>
      <c r="L519" s="3">
        <f t="shared" si="26"/>
        <v>1268.7400000000002</v>
      </c>
    </row>
    <row r="520" spans="1:12" x14ac:dyDescent="0.3">
      <c r="A520">
        <v>1109</v>
      </c>
      <c r="B520" s="2">
        <v>45512</v>
      </c>
      <c r="C520" t="s">
        <v>23</v>
      </c>
      <c r="D520" t="s">
        <v>20</v>
      </c>
      <c r="E520" t="s">
        <v>34</v>
      </c>
      <c r="F520" t="s">
        <v>36</v>
      </c>
      <c r="G520">
        <v>22</v>
      </c>
      <c r="H520" s="3">
        <v>107.51</v>
      </c>
      <c r="I520" s="3">
        <v>62.15</v>
      </c>
      <c r="J520" s="3">
        <f t="shared" si="24"/>
        <v>2365.2200000000003</v>
      </c>
      <c r="K520" s="3">
        <f t="shared" si="25"/>
        <v>1367.3</v>
      </c>
      <c r="L520" s="3">
        <f t="shared" si="26"/>
        <v>997.9200000000003</v>
      </c>
    </row>
    <row r="521" spans="1:12" x14ac:dyDescent="0.3">
      <c r="A521">
        <v>1538</v>
      </c>
      <c r="B521" s="2">
        <v>45514</v>
      </c>
      <c r="C521" t="s">
        <v>16</v>
      </c>
      <c r="D521" t="s">
        <v>17</v>
      </c>
      <c r="E521" t="s">
        <v>27</v>
      </c>
      <c r="F521" t="s">
        <v>25</v>
      </c>
      <c r="G521">
        <v>39</v>
      </c>
      <c r="H521" s="3">
        <v>169.12</v>
      </c>
      <c r="I521" s="3">
        <v>125.45</v>
      </c>
      <c r="J521" s="3">
        <f t="shared" si="24"/>
        <v>6595.68</v>
      </c>
      <c r="K521" s="3">
        <f t="shared" si="25"/>
        <v>4892.55</v>
      </c>
      <c r="L521" s="3">
        <f t="shared" si="26"/>
        <v>1703.13</v>
      </c>
    </row>
    <row r="522" spans="1:12" x14ac:dyDescent="0.3">
      <c r="A522">
        <v>2290</v>
      </c>
      <c r="B522" s="2">
        <v>45514</v>
      </c>
      <c r="C522" t="s">
        <v>16</v>
      </c>
      <c r="D522" t="s">
        <v>17</v>
      </c>
      <c r="E522" t="s">
        <v>40</v>
      </c>
      <c r="F522" t="s">
        <v>22</v>
      </c>
      <c r="G522">
        <v>14</v>
      </c>
      <c r="H522" s="3">
        <v>756.85</v>
      </c>
      <c r="I522" s="3">
        <v>451.95</v>
      </c>
      <c r="J522" s="3">
        <f t="shared" si="24"/>
        <v>10595.9</v>
      </c>
      <c r="K522" s="3">
        <f t="shared" si="25"/>
        <v>6327.3</v>
      </c>
      <c r="L522" s="3">
        <f t="shared" si="26"/>
        <v>4268.5999999999995</v>
      </c>
    </row>
    <row r="523" spans="1:12" x14ac:dyDescent="0.3">
      <c r="A523">
        <v>2414</v>
      </c>
      <c r="B523" s="2">
        <v>45515</v>
      </c>
      <c r="C523" t="s">
        <v>32</v>
      </c>
      <c r="D523" t="s">
        <v>17</v>
      </c>
      <c r="E523" t="s">
        <v>35</v>
      </c>
      <c r="F523" t="s">
        <v>22</v>
      </c>
      <c r="G523">
        <v>14</v>
      </c>
      <c r="H523" s="3">
        <v>662.48</v>
      </c>
      <c r="I523" s="3">
        <v>365.41</v>
      </c>
      <c r="J523" s="3">
        <f t="shared" si="24"/>
        <v>9274.7200000000012</v>
      </c>
      <c r="K523" s="3">
        <f t="shared" si="25"/>
        <v>5115.7400000000007</v>
      </c>
      <c r="L523" s="3">
        <f t="shared" si="26"/>
        <v>4158.9800000000005</v>
      </c>
    </row>
    <row r="524" spans="1:12" x14ac:dyDescent="0.3">
      <c r="A524">
        <v>2766</v>
      </c>
      <c r="B524" s="2">
        <v>45515</v>
      </c>
      <c r="C524" t="s">
        <v>16</v>
      </c>
      <c r="D524" t="s">
        <v>29</v>
      </c>
      <c r="E524" t="s">
        <v>30</v>
      </c>
      <c r="F524" t="s">
        <v>39</v>
      </c>
      <c r="G524">
        <v>11</v>
      </c>
      <c r="H524" s="3">
        <v>455.57</v>
      </c>
      <c r="I524" s="3">
        <v>242.49</v>
      </c>
      <c r="J524" s="3">
        <f t="shared" si="24"/>
        <v>5011.2699999999995</v>
      </c>
      <c r="K524" s="3">
        <f t="shared" si="25"/>
        <v>2667.3900000000003</v>
      </c>
      <c r="L524" s="3">
        <f t="shared" si="26"/>
        <v>2343.8799999999992</v>
      </c>
    </row>
    <row r="525" spans="1:12" x14ac:dyDescent="0.3">
      <c r="A525">
        <v>1805</v>
      </c>
      <c r="B525" s="2">
        <v>45516</v>
      </c>
      <c r="C525" t="s">
        <v>23</v>
      </c>
      <c r="D525" t="s">
        <v>20</v>
      </c>
      <c r="E525" t="s">
        <v>34</v>
      </c>
      <c r="F525" t="s">
        <v>15</v>
      </c>
      <c r="G525">
        <v>10</v>
      </c>
      <c r="H525" s="3">
        <v>29.62</v>
      </c>
      <c r="I525" s="3">
        <v>17.18</v>
      </c>
      <c r="J525" s="3">
        <f t="shared" si="24"/>
        <v>296.2</v>
      </c>
      <c r="K525" s="3">
        <f t="shared" si="25"/>
        <v>171.8</v>
      </c>
      <c r="L525" s="3">
        <f t="shared" si="26"/>
        <v>124.39999999999998</v>
      </c>
    </row>
    <row r="526" spans="1:12" x14ac:dyDescent="0.3">
      <c r="A526">
        <v>2036</v>
      </c>
      <c r="B526" s="2">
        <v>45516</v>
      </c>
      <c r="C526" t="s">
        <v>32</v>
      </c>
      <c r="D526" t="s">
        <v>17</v>
      </c>
      <c r="E526" t="s">
        <v>40</v>
      </c>
      <c r="F526" t="s">
        <v>28</v>
      </c>
      <c r="G526">
        <v>27</v>
      </c>
      <c r="H526" s="3">
        <v>245.9</v>
      </c>
      <c r="I526" s="3">
        <v>129.72999999999999</v>
      </c>
      <c r="J526" s="3">
        <f t="shared" si="24"/>
        <v>6639.3</v>
      </c>
      <c r="K526" s="3">
        <f t="shared" si="25"/>
        <v>3502.7099999999996</v>
      </c>
      <c r="L526" s="3">
        <f t="shared" si="26"/>
        <v>3136.5900000000006</v>
      </c>
    </row>
    <row r="527" spans="1:12" x14ac:dyDescent="0.3">
      <c r="A527">
        <v>2366</v>
      </c>
      <c r="B527" s="2">
        <v>45516</v>
      </c>
      <c r="C527" t="s">
        <v>23</v>
      </c>
      <c r="D527" t="s">
        <v>13</v>
      </c>
      <c r="E527" t="s">
        <v>14</v>
      </c>
      <c r="F527" t="s">
        <v>25</v>
      </c>
      <c r="G527">
        <v>6</v>
      </c>
      <c r="H527" s="3">
        <v>49.27</v>
      </c>
      <c r="I527" s="3">
        <v>29.22</v>
      </c>
      <c r="J527" s="3">
        <f t="shared" si="24"/>
        <v>295.62</v>
      </c>
      <c r="K527" s="3">
        <f t="shared" si="25"/>
        <v>175.32</v>
      </c>
      <c r="L527" s="3">
        <f t="shared" si="26"/>
        <v>120.30000000000001</v>
      </c>
    </row>
    <row r="528" spans="1:12" x14ac:dyDescent="0.3">
      <c r="A528">
        <v>2544</v>
      </c>
      <c r="B528" s="2">
        <v>45516</v>
      </c>
      <c r="C528" t="s">
        <v>12</v>
      </c>
      <c r="D528" t="s">
        <v>20</v>
      </c>
      <c r="E528" t="s">
        <v>38</v>
      </c>
      <c r="F528" t="s">
        <v>39</v>
      </c>
      <c r="G528">
        <v>2</v>
      </c>
      <c r="H528" s="3">
        <v>247.01</v>
      </c>
      <c r="I528" s="3">
        <v>171.36</v>
      </c>
      <c r="J528" s="3">
        <f t="shared" si="24"/>
        <v>494.02</v>
      </c>
      <c r="K528" s="3">
        <f t="shared" si="25"/>
        <v>342.72</v>
      </c>
      <c r="L528" s="3">
        <f t="shared" si="26"/>
        <v>151.29999999999995</v>
      </c>
    </row>
    <row r="529" spans="1:12" x14ac:dyDescent="0.3">
      <c r="A529">
        <v>1243</v>
      </c>
      <c r="B529" s="2">
        <v>45517</v>
      </c>
      <c r="C529" t="s">
        <v>32</v>
      </c>
      <c r="D529" t="s">
        <v>17</v>
      </c>
      <c r="E529" t="s">
        <v>40</v>
      </c>
      <c r="F529" t="s">
        <v>39</v>
      </c>
      <c r="G529">
        <v>35</v>
      </c>
      <c r="H529" s="3">
        <v>302.48</v>
      </c>
      <c r="I529" s="3">
        <v>188.7</v>
      </c>
      <c r="J529" s="3">
        <f t="shared" si="24"/>
        <v>10586.800000000001</v>
      </c>
      <c r="K529" s="3">
        <f t="shared" si="25"/>
        <v>6604.5</v>
      </c>
      <c r="L529" s="3">
        <f t="shared" si="26"/>
        <v>3982.3000000000011</v>
      </c>
    </row>
    <row r="530" spans="1:12" x14ac:dyDescent="0.3">
      <c r="A530">
        <v>1584</v>
      </c>
      <c r="B530" s="2">
        <v>45517</v>
      </c>
      <c r="C530" t="s">
        <v>23</v>
      </c>
      <c r="D530" t="s">
        <v>29</v>
      </c>
      <c r="E530" t="s">
        <v>30</v>
      </c>
      <c r="F530" t="s">
        <v>33</v>
      </c>
      <c r="G530">
        <v>4</v>
      </c>
      <c r="H530" s="3">
        <v>301.10000000000002</v>
      </c>
      <c r="I530" s="3">
        <v>208.29</v>
      </c>
      <c r="J530" s="3">
        <f t="shared" si="24"/>
        <v>1204.4000000000001</v>
      </c>
      <c r="K530" s="3">
        <f t="shared" si="25"/>
        <v>833.16</v>
      </c>
      <c r="L530" s="3">
        <f t="shared" si="26"/>
        <v>371.24000000000012</v>
      </c>
    </row>
    <row r="531" spans="1:12" x14ac:dyDescent="0.3">
      <c r="A531">
        <v>2341</v>
      </c>
      <c r="B531" s="2">
        <v>45517</v>
      </c>
      <c r="C531" t="s">
        <v>32</v>
      </c>
      <c r="D531" t="s">
        <v>17</v>
      </c>
      <c r="E531" t="s">
        <v>27</v>
      </c>
      <c r="F531" t="s">
        <v>39</v>
      </c>
      <c r="G531">
        <v>20</v>
      </c>
      <c r="H531" s="3">
        <v>425.56</v>
      </c>
      <c r="I531" s="3">
        <v>237.48</v>
      </c>
      <c r="J531" s="3">
        <f t="shared" si="24"/>
        <v>8511.2000000000007</v>
      </c>
      <c r="K531" s="3">
        <f t="shared" si="25"/>
        <v>4749.5999999999995</v>
      </c>
      <c r="L531" s="3">
        <f t="shared" si="26"/>
        <v>3761.6000000000013</v>
      </c>
    </row>
    <row r="532" spans="1:12" x14ac:dyDescent="0.3">
      <c r="A532">
        <v>2759</v>
      </c>
      <c r="B532" s="2">
        <v>45517</v>
      </c>
      <c r="C532" t="s">
        <v>23</v>
      </c>
      <c r="D532" t="s">
        <v>13</v>
      </c>
      <c r="E532" t="s">
        <v>45</v>
      </c>
      <c r="F532" t="s">
        <v>36</v>
      </c>
      <c r="G532">
        <v>18</v>
      </c>
      <c r="H532" s="3">
        <v>38.14</v>
      </c>
      <c r="I532" s="3">
        <v>20.12</v>
      </c>
      <c r="J532" s="3">
        <f t="shared" si="24"/>
        <v>686.52</v>
      </c>
      <c r="K532" s="3">
        <f t="shared" si="25"/>
        <v>362.16</v>
      </c>
      <c r="L532" s="3">
        <f t="shared" si="26"/>
        <v>324.35999999999996</v>
      </c>
    </row>
    <row r="533" spans="1:12" x14ac:dyDescent="0.3">
      <c r="A533">
        <v>2517</v>
      </c>
      <c r="B533" s="2">
        <v>45519</v>
      </c>
      <c r="C533" t="s">
        <v>12</v>
      </c>
      <c r="D533" t="s">
        <v>17</v>
      </c>
      <c r="E533" t="s">
        <v>40</v>
      </c>
      <c r="F533" t="s">
        <v>36</v>
      </c>
      <c r="G533">
        <v>11</v>
      </c>
      <c r="H533" s="3">
        <v>279.01</v>
      </c>
      <c r="I533" s="3">
        <v>192.62</v>
      </c>
      <c r="J533" s="3">
        <f t="shared" si="24"/>
        <v>3069.1099999999997</v>
      </c>
      <c r="K533" s="3">
        <f t="shared" si="25"/>
        <v>2118.8200000000002</v>
      </c>
      <c r="L533" s="3">
        <f t="shared" si="26"/>
        <v>950.28999999999951</v>
      </c>
    </row>
    <row r="534" spans="1:12" x14ac:dyDescent="0.3">
      <c r="A534">
        <v>1035</v>
      </c>
      <c r="B534" s="2">
        <v>45520</v>
      </c>
      <c r="C534" t="s">
        <v>26</v>
      </c>
      <c r="D534" t="s">
        <v>13</v>
      </c>
      <c r="E534" t="s">
        <v>14</v>
      </c>
      <c r="F534" t="s">
        <v>33</v>
      </c>
      <c r="G534">
        <v>18</v>
      </c>
      <c r="H534" s="3">
        <v>58.11</v>
      </c>
      <c r="I534" s="3">
        <v>34.86</v>
      </c>
      <c r="J534" s="3">
        <f t="shared" si="24"/>
        <v>1045.98</v>
      </c>
      <c r="K534" s="3">
        <f t="shared" si="25"/>
        <v>627.48</v>
      </c>
      <c r="L534" s="3">
        <f t="shared" si="26"/>
        <v>418.5</v>
      </c>
    </row>
    <row r="535" spans="1:12" x14ac:dyDescent="0.3">
      <c r="A535">
        <v>1351</v>
      </c>
      <c r="B535" s="2">
        <v>45520</v>
      </c>
      <c r="C535" t="s">
        <v>23</v>
      </c>
      <c r="D535" t="s">
        <v>29</v>
      </c>
      <c r="E535" t="s">
        <v>41</v>
      </c>
      <c r="F535" t="s">
        <v>33</v>
      </c>
      <c r="G535">
        <v>29</v>
      </c>
      <c r="H535" s="3">
        <v>173.13</v>
      </c>
      <c r="I535" s="3">
        <v>122.48</v>
      </c>
      <c r="J535" s="3">
        <f t="shared" si="24"/>
        <v>5020.7699999999995</v>
      </c>
      <c r="K535" s="3">
        <f t="shared" si="25"/>
        <v>3551.92</v>
      </c>
      <c r="L535" s="3">
        <f t="shared" si="26"/>
        <v>1468.8499999999995</v>
      </c>
    </row>
    <row r="536" spans="1:12" x14ac:dyDescent="0.3">
      <c r="A536">
        <v>1388</v>
      </c>
      <c r="B536" s="2">
        <v>45520</v>
      </c>
      <c r="C536" t="s">
        <v>16</v>
      </c>
      <c r="D536" t="s">
        <v>20</v>
      </c>
      <c r="E536" t="s">
        <v>38</v>
      </c>
      <c r="F536" t="s">
        <v>33</v>
      </c>
      <c r="G536">
        <v>32</v>
      </c>
      <c r="H536" s="3">
        <v>266.97000000000003</v>
      </c>
      <c r="I536" s="3">
        <v>162.84</v>
      </c>
      <c r="J536" s="3">
        <f t="shared" si="24"/>
        <v>8543.0400000000009</v>
      </c>
      <c r="K536" s="3">
        <f t="shared" si="25"/>
        <v>5210.88</v>
      </c>
      <c r="L536" s="3">
        <f t="shared" si="26"/>
        <v>3332.1600000000008</v>
      </c>
    </row>
    <row r="537" spans="1:12" x14ac:dyDescent="0.3">
      <c r="A537">
        <v>1512</v>
      </c>
      <c r="B537" s="2">
        <v>45521</v>
      </c>
      <c r="C537" t="s">
        <v>12</v>
      </c>
      <c r="D537" t="s">
        <v>29</v>
      </c>
      <c r="E537" t="s">
        <v>43</v>
      </c>
      <c r="F537" t="s">
        <v>36</v>
      </c>
      <c r="G537">
        <v>12</v>
      </c>
      <c r="H537" s="3">
        <v>411.29</v>
      </c>
      <c r="I537" s="3">
        <v>252.25</v>
      </c>
      <c r="J537" s="3">
        <f t="shared" si="24"/>
        <v>4935.4800000000005</v>
      </c>
      <c r="K537" s="3">
        <f t="shared" si="25"/>
        <v>3027</v>
      </c>
      <c r="L537" s="3">
        <f t="shared" si="26"/>
        <v>1908.4800000000005</v>
      </c>
    </row>
    <row r="538" spans="1:12" x14ac:dyDescent="0.3">
      <c r="A538">
        <v>2012</v>
      </c>
      <c r="B538" s="2">
        <v>45521</v>
      </c>
      <c r="C538" t="s">
        <v>16</v>
      </c>
      <c r="D538" t="s">
        <v>20</v>
      </c>
      <c r="E538" t="s">
        <v>42</v>
      </c>
      <c r="F538" t="s">
        <v>22</v>
      </c>
      <c r="G538">
        <v>39</v>
      </c>
      <c r="H538" s="3">
        <v>95.37</v>
      </c>
      <c r="I538" s="3">
        <v>67.62</v>
      </c>
      <c r="J538" s="3">
        <f t="shared" si="24"/>
        <v>3719.4300000000003</v>
      </c>
      <c r="K538" s="3">
        <f t="shared" si="25"/>
        <v>2637.1800000000003</v>
      </c>
      <c r="L538" s="3">
        <f t="shared" si="26"/>
        <v>1082.25</v>
      </c>
    </row>
    <row r="539" spans="1:12" x14ac:dyDescent="0.3">
      <c r="A539">
        <v>2195</v>
      </c>
      <c r="B539" s="2">
        <v>45521</v>
      </c>
      <c r="C539" t="s">
        <v>12</v>
      </c>
      <c r="D539" t="s">
        <v>13</v>
      </c>
      <c r="E539" t="s">
        <v>24</v>
      </c>
      <c r="F539" t="s">
        <v>28</v>
      </c>
      <c r="G539">
        <v>14</v>
      </c>
      <c r="H539" s="3">
        <v>19.920000000000002</v>
      </c>
      <c r="I539" s="3">
        <v>12.37</v>
      </c>
      <c r="J539" s="3">
        <f t="shared" si="24"/>
        <v>278.88</v>
      </c>
      <c r="K539" s="3">
        <f t="shared" si="25"/>
        <v>173.17999999999998</v>
      </c>
      <c r="L539" s="3">
        <f t="shared" si="26"/>
        <v>105.70000000000002</v>
      </c>
    </row>
    <row r="540" spans="1:12" x14ac:dyDescent="0.3">
      <c r="A540">
        <v>1319</v>
      </c>
      <c r="B540" s="2">
        <v>45522</v>
      </c>
      <c r="C540" t="s">
        <v>12</v>
      </c>
      <c r="D540" t="s">
        <v>29</v>
      </c>
      <c r="E540" t="s">
        <v>41</v>
      </c>
      <c r="F540" t="s">
        <v>22</v>
      </c>
      <c r="G540">
        <v>1</v>
      </c>
      <c r="H540" s="3">
        <v>152.74</v>
      </c>
      <c r="I540" s="3">
        <v>84.91</v>
      </c>
      <c r="J540" s="3">
        <f t="shared" si="24"/>
        <v>152.74</v>
      </c>
      <c r="K540" s="3">
        <f t="shared" si="25"/>
        <v>84.91</v>
      </c>
      <c r="L540" s="3">
        <f t="shared" si="26"/>
        <v>67.830000000000013</v>
      </c>
    </row>
    <row r="541" spans="1:12" x14ac:dyDescent="0.3">
      <c r="A541">
        <v>2684</v>
      </c>
      <c r="B541" s="2">
        <v>45522</v>
      </c>
      <c r="C541" t="s">
        <v>26</v>
      </c>
      <c r="D541" t="s">
        <v>17</v>
      </c>
      <c r="E541" t="s">
        <v>18</v>
      </c>
      <c r="F541" t="s">
        <v>28</v>
      </c>
      <c r="G541">
        <v>30</v>
      </c>
      <c r="H541" s="3">
        <v>376.66</v>
      </c>
      <c r="I541" s="3">
        <v>208.85</v>
      </c>
      <c r="J541" s="3">
        <f t="shared" si="24"/>
        <v>11299.800000000001</v>
      </c>
      <c r="K541" s="3">
        <f t="shared" si="25"/>
        <v>6265.5</v>
      </c>
      <c r="L541" s="3">
        <f t="shared" si="26"/>
        <v>5034.3000000000011</v>
      </c>
    </row>
    <row r="542" spans="1:12" x14ac:dyDescent="0.3">
      <c r="A542">
        <v>1133</v>
      </c>
      <c r="B542" s="2">
        <v>45523</v>
      </c>
      <c r="C542" t="s">
        <v>12</v>
      </c>
      <c r="D542" t="s">
        <v>13</v>
      </c>
      <c r="E542" t="s">
        <v>45</v>
      </c>
      <c r="F542" t="s">
        <v>15</v>
      </c>
      <c r="G542">
        <v>7</v>
      </c>
      <c r="H542" s="3">
        <v>33.770000000000003</v>
      </c>
      <c r="I542" s="3">
        <v>22.47</v>
      </c>
      <c r="J542" s="3">
        <f t="shared" si="24"/>
        <v>236.39000000000001</v>
      </c>
      <c r="K542" s="3">
        <f t="shared" si="25"/>
        <v>157.29</v>
      </c>
      <c r="L542" s="3">
        <f t="shared" si="26"/>
        <v>79.100000000000023</v>
      </c>
    </row>
    <row r="543" spans="1:12" x14ac:dyDescent="0.3">
      <c r="A543">
        <v>1332</v>
      </c>
      <c r="B543" s="2">
        <v>45523</v>
      </c>
      <c r="C543" t="s">
        <v>32</v>
      </c>
      <c r="D543" t="s">
        <v>29</v>
      </c>
      <c r="E543" t="s">
        <v>37</v>
      </c>
      <c r="F543" t="s">
        <v>25</v>
      </c>
      <c r="G543">
        <v>25</v>
      </c>
      <c r="H543" s="3">
        <v>107.42</v>
      </c>
      <c r="I543" s="3">
        <v>79.180000000000007</v>
      </c>
      <c r="J543" s="3">
        <f t="shared" si="24"/>
        <v>2685.5</v>
      </c>
      <c r="K543" s="3">
        <f t="shared" si="25"/>
        <v>1979.5000000000002</v>
      </c>
      <c r="L543" s="3">
        <f t="shared" si="26"/>
        <v>705.99999999999977</v>
      </c>
    </row>
    <row r="544" spans="1:12" x14ac:dyDescent="0.3">
      <c r="A544">
        <v>1825</v>
      </c>
      <c r="B544" s="2">
        <v>45523</v>
      </c>
      <c r="C544" t="s">
        <v>32</v>
      </c>
      <c r="D544" t="s">
        <v>17</v>
      </c>
      <c r="E544" t="s">
        <v>27</v>
      </c>
      <c r="F544" t="s">
        <v>36</v>
      </c>
      <c r="G544">
        <v>15</v>
      </c>
      <c r="H544" s="3">
        <v>378.05</v>
      </c>
      <c r="I544" s="3">
        <v>257.86</v>
      </c>
      <c r="J544" s="3">
        <f t="shared" si="24"/>
        <v>5670.75</v>
      </c>
      <c r="K544" s="3">
        <f t="shared" si="25"/>
        <v>3867.9</v>
      </c>
      <c r="L544" s="3">
        <f t="shared" si="26"/>
        <v>1802.85</v>
      </c>
    </row>
    <row r="545" spans="1:12" x14ac:dyDescent="0.3">
      <c r="A545">
        <v>1946</v>
      </c>
      <c r="B545" s="2">
        <v>45523</v>
      </c>
      <c r="C545" t="s">
        <v>16</v>
      </c>
      <c r="D545" t="s">
        <v>20</v>
      </c>
      <c r="E545" t="s">
        <v>21</v>
      </c>
      <c r="F545" t="s">
        <v>36</v>
      </c>
      <c r="G545">
        <v>7</v>
      </c>
      <c r="H545" s="3">
        <v>158.65</v>
      </c>
      <c r="I545" s="3">
        <v>86.11</v>
      </c>
      <c r="J545" s="3">
        <f t="shared" si="24"/>
        <v>1110.55</v>
      </c>
      <c r="K545" s="3">
        <f t="shared" si="25"/>
        <v>602.77</v>
      </c>
      <c r="L545" s="3">
        <f t="shared" si="26"/>
        <v>507.78</v>
      </c>
    </row>
    <row r="546" spans="1:12" x14ac:dyDescent="0.3">
      <c r="A546">
        <v>1431</v>
      </c>
      <c r="B546" s="2">
        <v>45524</v>
      </c>
      <c r="C546" t="s">
        <v>26</v>
      </c>
      <c r="D546" t="s">
        <v>20</v>
      </c>
      <c r="E546" t="s">
        <v>38</v>
      </c>
      <c r="F546" t="s">
        <v>33</v>
      </c>
      <c r="G546">
        <v>27</v>
      </c>
      <c r="H546" s="3">
        <v>248.31</v>
      </c>
      <c r="I546" s="3">
        <v>176.79</v>
      </c>
      <c r="J546" s="3">
        <f t="shared" si="24"/>
        <v>6704.37</v>
      </c>
      <c r="K546" s="3">
        <f t="shared" si="25"/>
        <v>4773.33</v>
      </c>
      <c r="L546" s="3">
        <f t="shared" si="26"/>
        <v>1931.04</v>
      </c>
    </row>
    <row r="547" spans="1:12" x14ac:dyDescent="0.3">
      <c r="A547">
        <v>1372</v>
      </c>
      <c r="B547" s="2">
        <v>45525</v>
      </c>
      <c r="C547" t="s">
        <v>32</v>
      </c>
      <c r="D547" t="s">
        <v>20</v>
      </c>
      <c r="E547" t="s">
        <v>21</v>
      </c>
      <c r="F547" t="s">
        <v>28</v>
      </c>
      <c r="G547">
        <v>26</v>
      </c>
      <c r="H547" s="3">
        <v>169.75</v>
      </c>
      <c r="I547" s="3">
        <v>112.1</v>
      </c>
      <c r="J547" s="3">
        <f t="shared" si="24"/>
        <v>4413.5</v>
      </c>
      <c r="K547" s="3">
        <f t="shared" si="25"/>
        <v>2914.6</v>
      </c>
      <c r="L547" s="3">
        <f t="shared" si="26"/>
        <v>1498.9</v>
      </c>
    </row>
    <row r="548" spans="1:12" x14ac:dyDescent="0.3">
      <c r="A548">
        <v>1425</v>
      </c>
      <c r="B548" s="2">
        <v>45525</v>
      </c>
      <c r="C548" t="s">
        <v>32</v>
      </c>
      <c r="D548" t="s">
        <v>29</v>
      </c>
      <c r="E548" t="s">
        <v>43</v>
      </c>
      <c r="F548" t="s">
        <v>15</v>
      </c>
      <c r="G548">
        <v>39</v>
      </c>
      <c r="H548" s="3">
        <v>266.86</v>
      </c>
      <c r="I548" s="3">
        <v>157.66</v>
      </c>
      <c r="J548" s="3">
        <f t="shared" si="24"/>
        <v>10407.540000000001</v>
      </c>
      <c r="K548" s="3">
        <f t="shared" si="25"/>
        <v>6148.74</v>
      </c>
      <c r="L548" s="3">
        <f t="shared" si="26"/>
        <v>4258.8000000000011</v>
      </c>
    </row>
    <row r="549" spans="1:12" x14ac:dyDescent="0.3">
      <c r="A549">
        <v>2190</v>
      </c>
      <c r="B549" s="2">
        <v>45525</v>
      </c>
      <c r="C549" t="s">
        <v>32</v>
      </c>
      <c r="D549" t="s">
        <v>29</v>
      </c>
      <c r="E549" t="s">
        <v>30</v>
      </c>
      <c r="F549" t="s">
        <v>25</v>
      </c>
      <c r="G549">
        <v>26</v>
      </c>
      <c r="H549" s="3">
        <v>158.19999999999999</v>
      </c>
      <c r="I549" s="3">
        <v>89.57</v>
      </c>
      <c r="J549" s="3">
        <f t="shared" si="24"/>
        <v>4113.2</v>
      </c>
      <c r="K549" s="3">
        <f t="shared" si="25"/>
        <v>2328.8199999999997</v>
      </c>
      <c r="L549" s="3">
        <f t="shared" si="26"/>
        <v>1784.38</v>
      </c>
    </row>
    <row r="550" spans="1:12" x14ac:dyDescent="0.3">
      <c r="A550">
        <v>2262</v>
      </c>
      <c r="B550" s="2">
        <v>45525</v>
      </c>
      <c r="C550" t="s">
        <v>16</v>
      </c>
      <c r="D550" t="s">
        <v>13</v>
      </c>
      <c r="E550" t="s">
        <v>45</v>
      </c>
      <c r="F550" t="s">
        <v>33</v>
      </c>
      <c r="G550">
        <v>27</v>
      </c>
      <c r="H550" s="3">
        <v>29.31</v>
      </c>
      <c r="I550" s="3">
        <v>21.78</v>
      </c>
      <c r="J550" s="3">
        <f t="shared" si="24"/>
        <v>791.37</v>
      </c>
      <c r="K550" s="3">
        <f t="shared" si="25"/>
        <v>588.06000000000006</v>
      </c>
      <c r="L550" s="3">
        <f t="shared" si="26"/>
        <v>203.30999999999995</v>
      </c>
    </row>
    <row r="551" spans="1:12" x14ac:dyDescent="0.3">
      <c r="A551">
        <v>2502</v>
      </c>
      <c r="B551" s="2">
        <v>45526</v>
      </c>
      <c r="C551" t="s">
        <v>16</v>
      </c>
      <c r="D551" t="s">
        <v>20</v>
      </c>
      <c r="E551" t="s">
        <v>42</v>
      </c>
      <c r="F551" t="s">
        <v>28</v>
      </c>
      <c r="G551">
        <v>38</v>
      </c>
      <c r="H551" s="3">
        <v>279.58999999999997</v>
      </c>
      <c r="I551" s="3">
        <v>148.11000000000001</v>
      </c>
      <c r="J551" s="3">
        <f t="shared" si="24"/>
        <v>10624.419999999998</v>
      </c>
      <c r="K551" s="3">
        <f t="shared" si="25"/>
        <v>5628.18</v>
      </c>
      <c r="L551" s="3">
        <f t="shared" si="26"/>
        <v>4996.239999999998</v>
      </c>
    </row>
    <row r="552" spans="1:12" x14ac:dyDescent="0.3">
      <c r="A552">
        <v>2699</v>
      </c>
      <c r="B552" s="2">
        <v>45526</v>
      </c>
      <c r="C552" t="s">
        <v>12</v>
      </c>
      <c r="D552" t="s">
        <v>13</v>
      </c>
      <c r="E552" t="s">
        <v>45</v>
      </c>
      <c r="F552" t="s">
        <v>15</v>
      </c>
      <c r="G552">
        <v>6</v>
      </c>
      <c r="H552" s="3">
        <v>30.77</v>
      </c>
      <c r="I552" s="3">
        <v>16.399999999999999</v>
      </c>
      <c r="J552" s="3">
        <f t="shared" si="24"/>
        <v>184.62</v>
      </c>
      <c r="K552" s="3">
        <f t="shared" si="25"/>
        <v>98.399999999999991</v>
      </c>
      <c r="L552" s="3">
        <f t="shared" si="26"/>
        <v>86.220000000000013</v>
      </c>
    </row>
    <row r="553" spans="1:12" x14ac:dyDescent="0.3">
      <c r="A553">
        <v>1389</v>
      </c>
      <c r="B553" s="2">
        <v>45527</v>
      </c>
      <c r="C553" t="s">
        <v>26</v>
      </c>
      <c r="D553" t="s">
        <v>29</v>
      </c>
      <c r="E553" t="s">
        <v>37</v>
      </c>
      <c r="F553" t="s">
        <v>19</v>
      </c>
      <c r="G553">
        <v>12</v>
      </c>
      <c r="H553" s="3">
        <v>423.12</v>
      </c>
      <c r="I553" s="3">
        <v>255.42</v>
      </c>
      <c r="J553" s="3">
        <f t="shared" si="24"/>
        <v>5077.4400000000005</v>
      </c>
      <c r="K553" s="3">
        <f t="shared" si="25"/>
        <v>3065.04</v>
      </c>
      <c r="L553" s="3">
        <f t="shared" si="26"/>
        <v>2012.4000000000005</v>
      </c>
    </row>
    <row r="554" spans="1:12" x14ac:dyDescent="0.3">
      <c r="A554">
        <v>2508</v>
      </c>
      <c r="B554" s="2">
        <v>45527</v>
      </c>
      <c r="C554" t="s">
        <v>16</v>
      </c>
      <c r="D554" t="s">
        <v>20</v>
      </c>
      <c r="E554" t="s">
        <v>38</v>
      </c>
      <c r="F554" t="s">
        <v>15</v>
      </c>
      <c r="G554">
        <v>9</v>
      </c>
      <c r="H554" s="3">
        <v>190.72</v>
      </c>
      <c r="I554" s="3">
        <v>121.75</v>
      </c>
      <c r="J554" s="3">
        <f t="shared" si="24"/>
        <v>1716.48</v>
      </c>
      <c r="K554" s="3">
        <f t="shared" si="25"/>
        <v>1095.75</v>
      </c>
      <c r="L554" s="3">
        <f t="shared" si="26"/>
        <v>620.73</v>
      </c>
    </row>
    <row r="555" spans="1:12" x14ac:dyDescent="0.3">
      <c r="A555">
        <v>2628</v>
      </c>
      <c r="B555" s="2">
        <v>45527</v>
      </c>
      <c r="C555" t="s">
        <v>32</v>
      </c>
      <c r="D555" t="s">
        <v>17</v>
      </c>
      <c r="E555" t="s">
        <v>27</v>
      </c>
      <c r="F555" t="s">
        <v>25</v>
      </c>
      <c r="G555">
        <v>33</v>
      </c>
      <c r="H555" s="3">
        <v>118.06</v>
      </c>
      <c r="I555" s="3">
        <v>74.209999999999994</v>
      </c>
      <c r="J555" s="3">
        <f t="shared" si="24"/>
        <v>3895.98</v>
      </c>
      <c r="K555" s="3">
        <f t="shared" si="25"/>
        <v>2448.9299999999998</v>
      </c>
      <c r="L555" s="3">
        <f t="shared" si="26"/>
        <v>1447.0500000000002</v>
      </c>
    </row>
    <row r="556" spans="1:12" x14ac:dyDescent="0.3">
      <c r="A556">
        <v>1674</v>
      </c>
      <c r="B556" s="2">
        <v>45529</v>
      </c>
      <c r="C556" t="s">
        <v>16</v>
      </c>
      <c r="D556" t="s">
        <v>13</v>
      </c>
      <c r="E556" t="s">
        <v>46</v>
      </c>
      <c r="F556" t="s">
        <v>33</v>
      </c>
      <c r="G556">
        <v>39</v>
      </c>
      <c r="H556" s="3">
        <v>43.77</v>
      </c>
      <c r="I556" s="3">
        <v>29.8</v>
      </c>
      <c r="J556" s="3">
        <f t="shared" si="24"/>
        <v>1707.0300000000002</v>
      </c>
      <c r="K556" s="3">
        <f t="shared" si="25"/>
        <v>1162.2</v>
      </c>
      <c r="L556" s="3">
        <f t="shared" si="26"/>
        <v>544.83000000000015</v>
      </c>
    </row>
    <row r="557" spans="1:12" x14ac:dyDescent="0.3">
      <c r="A557">
        <v>1772</v>
      </c>
      <c r="B557" s="2">
        <v>45530</v>
      </c>
      <c r="C557" t="s">
        <v>16</v>
      </c>
      <c r="D557" t="s">
        <v>17</v>
      </c>
      <c r="E557" t="s">
        <v>44</v>
      </c>
      <c r="F557" t="s">
        <v>22</v>
      </c>
      <c r="G557">
        <v>40</v>
      </c>
      <c r="H557" s="3">
        <v>697.51</v>
      </c>
      <c r="I557" s="3">
        <v>391.22</v>
      </c>
      <c r="J557" s="3">
        <f t="shared" si="24"/>
        <v>27900.400000000001</v>
      </c>
      <c r="K557" s="3">
        <f t="shared" si="25"/>
        <v>15648.800000000001</v>
      </c>
      <c r="L557" s="3">
        <f t="shared" si="26"/>
        <v>12251.6</v>
      </c>
    </row>
    <row r="558" spans="1:12" x14ac:dyDescent="0.3">
      <c r="A558">
        <v>1928</v>
      </c>
      <c r="B558" s="2">
        <v>45530</v>
      </c>
      <c r="C558" t="s">
        <v>16</v>
      </c>
      <c r="D558" t="s">
        <v>17</v>
      </c>
      <c r="E558" t="s">
        <v>18</v>
      </c>
      <c r="F558" t="s">
        <v>15</v>
      </c>
      <c r="G558">
        <v>39</v>
      </c>
      <c r="H558" s="3">
        <v>238.23</v>
      </c>
      <c r="I558" s="3">
        <v>175.47</v>
      </c>
      <c r="J558" s="3">
        <f t="shared" si="24"/>
        <v>9290.9699999999993</v>
      </c>
      <c r="K558" s="3">
        <f t="shared" si="25"/>
        <v>6843.33</v>
      </c>
      <c r="L558" s="3">
        <f t="shared" si="26"/>
        <v>2447.6399999999994</v>
      </c>
    </row>
    <row r="559" spans="1:12" x14ac:dyDescent="0.3">
      <c r="A559">
        <v>2153</v>
      </c>
      <c r="B559" s="2">
        <v>45530</v>
      </c>
      <c r="C559" t="s">
        <v>12</v>
      </c>
      <c r="D559" t="s">
        <v>29</v>
      </c>
      <c r="E559" t="s">
        <v>30</v>
      </c>
      <c r="F559" t="s">
        <v>19</v>
      </c>
      <c r="G559">
        <v>29</v>
      </c>
      <c r="H559" s="3">
        <v>90.68</v>
      </c>
      <c r="I559" s="3">
        <v>64.7</v>
      </c>
      <c r="J559" s="3">
        <f t="shared" si="24"/>
        <v>2629.7200000000003</v>
      </c>
      <c r="K559" s="3">
        <f t="shared" si="25"/>
        <v>1876.3000000000002</v>
      </c>
      <c r="L559" s="3">
        <f t="shared" si="26"/>
        <v>753.42000000000007</v>
      </c>
    </row>
    <row r="560" spans="1:12" x14ac:dyDescent="0.3">
      <c r="A560">
        <v>2581</v>
      </c>
      <c r="B560" s="2">
        <v>45530</v>
      </c>
      <c r="C560" t="s">
        <v>12</v>
      </c>
      <c r="D560" t="s">
        <v>29</v>
      </c>
      <c r="E560" t="s">
        <v>41</v>
      </c>
      <c r="F560" t="s">
        <v>19</v>
      </c>
      <c r="G560">
        <v>14</v>
      </c>
      <c r="H560" s="3">
        <v>361.29</v>
      </c>
      <c r="I560" s="3">
        <v>233.29</v>
      </c>
      <c r="J560" s="3">
        <f t="shared" si="24"/>
        <v>5058.0600000000004</v>
      </c>
      <c r="K560" s="3">
        <f t="shared" si="25"/>
        <v>3266.06</v>
      </c>
      <c r="L560" s="3">
        <f t="shared" si="26"/>
        <v>1792.0000000000005</v>
      </c>
    </row>
    <row r="561" spans="1:12" x14ac:dyDescent="0.3">
      <c r="A561">
        <v>1198</v>
      </c>
      <c r="B561" s="2">
        <v>45531</v>
      </c>
      <c r="C561" t="s">
        <v>16</v>
      </c>
      <c r="D561" t="s">
        <v>13</v>
      </c>
      <c r="E561" t="s">
        <v>45</v>
      </c>
      <c r="F561" t="s">
        <v>19</v>
      </c>
      <c r="G561">
        <v>33</v>
      </c>
      <c r="H561" s="3">
        <v>16.350000000000001</v>
      </c>
      <c r="I561" s="3">
        <v>10.54</v>
      </c>
      <c r="J561" s="3">
        <f t="shared" si="24"/>
        <v>539.55000000000007</v>
      </c>
      <c r="K561" s="3">
        <f t="shared" si="25"/>
        <v>347.82</v>
      </c>
      <c r="L561" s="3">
        <f t="shared" si="26"/>
        <v>191.73000000000008</v>
      </c>
    </row>
    <row r="562" spans="1:12" x14ac:dyDescent="0.3">
      <c r="A562">
        <v>2672</v>
      </c>
      <c r="B562" s="2">
        <v>45531</v>
      </c>
      <c r="C562" t="s">
        <v>26</v>
      </c>
      <c r="D562" t="s">
        <v>17</v>
      </c>
      <c r="E562" t="s">
        <v>27</v>
      </c>
      <c r="F562" t="s">
        <v>28</v>
      </c>
      <c r="G562">
        <v>33</v>
      </c>
      <c r="H562" s="3">
        <v>850.78</v>
      </c>
      <c r="I562" s="3">
        <v>495.27</v>
      </c>
      <c r="J562" s="3">
        <f t="shared" si="24"/>
        <v>28075.739999999998</v>
      </c>
      <c r="K562" s="3">
        <f t="shared" si="25"/>
        <v>16343.91</v>
      </c>
      <c r="L562" s="3">
        <f t="shared" si="26"/>
        <v>11731.829999999998</v>
      </c>
    </row>
    <row r="563" spans="1:12" x14ac:dyDescent="0.3">
      <c r="A563">
        <v>2086</v>
      </c>
      <c r="B563" s="2">
        <v>45532</v>
      </c>
      <c r="C563" t="s">
        <v>32</v>
      </c>
      <c r="D563" t="s">
        <v>29</v>
      </c>
      <c r="E563" t="s">
        <v>43</v>
      </c>
      <c r="F563" t="s">
        <v>22</v>
      </c>
      <c r="G563">
        <v>40</v>
      </c>
      <c r="H563" s="3">
        <v>112.45</v>
      </c>
      <c r="I563" s="3">
        <v>70.28</v>
      </c>
      <c r="J563" s="3">
        <f t="shared" si="24"/>
        <v>4498</v>
      </c>
      <c r="K563" s="3">
        <f t="shared" si="25"/>
        <v>2811.2</v>
      </c>
      <c r="L563" s="3">
        <f t="shared" si="26"/>
        <v>1686.8000000000002</v>
      </c>
    </row>
    <row r="564" spans="1:12" x14ac:dyDescent="0.3">
      <c r="A564">
        <v>2507</v>
      </c>
      <c r="B564" s="2">
        <v>45532</v>
      </c>
      <c r="C564" t="s">
        <v>23</v>
      </c>
      <c r="D564" t="s">
        <v>29</v>
      </c>
      <c r="E564" t="s">
        <v>30</v>
      </c>
      <c r="F564" t="s">
        <v>19</v>
      </c>
      <c r="G564">
        <v>9</v>
      </c>
      <c r="H564" s="3">
        <v>218.97</v>
      </c>
      <c r="I564" s="3">
        <v>142.61000000000001</v>
      </c>
      <c r="J564" s="3">
        <f t="shared" si="24"/>
        <v>1970.73</v>
      </c>
      <c r="K564" s="3">
        <f t="shared" si="25"/>
        <v>1283.4900000000002</v>
      </c>
      <c r="L564" s="3">
        <f t="shared" si="26"/>
        <v>687.23999999999978</v>
      </c>
    </row>
    <row r="565" spans="1:12" x14ac:dyDescent="0.3">
      <c r="A565">
        <v>2735</v>
      </c>
      <c r="B565" s="2">
        <v>45532</v>
      </c>
      <c r="C565" t="s">
        <v>12</v>
      </c>
      <c r="D565" t="s">
        <v>13</v>
      </c>
      <c r="E565" t="s">
        <v>24</v>
      </c>
      <c r="F565" t="s">
        <v>28</v>
      </c>
      <c r="G565">
        <v>15</v>
      </c>
      <c r="H565" s="3">
        <v>13.84</v>
      </c>
      <c r="I565" s="3">
        <v>6.92</v>
      </c>
      <c r="J565" s="3">
        <f t="shared" si="24"/>
        <v>207.6</v>
      </c>
      <c r="K565" s="3">
        <f t="shared" si="25"/>
        <v>103.8</v>
      </c>
      <c r="L565" s="3">
        <f t="shared" si="26"/>
        <v>103.8</v>
      </c>
    </row>
    <row r="566" spans="1:12" x14ac:dyDescent="0.3">
      <c r="A566">
        <v>1307</v>
      </c>
      <c r="B566" s="2">
        <v>45533</v>
      </c>
      <c r="C566" t="s">
        <v>23</v>
      </c>
      <c r="D566" t="s">
        <v>29</v>
      </c>
      <c r="E566" t="s">
        <v>30</v>
      </c>
      <c r="F566" t="s">
        <v>36</v>
      </c>
      <c r="G566">
        <v>3</v>
      </c>
      <c r="H566" s="3">
        <v>416.19</v>
      </c>
      <c r="I566" s="3">
        <v>272.63</v>
      </c>
      <c r="J566" s="3">
        <f t="shared" si="24"/>
        <v>1248.57</v>
      </c>
      <c r="K566" s="3">
        <f t="shared" si="25"/>
        <v>817.89</v>
      </c>
      <c r="L566" s="3">
        <f t="shared" si="26"/>
        <v>430.67999999999995</v>
      </c>
    </row>
    <row r="567" spans="1:12" x14ac:dyDescent="0.3">
      <c r="A567">
        <v>1531</v>
      </c>
      <c r="B567" s="2">
        <v>45533</v>
      </c>
      <c r="C567" t="s">
        <v>23</v>
      </c>
      <c r="D567" t="s">
        <v>13</v>
      </c>
      <c r="E567" t="s">
        <v>46</v>
      </c>
      <c r="F567" t="s">
        <v>22</v>
      </c>
      <c r="G567">
        <v>22</v>
      </c>
      <c r="H567" s="3">
        <v>58.14</v>
      </c>
      <c r="I567" s="3">
        <v>41.24</v>
      </c>
      <c r="J567" s="3">
        <f t="shared" si="24"/>
        <v>1279.08</v>
      </c>
      <c r="K567" s="3">
        <f t="shared" si="25"/>
        <v>907.28000000000009</v>
      </c>
      <c r="L567" s="3">
        <f t="shared" si="26"/>
        <v>371.79999999999984</v>
      </c>
    </row>
    <row r="568" spans="1:12" x14ac:dyDescent="0.3">
      <c r="A568">
        <v>1636</v>
      </c>
      <c r="B568" s="2">
        <v>45533</v>
      </c>
      <c r="C568" t="s">
        <v>32</v>
      </c>
      <c r="D568" t="s">
        <v>13</v>
      </c>
      <c r="E568" t="s">
        <v>24</v>
      </c>
      <c r="F568" t="s">
        <v>28</v>
      </c>
      <c r="G568">
        <v>21</v>
      </c>
      <c r="H568" s="3">
        <v>46.7</v>
      </c>
      <c r="I568" s="3">
        <v>33.47</v>
      </c>
      <c r="J568" s="3">
        <f t="shared" si="24"/>
        <v>980.7</v>
      </c>
      <c r="K568" s="3">
        <f t="shared" si="25"/>
        <v>702.87</v>
      </c>
      <c r="L568" s="3">
        <f t="shared" si="26"/>
        <v>277.83000000000004</v>
      </c>
    </row>
    <row r="569" spans="1:12" x14ac:dyDescent="0.3">
      <c r="A569">
        <v>2372</v>
      </c>
      <c r="B569" s="2">
        <v>45533</v>
      </c>
      <c r="C569" t="s">
        <v>23</v>
      </c>
      <c r="D569" t="s">
        <v>20</v>
      </c>
      <c r="E569" t="s">
        <v>21</v>
      </c>
      <c r="F569" t="s">
        <v>39</v>
      </c>
      <c r="G569">
        <v>26</v>
      </c>
      <c r="H569" s="3">
        <v>245.27</v>
      </c>
      <c r="I569" s="3">
        <v>143.24</v>
      </c>
      <c r="J569" s="3">
        <f t="shared" si="24"/>
        <v>6377.02</v>
      </c>
      <c r="K569" s="3">
        <f t="shared" si="25"/>
        <v>3724.2400000000002</v>
      </c>
      <c r="L569" s="3">
        <f t="shared" si="26"/>
        <v>2652.78</v>
      </c>
    </row>
    <row r="570" spans="1:12" x14ac:dyDescent="0.3">
      <c r="A570">
        <v>1246</v>
      </c>
      <c r="B570" s="2">
        <v>45534</v>
      </c>
      <c r="C570" t="s">
        <v>12</v>
      </c>
      <c r="D570" t="s">
        <v>29</v>
      </c>
      <c r="E570" t="s">
        <v>41</v>
      </c>
      <c r="F570" t="s">
        <v>19</v>
      </c>
      <c r="G570">
        <v>40</v>
      </c>
      <c r="H570" s="3">
        <v>166.92</v>
      </c>
      <c r="I570" s="3">
        <v>98.1</v>
      </c>
      <c r="J570" s="3">
        <f t="shared" si="24"/>
        <v>6676.7999999999993</v>
      </c>
      <c r="K570" s="3">
        <f t="shared" si="25"/>
        <v>3924</v>
      </c>
      <c r="L570" s="3">
        <f t="shared" si="26"/>
        <v>2752.7999999999993</v>
      </c>
    </row>
    <row r="571" spans="1:12" x14ac:dyDescent="0.3">
      <c r="A571">
        <v>1723</v>
      </c>
      <c r="B571" s="2">
        <v>45534</v>
      </c>
      <c r="C571" t="s">
        <v>26</v>
      </c>
      <c r="D571" t="s">
        <v>20</v>
      </c>
      <c r="E571" t="s">
        <v>42</v>
      </c>
      <c r="F571" t="s">
        <v>28</v>
      </c>
      <c r="G571">
        <v>38</v>
      </c>
      <c r="H571" s="3">
        <v>125.67</v>
      </c>
      <c r="I571" s="3">
        <v>90.8</v>
      </c>
      <c r="J571" s="3">
        <f t="shared" si="24"/>
        <v>4775.46</v>
      </c>
      <c r="K571" s="3">
        <f t="shared" si="25"/>
        <v>3450.4</v>
      </c>
      <c r="L571" s="3">
        <f t="shared" si="26"/>
        <v>1325.06</v>
      </c>
    </row>
    <row r="572" spans="1:12" x14ac:dyDescent="0.3">
      <c r="A572">
        <v>2339</v>
      </c>
      <c r="B572" s="2">
        <v>45534</v>
      </c>
      <c r="C572" t="s">
        <v>12</v>
      </c>
      <c r="D572" t="s">
        <v>17</v>
      </c>
      <c r="E572" t="s">
        <v>35</v>
      </c>
      <c r="F572" t="s">
        <v>33</v>
      </c>
      <c r="G572">
        <v>15</v>
      </c>
      <c r="H572" s="3">
        <v>204.35</v>
      </c>
      <c r="I572" s="3">
        <v>103.07</v>
      </c>
      <c r="J572" s="3">
        <f t="shared" si="24"/>
        <v>3065.25</v>
      </c>
      <c r="K572" s="3">
        <f t="shared" si="25"/>
        <v>1546.05</v>
      </c>
      <c r="L572" s="3">
        <f t="shared" si="26"/>
        <v>1519.2</v>
      </c>
    </row>
    <row r="573" spans="1:12" x14ac:dyDescent="0.3">
      <c r="A573">
        <v>1503</v>
      </c>
      <c r="B573" s="2">
        <v>45535</v>
      </c>
      <c r="C573" t="s">
        <v>32</v>
      </c>
      <c r="D573" t="s">
        <v>20</v>
      </c>
      <c r="E573" t="s">
        <v>38</v>
      </c>
      <c r="F573" t="s">
        <v>39</v>
      </c>
      <c r="G573">
        <v>34</v>
      </c>
      <c r="H573" s="3">
        <v>237.78</v>
      </c>
      <c r="I573" s="3">
        <v>173.18</v>
      </c>
      <c r="J573" s="3">
        <f t="shared" si="24"/>
        <v>8084.52</v>
      </c>
      <c r="K573" s="3">
        <f t="shared" si="25"/>
        <v>5888.12</v>
      </c>
      <c r="L573" s="3">
        <f t="shared" si="26"/>
        <v>2196.4000000000005</v>
      </c>
    </row>
    <row r="574" spans="1:12" x14ac:dyDescent="0.3">
      <c r="A574">
        <v>1580</v>
      </c>
      <c r="B574" s="2">
        <v>45535</v>
      </c>
      <c r="C574" t="s">
        <v>26</v>
      </c>
      <c r="D574" t="s">
        <v>17</v>
      </c>
      <c r="E574" t="s">
        <v>40</v>
      </c>
      <c r="F574" t="s">
        <v>19</v>
      </c>
      <c r="G574">
        <v>29</v>
      </c>
      <c r="H574" s="3">
        <v>278.74</v>
      </c>
      <c r="I574" s="3">
        <v>161.46</v>
      </c>
      <c r="J574" s="3">
        <f t="shared" si="24"/>
        <v>8083.46</v>
      </c>
      <c r="K574" s="3">
        <f t="shared" si="25"/>
        <v>4682.34</v>
      </c>
      <c r="L574" s="3">
        <f t="shared" si="26"/>
        <v>3401.12</v>
      </c>
    </row>
    <row r="575" spans="1:12" x14ac:dyDescent="0.3">
      <c r="A575">
        <v>2410</v>
      </c>
      <c r="B575" s="2">
        <v>45536</v>
      </c>
      <c r="C575" t="s">
        <v>23</v>
      </c>
      <c r="D575" t="s">
        <v>17</v>
      </c>
      <c r="E575" t="s">
        <v>35</v>
      </c>
      <c r="F575" t="s">
        <v>15</v>
      </c>
      <c r="G575">
        <v>37</v>
      </c>
      <c r="H575" s="3">
        <v>727.52</v>
      </c>
      <c r="I575" s="3">
        <v>374.56</v>
      </c>
      <c r="J575" s="3">
        <f t="shared" si="24"/>
        <v>26918.239999999998</v>
      </c>
      <c r="K575" s="3">
        <f t="shared" si="25"/>
        <v>13858.72</v>
      </c>
      <c r="L575" s="3">
        <f t="shared" si="26"/>
        <v>13059.519999999999</v>
      </c>
    </row>
    <row r="576" spans="1:12" x14ac:dyDescent="0.3">
      <c r="A576">
        <v>1916</v>
      </c>
      <c r="B576" s="2">
        <v>45537</v>
      </c>
      <c r="C576" t="s">
        <v>12</v>
      </c>
      <c r="D576" t="s">
        <v>29</v>
      </c>
      <c r="E576" t="s">
        <v>37</v>
      </c>
      <c r="F576" t="s">
        <v>39</v>
      </c>
      <c r="G576">
        <v>25</v>
      </c>
      <c r="H576" s="3">
        <v>195.49</v>
      </c>
      <c r="I576" s="3">
        <v>128.41</v>
      </c>
      <c r="J576" s="3">
        <f t="shared" si="24"/>
        <v>4887.25</v>
      </c>
      <c r="K576" s="3">
        <f t="shared" si="25"/>
        <v>3210.25</v>
      </c>
      <c r="L576" s="3">
        <f t="shared" si="26"/>
        <v>1677</v>
      </c>
    </row>
    <row r="577" spans="1:12" x14ac:dyDescent="0.3">
      <c r="A577">
        <v>1348</v>
      </c>
      <c r="B577" s="2">
        <v>45538</v>
      </c>
      <c r="C577" t="s">
        <v>32</v>
      </c>
      <c r="D577" t="s">
        <v>29</v>
      </c>
      <c r="E577" t="s">
        <v>30</v>
      </c>
      <c r="F577" t="s">
        <v>39</v>
      </c>
      <c r="G577">
        <v>36</v>
      </c>
      <c r="H577" s="3">
        <v>178.7</v>
      </c>
      <c r="I577" s="3">
        <v>125.15</v>
      </c>
      <c r="J577" s="3">
        <f t="shared" si="24"/>
        <v>6433.2</v>
      </c>
      <c r="K577" s="3">
        <f t="shared" si="25"/>
        <v>4505.4000000000005</v>
      </c>
      <c r="L577" s="3">
        <f t="shared" si="26"/>
        <v>1927.7999999999993</v>
      </c>
    </row>
    <row r="578" spans="1:12" x14ac:dyDescent="0.3">
      <c r="A578">
        <v>1567</v>
      </c>
      <c r="B578" s="2">
        <v>45538</v>
      </c>
      <c r="C578" t="s">
        <v>26</v>
      </c>
      <c r="D578" t="s">
        <v>17</v>
      </c>
      <c r="E578" t="s">
        <v>18</v>
      </c>
      <c r="F578" t="s">
        <v>39</v>
      </c>
      <c r="G578">
        <v>9</v>
      </c>
      <c r="H578" s="3">
        <v>361.06</v>
      </c>
      <c r="I578" s="3">
        <v>240.92</v>
      </c>
      <c r="J578" s="3">
        <f t="shared" ref="J578:J641" si="27">G578*H578</f>
        <v>3249.54</v>
      </c>
      <c r="K578" s="3">
        <f t="shared" ref="K578:K641" si="28">G578*I578</f>
        <v>2168.2799999999997</v>
      </c>
      <c r="L578" s="3">
        <f t="shared" ref="L578:L641" si="29">J578-K578</f>
        <v>1081.2600000000002</v>
      </c>
    </row>
    <row r="579" spans="1:12" x14ac:dyDescent="0.3">
      <c r="A579">
        <v>2219</v>
      </c>
      <c r="B579" s="2">
        <v>45538</v>
      </c>
      <c r="C579" t="s">
        <v>32</v>
      </c>
      <c r="D579" t="s">
        <v>13</v>
      </c>
      <c r="E579" t="s">
        <v>14</v>
      </c>
      <c r="F579" t="s">
        <v>39</v>
      </c>
      <c r="G579">
        <v>24</v>
      </c>
      <c r="H579" s="3">
        <v>25.91</v>
      </c>
      <c r="I579" s="3">
        <v>16.98</v>
      </c>
      <c r="J579" s="3">
        <f t="shared" si="27"/>
        <v>621.84</v>
      </c>
      <c r="K579" s="3">
        <f t="shared" si="28"/>
        <v>407.52</v>
      </c>
      <c r="L579" s="3">
        <f t="shared" si="29"/>
        <v>214.32000000000005</v>
      </c>
    </row>
    <row r="580" spans="1:12" x14ac:dyDescent="0.3">
      <c r="A580">
        <v>2425</v>
      </c>
      <c r="B580" s="2">
        <v>45538</v>
      </c>
      <c r="C580" t="s">
        <v>16</v>
      </c>
      <c r="D580" t="s">
        <v>29</v>
      </c>
      <c r="E580" t="s">
        <v>41</v>
      </c>
      <c r="F580" t="s">
        <v>39</v>
      </c>
      <c r="G580">
        <v>28</v>
      </c>
      <c r="H580" s="3">
        <v>112.03</v>
      </c>
      <c r="I580" s="3">
        <v>59.85</v>
      </c>
      <c r="J580" s="3">
        <f t="shared" si="27"/>
        <v>3136.84</v>
      </c>
      <c r="K580" s="3">
        <f t="shared" si="28"/>
        <v>1675.8</v>
      </c>
      <c r="L580" s="3">
        <f t="shared" si="29"/>
        <v>1461.0400000000002</v>
      </c>
    </row>
    <row r="581" spans="1:12" x14ac:dyDescent="0.3">
      <c r="A581">
        <v>2429</v>
      </c>
      <c r="B581" s="2">
        <v>45538</v>
      </c>
      <c r="C581" t="s">
        <v>26</v>
      </c>
      <c r="D581" t="s">
        <v>20</v>
      </c>
      <c r="E581" t="s">
        <v>38</v>
      </c>
      <c r="F581" t="s">
        <v>19</v>
      </c>
      <c r="G581">
        <v>1</v>
      </c>
      <c r="H581" s="3">
        <v>242.8</v>
      </c>
      <c r="I581" s="3">
        <v>175.27</v>
      </c>
      <c r="J581" s="3">
        <f t="shared" si="27"/>
        <v>242.8</v>
      </c>
      <c r="K581" s="3">
        <f t="shared" si="28"/>
        <v>175.27</v>
      </c>
      <c r="L581" s="3">
        <f t="shared" si="29"/>
        <v>67.53</v>
      </c>
    </row>
    <row r="582" spans="1:12" x14ac:dyDescent="0.3">
      <c r="A582">
        <v>2460</v>
      </c>
      <c r="B582" s="2">
        <v>45538</v>
      </c>
      <c r="C582" t="s">
        <v>16</v>
      </c>
      <c r="D582" t="s">
        <v>17</v>
      </c>
      <c r="E582" t="s">
        <v>44</v>
      </c>
      <c r="F582" t="s">
        <v>28</v>
      </c>
      <c r="G582">
        <v>14</v>
      </c>
      <c r="H582" s="3">
        <v>173.15</v>
      </c>
      <c r="I582" s="3">
        <v>104.18</v>
      </c>
      <c r="J582" s="3">
        <f t="shared" si="27"/>
        <v>2424.1</v>
      </c>
      <c r="K582" s="3">
        <f t="shared" si="28"/>
        <v>1458.52</v>
      </c>
      <c r="L582" s="3">
        <f t="shared" si="29"/>
        <v>965.57999999999993</v>
      </c>
    </row>
    <row r="583" spans="1:12" x14ac:dyDescent="0.3">
      <c r="A583">
        <v>2691</v>
      </c>
      <c r="B583" s="2">
        <v>45538</v>
      </c>
      <c r="C583" t="s">
        <v>23</v>
      </c>
      <c r="D583" t="s">
        <v>13</v>
      </c>
      <c r="E583" t="s">
        <v>45</v>
      </c>
      <c r="F583" t="s">
        <v>19</v>
      </c>
      <c r="G583">
        <v>30</v>
      </c>
      <c r="H583" s="3">
        <v>32.68</v>
      </c>
      <c r="I583" s="3">
        <v>20.13</v>
      </c>
      <c r="J583" s="3">
        <f t="shared" si="27"/>
        <v>980.4</v>
      </c>
      <c r="K583" s="3">
        <f t="shared" si="28"/>
        <v>603.9</v>
      </c>
      <c r="L583" s="3">
        <f t="shared" si="29"/>
        <v>376.5</v>
      </c>
    </row>
    <row r="584" spans="1:12" x14ac:dyDescent="0.3">
      <c r="A584">
        <v>1413</v>
      </c>
      <c r="B584" s="2">
        <v>45539</v>
      </c>
      <c r="C584" t="s">
        <v>32</v>
      </c>
      <c r="D584" t="s">
        <v>13</v>
      </c>
      <c r="E584" t="s">
        <v>24</v>
      </c>
      <c r="F584" t="s">
        <v>39</v>
      </c>
      <c r="G584">
        <v>16</v>
      </c>
      <c r="H584" s="3">
        <v>23.29</v>
      </c>
      <c r="I584" s="3">
        <v>12.1</v>
      </c>
      <c r="J584" s="3">
        <f t="shared" si="27"/>
        <v>372.64</v>
      </c>
      <c r="K584" s="3">
        <f t="shared" si="28"/>
        <v>193.6</v>
      </c>
      <c r="L584" s="3">
        <f t="shared" si="29"/>
        <v>179.04</v>
      </c>
    </row>
    <row r="585" spans="1:12" x14ac:dyDescent="0.3">
      <c r="A585">
        <v>2683</v>
      </c>
      <c r="B585" s="2">
        <v>45539</v>
      </c>
      <c r="C585" t="s">
        <v>23</v>
      </c>
      <c r="D585" t="s">
        <v>29</v>
      </c>
      <c r="E585" t="s">
        <v>37</v>
      </c>
      <c r="F585" t="s">
        <v>39</v>
      </c>
      <c r="G585">
        <v>13</v>
      </c>
      <c r="H585" s="3">
        <v>324.04000000000002</v>
      </c>
      <c r="I585" s="3">
        <v>192.4</v>
      </c>
      <c r="J585" s="3">
        <f t="shared" si="27"/>
        <v>4212.5200000000004</v>
      </c>
      <c r="K585" s="3">
        <f t="shared" si="28"/>
        <v>2501.2000000000003</v>
      </c>
      <c r="L585" s="3">
        <f t="shared" si="29"/>
        <v>1711.3200000000002</v>
      </c>
    </row>
    <row r="586" spans="1:12" x14ac:dyDescent="0.3">
      <c r="A586">
        <v>1877</v>
      </c>
      <c r="B586" s="2">
        <v>45540</v>
      </c>
      <c r="C586" t="s">
        <v>12</v>
      </c>
      <c r="D586" t="s">
        <v>13</v>
      </c>
      <c r="E586" t="s">
        <v>45</v>
      </c>
      <c r="F586" t="s">
        <v>19</v>
      </c>
      <c r="G586">
        <v>8</v>
      </c>
      <c r="H586" s="3">
        <v>43.13</v>
      </c>
      <c r="I586" s="3">
        <v>31.97</v>
      </c>
      <c r="J586" s="3">
        <f t="shared" si="27"/>
        <v>345.04</v>
      </c>
      <c r="K586" s="3">
        <f t="shared" si="28"/>
        <v>255.76</v>
      </c>
      <c r="L586" s="3">
        <f t="shared" si="29"/>
        <v>89.28000000000003</v>
      </c>
    </row>
    <row r="587" spans="1:12" x14ac:dyDescent="0.3">
      <c r="A587">
        <v>2177</v>
      </c>
      <c r="B587" s="2">
        <v>45540</v>
      </c>
      <c r="C587" t="s">
        <v>23</v>
      </c>
      <c r="D587" t="s">
        <v>13</v>
      </c>
      <c r="E587" t="s">
        <v>14</v>
      </c>
      <c r="F587" t="s">
        <v>36</v>
      </c>
      <c r="G587">
        <v>38</v>
      </c>
      <c r="H587" s="3">
        <v>50.56</v>
      </c>
      <c r="I587" s="3">
        <v>28.77</v>
      </c>
      <c r="J587" s="3">
        <f t="shared" si="27"/>
        <v>1921.2800000000002</v>
      </c>
      <c r="K587" s="3">
        <f t="shared" si="28"/>
        <v>1093.26</v>
      </c>
      <c r="L587" s="3">
        <f t="shared" si="29"/>
        <v>828.02000000000021</v>
      </c>
    </row>
    <row r="588" spans="1:12" x14ac:dyDescent="0.3">
      <c r="A588">
        <v>2764</v>
      </c>
      <c r="B588" s="2">
        <v>45540</v>
      </c>
      <c r="C588" t="s">
        <v>32</v>
      </c>
      <c r="D588" t="s">
        <v>29</v>
      </c>
      <c r="E588" t="s">
        <v>41</v>
      </c>
      <c r="F588" t="s">
        <v>15</v>
      </c>
      <c r="G588">
        <v>15</v>
      </c>
      <c r="H588" s="3">
        <v>252.17</v>
      </c>
      <c r="I588" s="3">
        <v>173.94</v>
      </c>
      <c r="J588" s="3">
        <f t="shared" si="27"/>
        <v>3782.5499999999997</v>
      </c>
      <c r="K588" s="3">
        <f t="shared" si="28"/>
        <v>2609.1</v>
      </c>
      <c r="L588" s="3">
        <f t="shared" si="29"/>
        <v>1173.4499999999998</v>
      </c>
    </row>
    <row r="589" spans="1:12" x14ac:dyDescent="0.3">
      <c r="A589">
        <v>1738</v>
      </c>
      <c r="B589" s="2">
        <v>45542</v>
      </c>
      <c r="C589" t="s">
        <v>26</v>
      </c>
      <c r="D589" t="s">
        <v>13</v>
      </c>
      <c r="E589" t="s">
        <v>46</v>
      </c>
      <c r="F589" t="s">
        <v>15</v>
      </c>
      <c r="G589">
        <v>10</v>
      </c>
      <c r="H589" s="3">
        <v>6.04</v>
      </c>
      <c r="I589" s="3">
        <v>4.3099999999999996</v>
      </c>
      <c r="J589" s="3">
        <f t="shared" si="27"/>
        <v>60.4</v>
      </c>
      <c r="K589" s="3">
        <f t="shared" si="28"/>
        <v>43.099999999999994</v>
      </c>
      <c r="L589" s="3">
        <f t="shared" si="29"/>
        <v>17.300000000000004</v>
      </c>
    </row>
    <row r="590" spans="1:12" x14ac:dyDescent="0.3">
      <c r="A590">
        <v>2083</v>
      </c>
      <c r="B590" s="2">
        <v>45542</v>
      </c>
      <c r="C590" t="s">
        <v>12</v>
      </c>
      <c r="D590" t="s">
        <v>29</v>
      </c>
      <c r="E590" t="s">
        <v>30</v>
      </c>
      <c r="F590" t="s">
        <v>28</v>
      </c>
      <c r="G590">
        <v>11</v>
      </c>
      <c r="H590" s="3">
        <v>368.45</v>
      </c>
      <c r="I590" s="3">
        <v>268.31</v>
      </c>
      <c r="J590" s="3">
        <f t="shared" si="27"/>
        <v>4052.95</v>
      </c>
      <c r="K590" s="3">
        <f t="shared" si="28"/>
        <v>2951.41</v>
      </c>
      <c r="L590" s="3">
        <f t="shared" si="29"/>
        <v>1101.54</v>
      </c>
    </row>
    <row r="591" spans="1:12" x14ac:dyDescent="0.3">
      <c r="A591">
        <v>2543</v>
      </c>
      <c r="B591" s="2">
        <v>45542</v>
      </c>
      <c r="C591" t="s">
        <v>16</v>
      </c>
      <c r="D591" t="s">
        <v>13</v>
      </c>
      <c r="E591" t="s">
        <v>31</v>
      </c>
      <c r="F591" t="s">
        <v>15</v>
      </c>
      <c r="G591">
        <v>18</v>
      </c>
      <c r="H591" s="3">
        <v>30.88</v>
      </c>
      <c r="I591" s="3">
        <v>22.25</v>
      </c>
      <c r="J591" s="3">
        <f t="shared" si="27"/>
        <v>555.84</v>
      </c>
      <c r="K591" s="3">
        <f t="shared" si="28"/>
        <v>400.5</v>
      </c>
      <c r="L591" s="3">
        <f t="shared" si="29"/>
        <v>155.34000000000003</v>
      </c>
    </row>
    <row r="592" spans="1:12" x14ac:dyDescent="0.3">
      <c r="A592">
        <v>1691</v>
      </c>
      <c r="B592" s="2">
        <v>45545</v>
      </c>
      <c r="C592" t="s">
        <v>26</v>
      </c>
      <c r="D592" t="s">
        <v>29</v>
      </c>
      <c r="E592" t="s">
        <v>37</v>
      </c>
      <c r="F592" t="s">
        <v>33</v>
      </c>
      <c r="G592">
        <v>30</v>
      </c>
      <c r="H592" s="3">
        <v>427.94</v>
      </c>
      <c r="I592" s="3">
        <v>220.62</v>
      </c>
      <c r="J592" s="3">
        <f t="shared" si="27"/>
        <v>12838.2</v>
      </c>
      <c r="K592" s="3">
        <f t="shared" si="28"/>
        <v>6618.6</v>
      </c>
      <c r="L592" s="3">
        <f t="shared" si="29"/>
        <v>6219.6</v>
      </c>
    </row>
    <row r="593" spans="1:12" x14ac:dyDescent="0.3">
      <c r="A593">
        <v>1230</v>
      </c>
      <c r="B593" s="2">
        <v>45546</v>
      </c>
      <c r="C593" t="s">
        <v>32</v>
      </c>
      <c r="D593" t="s">
        <v>13</v>
      </c>
      <c r="E593" t="s">
        <v>46</v>
      </c>
      <c r="F593" t="s">
        <v>22</v>
      </c>
      <c r="G593">
        <v>37</v>
      </c>
      <c r="H593" s="3">
        <v>41.62</v>
      </c>
      <c r="I593" s="3">
        <v>30.86</v>
      </c>
      <c r="J593" s="3">
        <f t="shared" si="27"/>
        <v>1539.9399999999998</v>
      </c>
      <c r="K593" s="3">
        <f t="shared" si="28"/>
        <v>1141.82</v>
      </c>
      <c r="L593" s="3">
        <f t="shared" si="29"/>
        <v>398.11999999999989</v>
      </c>
    </row>
    <row r="594" spans="1:12" x14ac:dyDescent="0.3">
      <c r="A594">
        <v>1439</v>
      </c>
      <c r="B594" s="2">
        <v>45546</v>
      </c>
      <c r="C594" t="s">
        <v>23</v>
      </c>
      <c r="D594" t="s">
        <v>20</v>
      </c>
      <c r="E594" t="s">
        <v>34</v>
      </c>
      <c r="F594" t="s">
        <v>22</v>
      </c>
      <c r="G594">
        <v>13</v>
      </c>
      <c r="H594" s="3">
        <v>294.99</v>
      </c>
      <c r="I594" s="3">
        <v>182.36</v>
      </c>
      <c r="J594" s="3">
        <f t="shared" si="27"/>
        <v>3834.87</v>
      </c>
      <c r="K594" s="3">
        <f t="shared" si="28"/>
        <v>2370.6800000000003</v>
      </c>
      <c r="L594" s="3">
        <f t="shared" si="29"/>
        <v>1464.1899999999996</v>
      </c>
    </row>
    <row r="595" spans="1:12" x14ac:dyDescent="0.3">
      <c r="A595">
        <v>1778</v>
      </c>
      <c r="B595" s="2">
        <v>45546</v>
      </c>
      <c r="C595" t="s">
        <v>32</v>
      </c>
      <c r="D595" t="s">
        <v>29</v>
      </c>
      <c r="E595" t="s">
        <v>41</v>
      </c>
      <c r="F595" t="s">
        <v>39</v>
      </c>
      <c r="G595">
        <v>18</v>
      </c>
      <c r="H595" s="3">
        <v>479.43</v>
      </c>
      <c r="I595" s="3">
        <v>284.99</v>
      </c>
      <c r="J595" s="3">
        <f t="shared" si="27"/>
        <v>8629.74</v>
      </c>
      <c r="K595" s="3">
        <f t="shared" si="28"/>
        <v>5129.82</v>
      </c>
      <c r="L595" s="3">
        <f t="shared" si="29"/>
        <v>3499.92</v>
      </c>
    </row>
    <row r="596" spans="1:12" x14ac:dyDescent="0.3">
      <c r="A596">
        <v>1021</v>
      </c>
      <c r="B596" s="2">
        <v>45547</v>
      </c>
      <c r="C596" t="s">
        <v>26</v>
      </c>
      <c r="D596" t="s">
        <v>20</v>
      </c>
      <c r="E596" t="s">
        <v>42</v>
      </c>
      <c r="F596" t="s">
        <v>22</v>
      </c>
      <c r="G596">
        <v>35</v>
      </c>
      <c r="H596" s="3">
        <v>257.63</v>
      </c>
      <c r="I596" s="3">
        <v>139.53</v>
      </c>
      <c r="J596" s="3">
        <f t="shared" si="27"/>
        <v>9017.0499999999993</v>
      </c>
      <c r="K596" s="3">
        <f t="shared" si="28"/>
        <v>4883.55</v>
      </c>
      <c r="L596" s="3">
        <f t="shared" si="29"/>
        <v>4133.4999999999991</v>
      </c>
    </row>
    <row r="597" spans="1:12" x14ac:dyDescent="0.3">
      <c r="A597">
        <v>2578</v>
      </c>
      <c r="B597" s="2">
        <v>45547</v>
      </c>
      <c r="C597" t="s">
        <v>26</v>
      </c>
      <c r="D597" t="s">
        <v>29</v>
      </c>
      <c r="E597" t="s">
        <v>37</v>
      </c>
      <c r="F597" t="s">
        <v>22</v>
      </c>
      <c r="G597">
        <v>17</v>
      </c>
      <c r="H597" s="3">
        <v>419.29</v>
      </c>
      <c r="I597" s="3">
        <v>296.66000000000003</v>
      </c>
      <c r="J597" s="3">
        <f t="shared" si="27"/>
        <v>7127.93</v>
      </c>
      <c r="K597" s="3">
        <f t="shared" si="28"/>
        <v>5043.22</v>
      </c>
      <c r="L597" s="3">
        <f t="shared" si="29"/>
        <v>2084.71</v>
      </c>
    </row>
    <row r="598" spans="1:12" x14ac:dyDescent="0.3">
      <c r="A598">
        <v>1137</v>
      </c>
      <c r="B598" s="2">
        <v>45548</v>
      </c>
      <c r="C598" t="s">
        <v>26</v>
      </c>
      <c r="D598" t="s">
        <v>20</v>
      </c>
      <c r="E598" t="s">
        <v>38</v>
      </c>
      <c r="F598" t="s">
        <v>25</v>
      </c>
      <c r="G598">
        <v>34</v>
      </c>
      <c r="H598" s="3">
        <v>96.38</v>
      </c>
      <c r="I598" s="3">
        <v>70</v>
      </c>
      <c r="J598" s="3">
        <f t="shared" si="27"/>
        <v>3276.92</v>
      </c>
      <c r="K598" s="3">
        <f t="shared" si="28"/>
        <v>2380</v>
      </c>
      <c r="L598" s="3">
        <f t="shared" si="29"/>
        <v>896.92000000000007</v>
      </c>
    </row>
    <row r="599" spans="1:12" x14ac:dyDescent="0.3">
      <c r="A599">
        <v>1377</v>
      </c>
      <c r="B599" s="2">
        <v>45550</v>
      </c>
      <c r="C599" t="s">
        <v>12</v>
      </c>
      <c r="D599" t="s">
        <v>17</v>
      </c>
      <c r="E599" t="s">
        <v>44</v>
      </c>
      <c r="F599" t="s">
        <v>22</v>
      </c>
      <c r="G599">
        <v>36</v>
      </c>
      <c r="H599" s="3">
        <v>447.46</v>
      </c>
      <c r="I599" s="3">
        <v>234.72</v>
      </c>
      <c r="J599" s="3">
        <f t="shared" si="27"/>
        <v>16108.56</v>
      </c>
      <c r="K599" s="3">
        <f t="shared" si="28"/>
        <v>8449.92</v>
      </c>
      <c r="L599" s="3">
        <f t="shared" si="29"/>
        <v>7658.6399999999994</v>
      </c>
    </row>
    <row r="600" spans="1:12" x14ac:dyDescent="0.3">
      <c r="A600">
        <v>2079</v>
      </c>
      <c r="B600" s="2">
        <v>45550</v>
      </c>
      <c r="C600" t="s">
        <v>32</v>
      </c>
      <c r="D600" t="s">
        <v>29</v>
      </c>
      <c r="E600" t="s">
        <v>41</v>
      </c>
      <c r="F600" t="s">
        <v>36</v>
      </c>
      <c r="G600">
        <v>20</v>
      </c>
      <c r="H600" s="3">
        <v>178.41</v>
      </c>
      <c r="I600" s="3">
        <v>130.55000000000001</v>
      </c>
      <c r="J600" s="3">
        <f t="shared" si="27"/>
        <v>3568.2</v>
      </c>
      <c r="K600" s="3">
        <f t="shared" si="28"/>
        <v>2611</v>
      </c>
      <c r="L600" s="3">
        <f t="shared" si="29"/>
        <v>957.19999999999982</v>
      </c>
    </row>
    <row r="601" spans="1:12" x14ac:dyDescent="0.3">
      <c r="A601">
        <v>2382</v>
      </c>
      <c r="B601" s="2">
        <v>45550</v>
      </c>
      <c r="C601" t="s">
        <v>23</v>
      </c>
      <c r="D601" t="s">
        <v>13</v>
      </c>
      <c r="E601" t="s">
        <v>14</v>
      </c>
      <c r="F601" t="s">
        <v>28</v>
      </c>
      <c r="G601">
        <v>26</v>
      </c>
      <c r="H601" s="3">
        <v>52.17</v>
      </c>
      <c r="I601" s="3">
        <v>35.81</v>
      </c>
      <c r="J601" s="3">
        <f t="shared" si="27"/>
        <v>1356.42</v>
      </c>
      <c r="K601" s="3">
        <f t="shared" si="28"/>
        <v>931.06000000000006</v>
      </c>
      <c r="L601" s="3">
        <f t="shared" si="29"/>
        <v>425.36</v>
      </c>
    </row>
    <row r="602" spans="1:12" x14ac:dyDescent="0.3">
      <c r="A602">
        <v>1822</v>
      </c>
      <c r="B602" s="2">
        <v>45552</v>
      </c>
      <c r="C602" t="s">
        <v>23</v>
      </c>
      <c r="D602" t="s">
        <v>13</v>
      </c>
      <c r="E602" t="s">
        <v>46</v>
      </c>
      <c r="F602" t="s">
        <v>39</v>
      </c>
      <c r="G602">
        <v>5</v>
      </c>
      <c r="H602" s="3">
        <v>18.36</v>
      </c>
      <c r="I602" s="3">
        <v>12.46</v>
      </c>
      <c r="J602" s="3">
        <f t="shared" si="27"/>
        <v>91.8</v>
      </c>
      <c r="K602" s="3">
        <f t="shared" si="28"/>
        <v>62.300000000000004</v>
      </c>
      <c r="L602" s="3">
        <f t="shared" si="29"/>
        <v>29.499999999999993</v>
      </c>
    </row>
    <row r="603" spans="1:12" x14ac:dyDescent="0.3">
      <c r="A603">
        <v>2334</v>
      </c>
      <c r="B603" s="2">
        <v>45552</v>
      </c>
      <c r="C603" t="s">
        <v>16</v>
      </c>
      <c r="D603" t="s">
        <v>17</v>
      </c>
      <c r="E603" t="s">
        <v>40</v>
      </c>
      <c r="F603" t="s">
        <v>25</v>
      </c>
      <c r="G603">
        <v>25</v>
      </c>
      <c r="H603" s="3">
        <v>743.02</v>
      </c>
      <c r="I603" s="3">
        <v>545.03</v>
      </c>
      <c r="J603" s="3">
        <f t="shared" si="27"/>
        <v>18575.5</v>
      </c>
      <c r="K603" s="3">
        <f t="shared" si="28"/>
        <v>13625.75</v>
      </c>
      <c r="L603" s="3">
        <f t="shared" si="29"/>
        <v>4949.75</v>
      </c>
    </row>
    <row r="604" spans="1:12" x14ac:dyDescent="0.3">
      <c r="A604">
        <v>2600</v>
      </c>
      <c r="B604" s="2">
        <v>45552</v>
      </c>
      <c r="C604" t="s">
        <v>32</v>
      </c>
      <c r="D604" t="s">
        <v>17</v>
      </c>
      <c r="E604" t="s">
        <v>18</v>
      </c>
      <c r="F604" t="s">
        <v>33</v>
      </c>
      <c r="G604">
        <v>2</v>
      </c>
      <c r="H604" s="3">
        <v>824.41</v>
      </c>
      <c r="I604" s="3">
        <v>514.35</v>
      </c>
      <c r="J604" s="3">
        <f t="shared" si="27"/>
        <v>1648.82</v>
      </c>
      <c r="K604" s="3">
        <f t="shared" si="28"/>
        <v>1028.7</v>
      </c>
      <c r="L604" s="3">
        <f t="shared" si="29"/>
        <v>620.11999999999989</v>
      </c>
    </row>
    <row r="605" spans="1:12" x14ac:dyDescent="0.3">
      <c r="A605">
        <v>1110</v>
      </c>
      <c r="B605" s="2">
        <v>45553</v>
      </c>
      <c r="C605" t="s">
        <v>32</v>
      </c>
      <c r="D605" t="s">
        <v>13</v>
      </c>
      <c r="E605" t="s">
        <v>14</v>
      </c>
      <c r="F605" t="s">
        <v>25</v>
      </c>
      <c r="G605">
        <v>6</v>
      </c>
      <c r="H605" s="3">
        <v>8.31</v>
      </c>
      <c r="I605" s="3">
        <v>5.84</v>
      </c>
      <c r="J605" s="3">
        <f t="shared" si="27"/>
        <v>49.86</v>
      </c>
      <c r="K605" s="3">
        <f t="shared" si="28"/>
        <v>35.04</v>
      </c>
      <c r="L605" s="3">
        <f t="shared" si="29"/>
        <v>14.82</v>
      </c>
    </row>
    <row r="606" spans="1:12" x14ac:dyDescent="0.3">
      <c r="A606">
        <v>1458</v>
      </c>
      <c r="B606" s="2">
        <v>45554</v>
      </c>
      <c r="C606" t="s">
        <v>32</v>
      </c>
      <c r="D606" t="s">
        <v>17</v>
      </c>
      <c r="E606" t="s">
        <v>35</v>
      </c>
      <c r="F606" t="s">
        <v>36</v>
      </c>
      <c r="G606">
        <v>37</v>
      </c>
      <c r="H606" s="3">
        <v>831.02</v>
      </c>
      <c r="I606" s="3">
        <v>451.43</v>
      </c>
      <c r="J606" s="3">
        <f t="shared" si="27"/>
        <v>30747.739999999998</v>
      </c>
      <c r="K606" s="3">
        <f t="shared" si="28"/>
        <v>16702.91</v>
      </c>
      <c r="L606" s="3">
        <f t="shared" si="29"/>
        <v>14044.829999999998</v>
      </c>
    </row>
    <row r="607" spans="1:12" x14ac:dyDescent="0.3">
      <c r="A607">
        <v>2121</v>
      </c>
      <c r="B607" s="2">
        <v>45555</v>
      </c>
      <c r="C607" t="s">
        <v>12</v>
      </c>
      <c r="D607" t="s">
        <v>17</v>
      </c>
      <c r="E607" t="s">
        <v>44</v>
      </c>
      <c r="F607" t="s">
        <v>15</v>
      </c>
      <c r="G607">
        <v>10</v>
      </c>
      <c r="H607" s="3">
        <v>550.76</v>
      </c>
      <c r="I607" s="3">
        <v>412.54</v>
      </c>
      <c r="J607" s="3">
        <f t="shared" si="27"/>
        <v>5507.6</v>
      </c>
      <c r="K607" s="3">
        <f t="shared" si="28"/>
        <v>4125.4000000000005</v>
      </c>
      <c r="L607" s="3">
        <f t="shared" si="29"/>
        <v>1382.1999999999998</v>
      </c>
    </row>
    <row r="608" spans="1:12" x14ac:dyDescent="0.3">
      <c r="A608">
        <v>2369</v>
      </c>
      <c r="B608" s="2">
        <v>45555</v>
      </c>
      <c r="C608" t="s">
        <v>26</v>
      </c>
      <c r="D608" t="s">
        <v>13</v>
      </c>
      <c r="E608" t="s">
        <v>46</v>
      </c>
      <c r="F608" t="s">
        <v>39</v>
      </c>
      <c r="G608">
        <v>15</v>
      </c>
      <c r="H608" s="3">
        <v>17.18</v>
      </c>
      <c r="I608" s="3">
        <v>11.59</v>
      </c>
      <c r="J608" s="3">
        <f t="shared" si="27"/>
        <v>257.7</v>
      </c>
      <c r="K608" s="3">
        <f t="shared" si="28"/>
        <v>173.85</v>
      </c>
      <c r="L608" s="3">
        <f t="shared" si="29"/>
        <v>83.85</v>
      </c>
    </row>
    <row r="609" spans="1:12" x14ac:dyDescent="0.3">
      <c r="A609">
        <v>2220</v>
      </c>
      <c r="B609" s="2">
        <v>45556</v>
      </c>
      <c r="C609" t="s">
        <v>23</v>
      </c>
      <c r="D609" t="s">
        <v>29</v>
      </c>
      <c r="E609" t="s">
        <v>37</v>
      </c>
      <c r="F609" t="s">
        <v>15</v>
      </c>
      <c r="G609">
        <v>27</v>
      </c>
      <c r="H609" s="3">
        <v>253.73</v>
      </c>
      <c r="I609" s="3">
        <v>184.02</v>
      </c>
      <c r="J609" s="3">
        <f t="shared" si="27"/>
        <v>6850.71</v>
      </c>
      <c r="K609" s="3">
        <f t="shared" si="28"/>
        <v>4968.54</v>
      </c>
      <c r="L609" s="3">
        <f t="shared" si="29"/>
        <v>1882.17</v>
      </c>
    </row>
    <row r="610" spans="1:12" x14ac:dyDescent="0.3">
      <c r="A610">
        <v>2393</v>
      </c>
      <c r="B610" s="2">
        <v>45556</v>
      </c>
      <c r="C610" t="s">
        <v>12</v>
      </c>
      <c r="D610" t="s">
        <v>29</v>
      </c>
      <c r="E610" t="s">
        <v>43</v>
      </c>
      <c r="F610" t="s">
        <v>36</v>
      </c>
      <c r="G610">
        <v>11</v>
      </c>
      <c r="H610" s="3">
        <v>148.84</v>
      </c>
      <c r="I610" s="3">
        <v>109.09</v>
      </c>
      <c r="J610" s="3">
        <f t="shared" si="27"/>
        <v>1637.24</v>
      </c>
      <c r="K610" s="3">
        <f t="shared" si="28"/>
        <v>1199.99</v>
      </c>
      <c r="L610" s="3">
        <f t="shared" si="29"/>
        <v>437.25</v>
      </c>
    </row>
    <row r="611" spans="1:12" x14ac:dyDescent="0.3">
      <c r="A611">
        <v>2665</v>
      </c>
      <c r="B611" s="2">
        <v>45556</v>
      </c>
      <c r="C611" t="s">
        <v>32</v>
      </c>
      <c r="D611" t="s">
        <v>17</v>
      </c>
      <c r="E611" t="s">
        <v>44</v>
      </c>
      <c r="F611" t="s">
        <v>33</v>
      </c>
      <c r="G611">
        <v>36</v>
      </c>
      <c r="H611" s="3">
        <v>617.75</v>
      </c>
      <c r="I611" s="3">
        <v>446.7</v>
      </c>
      <c r="J611" s="3">
        <f t="shared" si="27"/>
        <v>22239</v>
      </c>
      <c r="K611" s="3">
        <f t="shared" si="28"/>
        <v>16081.199999999999</v>
      </c>
      <c r="L611" s="3">
        <f t="shared" si="29"/>
        <v>6157.8000000000011</v>
      </c>
    </row>
    <row r="612" spans="1:12" x14ac:dyDescent="0.3">
      <c r="A612">
        <v>1901</v>
      </c>
      <c r="B612" s="2">
        <v>45557</v>
      </c>
      <c r="C612" t="s">
        <v>12</v>
      </c>
      <c r="D612" t="s">
        <v>17</v>
      </c>
      <c r="E612" t="s">
        <v>27</v>
      </c>
      <c r="F612" t="s">
        <v>36</v>
      </c>
      <c r="G612">
        <v>22</v>
      </c>
      <c r="H612" s="3">
        <v>869.23</v>
      </c>
      <c r="I612" s="3">
        <v>539.28</v>
      </c>
      <c r="J612" s="3">
        <f t="shared" si="27"/>
        <v>19123.060000000001</v>
      </c>
      <c r="K612" s="3">
        <f t="shared" si="28"/>
        <v>11864.16</v>
      </c>
      <c r="L612" s="3">
        <f t="shared" si="29"/>
        <v>7258.9000000000015</v>
      </c>
    </row>
    <row r="613" spans="1:12" x14ac:dyDescent="0.3">
      <c r="A613">
        <v>2251</v>
      </c>
      <c r="B613" s="2">
        <v>45559</v>
      </c>
      <c r="C613" t="s">
        <v>16</v>
      </c>
      <c r="D613" t="s">
        <v>13</v>
      </c>
      <c r="E613" t="s">
        <v>14</v>
      </c>
      <c r="F613" t="s">
        <v>15</v>
      </c>
      <c r="G613">
        <v>18</v>
      </c>
      <c r="H613" s="3">
        <v>28.64</v>
      </c>
      <c r="I613" s="3">
        <v>20.86</v>
      </c>
      <c r="J613" s="3">
        <f t="shared" si="27"/>
        <v>515.52</v>
      </c>
      <c r="K613" s="3">
        <f t="shared" si="28"/>
        <v>375.48</v>
      </c>
      <c r="L613" s="3">
        <f t="shared" si="29"/>
        <v>140.03999999999996</v>
      </c>
    </row>
    <row r="614" spans="1:12" x14ac:dyDescent="0.3">
      <c r="A614">
        <v>1463</v>
      </c>
      <c r="B614" s="2">
        <v>45560</v>
      </c>
      <c r="C614" t="s">
        <v>26</v>
      </c>
      <c r="D614" t="s">
        <v>20</v>
      </c>
      <c r="E614" t="s">
        <v>21</v>
      </c>
      <c r="F614" t="s">
        <v>19</v>
      </c>
      <c r="G614">
        <v>9</v>
      </c>
      <c r="H614" s="3">
        <v>179.97</v>
      </c>
      <c r="I614" s="3">
        <v>115.23</v>
      </c>
      <c r="J614" s="3">
        <f t="shared" si="27"/>
        <v>1619.73</v>
      </c>
      <c r="K614" s="3">
        <f t="shared" si="28"/>
        <v>1037.07</v>
      </c>
      <c r="L614" s="3">
        <f t="shared" si="29"/>
        <v>582.66000000000008</v>
      </c>
    </row>
    <row r="615" spans="1:12" x14ac:dyDescent="0.3">
      <c r="A615">
        <v>1591</v>
      </c>
      <c r="B615" s="2">
        <v>45560</v>
      </c>
      <c r="C615" t="s">
        <v>32</v>
      </c>
      <c r="D615" t="s">
        <v>20</v>
      </c>
      <c r="E615" t="s">
        <v>42</v>
      </c>
      <c r="F615" t="s">
        <v>15</v>
      </c>
      <c r="G615">
        <v>27</v>
      </c>
      <c r="H615" s="3">
        <v>27.96</v>
      </c>
      <c r="I615" s="3">
        <v>19.329999999999998</v>
      </c>
      <c r="J615" s="3">
        <f t="shared" si="27"/>
        <v>754.92000000000007</v>
      </c>
      <c r="K615" s="3">
        <f t="shared" si="28"/>
        <v>521.91</v>
      </c>
      <c r="L615" s="3">
        <f t="shared" si="29"/>
        <v>233.0100000000001</v>
      </c>
    </row>
    <row r="616" spans="1:12" x14ac:dyDescent="0.3">
      <c r="A616">
        <v>2601</v>
      </c>
      <c r="B616" s="2">
        <v>45560</v>
      </c>
      <c r="C616" t="s">
        <v>26</v>
      </c>
      <c r="D616" t="s">
        <v>17</v>
      </c>
      <c r="E616" t="s">
        <v>18</v>
      </c>
      <c r="F616" t="s">
        <v>33</v>
      </c>
      <c r="G616">
        <v>3</v>
      </c>
      <c r="H616" s="3">
        <v>793.36</v>
      </c>
      <c r="I616" s="3">
        <v>479.27</v>
      </c>
      <c r="J616" s="3">
        <f t="shared" si="27"/>
        <v>2380.08</v>
      </c>
      <c r="K616" s="3">
        <f t="shared" si="28"/>
        <v>1437.81</v>
      </c>
      <c r="L616" s="3">
        <f t="shared" si="29"/>
        <v>942.27</v>
      </c>
    </row>
    <row r="617" spans="1:12" x14ac:dyDescent="0.3">
      <c r="A617">
        <v>1403</v>
      </c>
      <c r="B617" s="2">
        <v>45561</v>
      </c>
      <c r="C617" t="s">
        <v>12</v>
      </c>
      <c r="D617" t="s">
        <v>29</v>
      </c>
      <c r="E617" t="s">
        <v>30</v>
      </c>
      <c r="F617" t="s">
        <v>22</v>
      </c>
      <c r="G617">
        <v>25</v>
      </c>
      <c r="H617" s="3">
        <v>355.59</v>
      </c>
      <c r="I617" s="3">
        <v>263.45</v>
      </c>
      <c r="J617" s="3">
        <f t="shared" si="27"/>
        <v>8889.75</v>
      </c>
      <c r="K617" s="3">
        <f t="shared" si="28"/>
        <v>6586.25</v>
      </c>
      <c r="L617" s="3">
        <f t="shared" si="29"/>
        <v>2303.5</v>
      </c>
    </row>
    <row r="618" spans="1:12" x14ac:dyDescent="0.3">
      <c r="A618">
        <v>1904</v>
      </c>
      <c r="B618" s="2">
        <v>45561</v>
      </c>
      <c r="C618" t="s">
        <v>16</v>
      </c>
      <c r="D618" t="s">
        <v>17</v>
      </c>
      <c r="E618" t="s">
        <v>18</v>
      </c>
      <c r="F618" t="s">
        <v>19</v>
      </c>
      <c r="G618">
        <v>29</v>
      </c>
      <c r="H618" s="3">
        <v>596.69000000000005</v>
      </c>
      <c r="I618" s="3">
        <v>326.33999999999997</v>
      </c>
      <c r="J618" s="3">
        <f t="shared" si="27"/>
        <v>17304.010000000002</v>
      </c>
      <c r="K618" s="3">
        <f t="shared" si="28"/>
        <v>9463.8599999999988</v>
      </c>
      <c r="L618" s="3">
        <f t="shared" si="29"/>
        <v>7840.1500000000033</v>
      </c>
    </row>
    <row r="619" spans="1:12" x14ac:dyDescent="0.3">
      <c r="A619">
        <v>1986</v>
      </c>
      <c r="B619" s="2">
        <v>45561</v>
      </c>
      <c r="C619" t="s">
        <v>26</v>
      </c>
      <c r="D619" t="s">
        <v>17</v>
      </c>
      <c r="E619" t="s">
        <v>40</v>
      </c>
      <c r="F619" t="s">
        <v>36</v>
      </c>
      <c r="G619">
        <v>17</v>
      </c>
      <c r="H619" s="3">
        <v>228.43</v>
      </c>
      <c r="I619" s="3">
        <v>160.86000000000001</v>
      </c>
      <c r="J619" s="3">
        <f t="shared" si="27"/>
        <v>3883.31</v>
      </c>
      <c r="K619" s="3">
        <f t="shared" si="28"/>
        <v>2734.6200000000003</v>
      </c>
      <c r="L619" s="3">
        <f t="shared" si="29"/>
        <v>1148.6899999999996</v>
      </c>
    </row>
    <row r="620" spans="1:12" x14ac:dyDescent="0.3">
      <c r="A620">
        <v>1911</v>
      </c>
      <c r="B620" s="2">
        <v>45562</v>
      </c>
      <c r="C620" t="s">
        <v>32</v>
      </c>
      <c r="D620" t="s">
        <v>20</v>
      </c>
      <c r="E620" t="s">
        <v>34</v>
      </c>
      <c r="F620" t="s">
        <v>22</v>
      </c>
      <c r="G620">
        <v>27</v>
      </c>
      <c r="H620" s="3">
        <v>255.42</v>
      </c>
      <c r="I620" s="3">
        <v>160.85</v>
      </c>
      <c r="J620" s="3">
        <f t="shared" si="27"/>
        <v>6896.3399999999992</v>
      </c>
      <c r="K620" s="3">
        <f t="shared" si="28"/>
        <v>4342.95</v>
      </c>
      <c r="L620" s="3">
        <f t="shared" si="29"/>
        <v>2553.3899999999994</v>
      </c>
    </row>
    <row r="621" spans="1:12" x14ac:dyDescent="0.3">
      <c r="A621">
        <v>2132</v>
      </c>
      <c r="B621" s="2">
        <v>45562</v>
      </c>
      <c r="C621" t="s">
        <v>16</v>
      </c>
      <c r="D621" t="s">
        <v>13</v>
      </c>
      <c r="E621" t="s">
        <v>31</v>
      </c>
      <c r="F621" t="s">
        <v>15</v>
      </c>
      <c r="G621">
        <v>36</v>
      </c>
      <c r="H621" s="3">
        <v>38.68</v>
      </c>
      <c r="I621" s="3">
        <v>21.1</v>
      </c>
      <c r="J621" s="3">
        <f t="shared" si="27"/>
        <v>1392.48</v>
      </c>
      <c r="K621" s="3">
        <f t="shared" si="28"/>
        <v>759.6</v>
      </c>
      <c r="L621" s="3">
        <f t="shared" si="29"/>
        <v>632.88</v>
      </c>
    </row>
    <row r="622" spans="1:12" x14ac:dyDescent="0.3">
      <c r="A622">
        <v>1162</v>
      </c>
      <c r="B622" s="2">
        <v>45563</v>
      </c>
      <c r="C622" t="s">
        <v>12</v>
      </c>
      <c r="D622" t="s">
        <v>20</v>
      </c>
      <c r="E622" t="s">
        <v>42</v>
      </c>
      <c r="F622" t="s">
        <v>28</v>
      </c>
      <c r="G622">
        <v>35</v>
      </c>
      <c r="H622" s="3">
        <v>245.31</v>
      </c>
      <c r="I622" s="3">
        <v>164.66</v>
      </c>
      <c r="J622" s="3">
        <f t="shared" si="27"/>
        <v>8585.85</v>
      </c>
      <c r="K622" s="3">
        <f t="shared" si="28"/>
        <v>5763.0999999999995</v>
      </c>
      <c r="L622" s="3">
        <f t="shared" si="29"/>
        <v>2822.7500000000009</v>
      </c>
    </row>
    <row r="623" spans="1:12" x14ac:dyDescent="0.3">
      <c r="A623">
        <v>1744</v>
      </c>
      <c r="B623" s="2">
        <v>45563</v>
      </c>
      <c r="C623" t="s">
        <v>26</v>
      </c>
      <c r="D623" t="s">
        <v>29</v>
      </c>
      <c r="E623" t="s">
        <v>30</v>
      </c>
      <c r="F623" t="s">
        <v>15</v>
      </c>
      <c r="G623">
        <v>33</v>
      </c>
      <c r="H623" s="3">
        <v>410.07</v>
      </c>
      <c r="I623" s="3">
        <v>215.12</v>
      </c>
      <c r="J623" s="3">
        <f t="shared" si="27"/>
        <v>13532.31</v>
      </c>
      <c r="K623" s="3">
        <f t="shared" si="28"/>
        <v>7098.96</v>
      </c>
      <c r="L623" s="3">
        <f t="shared" si="29"/>
        <v>6433.3499999999995</v>
      </c>
    </row>
    <row r="624" spans="1:12" x14ac:dyDescent="0.3">
      <c r="A624">
        <v>1943</v>
      </c>
      <c r="B624" s="2">
        <v>45563</v>
      </c>
      <c r="C624" t="s">
        <v>26</v>
      </c>
      <c r="D624" t="s">
        <v>17</v>
      </c>
      <c r="E624" t="s">
        <v>40</v>
      </c>
      <c r="F624" t="s">
        <v>36</v>
      </c>
      <c r="G624">
        <v>14</v>
      </c>
      <c r="H624" s="3">
        <v>186.52</v>
      </c>
      <c r="I624" s="3">
        <v>105.97</v>
      </c>
      <c r="J624" s="3">
        <f t="shared" si="27"/>
        <v>2611.2800000000002</v>
      </c>
      <c r="K624" s="3">
        <f t="shared" si="28"/>
        <v>1483.58</v>
      </c>
      <c r="L624" s="3">
        <f t="shared" si="29"/>
        <v>1127.7000000000003</v>
      </c>
    </row>
    <row r="625" spans="1:12" x14ac:dyDescent="0.3">
      <c r="A625">
        <v>1438</v>
      </c>
      <c r="B625" s="2">
        <v>45564</v>
      </c>
      <c r="C625" t="s">
        <v>23</v>
      </c>
      <c r="D625" t="s">
        <v>17</v>
      </c>
      <c r="E625" t="s">
        <v>35</v>
      </c>
      <c r="F625" t="s">
        <v>28</v>
      </c>
      <c r="G625">
        <v>12</v>
      </c>
      <c r="H625" s="3">
        <v>221.44</v>
      </c>
      <c r="I625" s="3">
        <v>117.47</v>
      </c>
      <c r="J625" s="3">
        <f t="shared" si="27"/>
        <v>2657.2799999999997</v>
      </c>
      <c r="K625" s="3">
        <f t="shared" si="28"/>
        <v>1409.6399999999999</v>
      </c>
      <c r="L625" s="3">
        <f t="shared" si="29"/>
        <v>1247.6399999999999</v>
      </c>
    </row>
    <row r="626" spans="1:12" x14ac:dyDescent="0.3">
      <c r="A626">
        <v>1644</v>
      </c>
      <c r="B626" s="2">
        <v>45564</v>
      </c>
      <c r="C626" t="s">
        <v>32</v>
      </c>
      <c r="D626" t="s">
        <v>20</v>
      </c>
      <c r="E626" t="s">
        <v>21</v>
      </c>
      <c r="F626" t="s">
        <v>19</v>
      </c>
      <c r="G626">
        <v>28</v>
      </c>
      <c r="H626" s="3">
        <v>99.23</v>
      </c>
      <c r="I626" s="3">
        <v>66.41</v>
      </c>
      <c r="J626" s="3">
        <f t="shared" si="27"/>
        <v>2778.44</v>
      </c>
      <c r="K626" s="3">
        <f t="shared" si="28"/>
        <v>1859.48</v>
      </c>
      <c r="L626" s="3">
        <f t="shared" si="29"/>
        <v>918.96</v>
      </c>
    </row>
    <row r="627" spans="1:12" x14ac:dyDescent="0.3">
      <c r="A627">
        <v>1841</v>
      </c>
      <c r="B627" s="2">
        <v>45564</v>
      </c>
      <c r="C627" t="s">
        <v>26</v>
      </c>
      <c r="D627" t="s">
        <v>20</v>
      </c>
      <c r="E627" t="s">
        <v>21</v>
      </c>
      <c r="F627" t="s">
        <v>28</v>
      </c>
      <c r="G627">
        <v>9</v>
      </c>
      <c r="H627" s="3">
        <v>160.52000000000001</v>
      </c>
      <c r="I627" s="3">
        <v>117.32</v>
      </c>
      <c r="J627" s="3">
        <f t="shared" si="27"/>
        <v>1444.68</v>
      </c>
      <c r="K627" s="3">
        <f t="shared" si="28"/>
        <v>1055.8799999999999</v>
      </c>
      <c r="L627" s="3">
        <f t="shared" si="29"/>
        <v>388.80000000000018</v>
      </c>
    </row>
    <row r="628" spans="1:12" x14ac:dyDescent="0.3">
      <c r="A628">
        <v>1078</v>
      </c>
      <c r="B628" s="2">
        <v>45565</v>
      </c>
      <c r="C628" t="s">
        <v>16</v>
      </c>
      <c r="D628" t="s">
        <v>13</v>
      </c>
      <c r="E628" t="s">
        <v>31</v>
      </c>
      <c r="F628" t="s">
        <v>28</v>
      </c>
      <c r="G628">
        <v>32</v>
      </c>
      <c r="H628" s="3">
        <v>58.47</v>
      </c>
      <c r="I628" s="3">
        <v>31.55</v>
      </c>
      <c r="J628" s="3">
        <f t="shared" si="27"/>
        <v>1871.04</v>
      </c>
      <c r="K628" s="3">
        <f t="shared" si="28"/>
        <v>1009.6</v>
      </c>
      <c r="L628" s="3">
        <f t="shared" si="29"/>
        <v>861.43999999999994</v>
      </c>
    </row>
    <row r="629" spans="1:12" x14ac:dyDescent="0.3">
      <c r="A629">
        <v>1478</v>
      </c>
      <c r="B629" s="2">
        <v>45565</v>
      </c>
      <c r="C629" t="s">
        <v>16</v>
      </c>
      <c r="D629" t="s">
        <v>13</v>
      </c>
      <c r="E629" t="s">
        <v>46</v>
      </c>
      <c r="F629" t="s">
        <v>39</v>
      </c>
      <c r="G629">
        <v>15</v>
      </c>
      <c r="H629" s="3">
        <v>23.48</v>
      </c>
      <c r="I629" s="3">
        <v>14.69</v>
      </c>
      <c r="J629" s="3">
        <f t="shared" si="27"/>
        <v>352.2</v>
      </c>
      <c r="K629" s="3">
        <f t="shared" si="28"/>
        <v>220.35</v>
      </c>
      <c r="L629" s="3">
        <f t="shared" si="29"/>
        <v>131.85</v>
      </c>
    </row>
    <row r="630" spans="1:12" x14ac:dyDescent="0.3">
      <c r="A630">
        <v>2298</v>
      </c>
      <c r="B630" s="2">
        <v>45565</v>
      </c>
      <c r="C630" t="s">
        <v>26</v>
      </c>
      <c r="D630" t="s">
        <v>29</v>
      </c>
      <c r="E630" t="s">
        <v>37</v>
      </c>
      <c r="F630" t="s">
        <v>39</v>
      </c>
      <c r="G630">
        <v>29</v>
      </c>
      <c r="H630" s="3">
        <v>98.53</v>
      </c>
      <c r="I630" s="3">
        <v>70.38</v>
      </c>
      <c r="J630" s="3">
        <f t="shared" si="27"/>
        <v>2857.37</v>
      </c>
      <c r="K630" s="3">
        <f t="shared" si="28"/>
        <v>2041.02</v>
      </c>
      <c r="L630" s="3">
        <f t="shared" si="29"/>
        <v>816.34999999999991</v>
      </c>
    </row>
    <row r="631" spans="1:12" x14ac:dyDescent="0.3">
      <c r="A631">
        <v>2674</v>
      </c>
      <c r="B631" s="2">
        <v>45566</v>
      </c>
      <c r="C631" t="s">
        <v>26</v>
      </c>
      <c r="D631" t="s">
        <v>13</v>
      </c>
      <c r="E631" t="s">
        <v>45</v>
      </c>
      <c r="F631" t="s">
        <v>25</v>
      </c>
      <c r="G631">
        <v>9</v>
      </c>
      <c r="H631" s="3">
        <v>54.36</v>
      </c>
      <c r="I631" s="3">
        <v>32.04</v>
      </c>
      <c r="J631" s="3">
        <f t="shared" si="27"/>
        <v>489.24</v>
      </c>
      <c r="K631" s="3">
        <f t="shared" si="28"/>
        <v>288.36</v>
      </c>
      <c r="L631" s="3">
        <f t="shared" si="29"/>
        <v>200.88</v>
      </c>
    </row>
    <row r="632" spans="1:12" x14ac:dyDescent="0.3">
      <c r="A632">
        <v>1707</v>
      </c>
      <c r="B632" s="2">
        <v>45567</v>
      </c>
      <c r="C632" t="s">
        <v>16</v>
      </c>
      <c r="D632" t="s">
        <v>17</v>
      </c>
      <c r="E632" t="s">
        <v>44</v>
      </c>
      <c r="F632" t="s">
        <v>19</v>
      </c>
      <c r="G632">
        <v>20</v>
      </c>
      <c r="H632" s="3">
        <v>537.33000000000004</v>
      </c>
      <c r="I632" s="3">
        <v>373.83</v>
      </c>
      <c r="J632" s="3">
        <f t="shared" si="27"/>
        <v>10746.6</v>
      </c>
      <c r="K632" s="3">
        <f t="shared" si="28"/>
        <v>7476.5999999999995</v>
      </c>
      <c r="L632" s="3">
        <f t="shared" si="29"/>
        <v>3270.0000000000009</v>
      </c>
    </row>
    <row r="633" spans="1:12" x14ac:dyDescent="0.3">
      <c r="A633">
        <v>2351</v>
      </c>
      <c r="B633" s="2">
        <v>45567</v>
      </c>
      <c r="C633" t="s">
        <v>12</v>
      </c>
      <c r="D633" t="s">
        <v>17</v>
      </c>
      <c r="E633" t="s">
        <v>18</v>
      </c>
      <c r="F633" t="s">
        <v>33</v>
      </c>
      <c r="G633">
        <v>12</v>
      </c>
      <c r="H633" s="3">
        <v>188.28</v>
      </c>
      <c r="I633" s="3">
        <v>134.4</v>
      </c>
      <c r="J633" s="3">
        <f t="shared" si="27"/>
        <v>2259.36</v>
      </c>
      <c r="K633" s="3">
        <f t="shared" si="28"/>
        <v>1612.8000000000002</v>
      </c>
      <c r="L633" s="3">
        <f t="shared" si="29"/>
        <v>646.55999999999995</v>
      </c>
    </row>
    <row r="634" spans="1:12" x14ac:dyDescent="0.3">
      <c r="A634">
        <v>2522</v>
      </c>
      <c r="B634" s="2">
        <v>45567</v>
      </c>
      <c r="C634" t="s">
        <v>26</v>
      </c>
      <c r="D634" t="s">
        <v>17</v>
      </c>
      <c r="E634" t="s">
        <v>40</v>
      </c>
      <c r="F634" t="s">
        <v>39</v>
      </c>
      <c r="G634">
        <v>26</v>
      </c>
      <c r="H634" s="3">
        <v>318.37</v>
      </c>
      <c r="I634" s="3">
        <v>185.27</v>
      </c>
      <c r="J634" s="3">
        <f t="shared" si="27"/>
        <v>8277.6200000000008</v>
      </c>
      <c r="K634" s="3">
        <f t="shared" si="28"/>
        <v>4817.0200000000004</v>
      </c>
      <c r="L634" s="3">
        <f t="shared" si="29"/>
        <v>3460.6000000000004</v>
      </c>
    </row>
    <row r="635" spans="1:12" x14ac:dyDescent="0.3">
      <c r="A635">
        <v>1480</v>
      </c>
      <c r="B635" s="2">
        <v>45568</v>
      </c>
      <c r="C635" t="s">
        <v>23</v>
      </c>
      <c r="D635" t="s">
        <v>13</v>
      </c>
      <c r="E635" t="s">
        <v>24</v>
      </c>
      <c r="F635" t="s">
        <v>39</v>
      </c>
      <c r="G635">
        <v>5</v>
      </c>
      <c r="H635" s="3">
        <v>57.42</v>
      </c>
      <c r="I635" s="3">
        <v>38.58</v>
      </c>
      <c r="J635" s="3">
        <f t="shared" si="27"/>
        <v>287.10000000000002</v>
      </c>
      <c r="K635" s="3">
        <f t="shared" si="28"/>
        <v>192.89999999999998</v>
      </c>
      <c r="L635" s="3">
        <f t="shared" si="29"/>
        <v>94.200000000000045</v>
      </c>
    </row>
    <row r="636" spans="1:12" x14ac:dyDescent="0.3">
      <c r="A636">
        <v>1936</v>
      </c>
      <c r="B636" s="2">
        <v>45568</v>
      </c>
      <c r="C636" t="s">
        <v>12</v>
      </c>
      <c r="D636" t="s">
        <v>13</v>
      </c>
      <c r="E636" t="s">
        <v>46</v>
      </c>
      <c r="F636" t="s">
        <v>28</v>
      </c>
      <c r="G636">
        <v>8</v>
      </c>
      <c r="H636" s="3">
        <v>52.13</v>
      </c>
      <c r="I636" s="3">
        <v>38.65</v>
      </c>
      <c r="J636" s="3">
        <f t="shared" si="27"/>
        <v>417.04</v>
      </c>
      <c r="K636" s="3">
        <f t="shared" si="28"/>
        <v>309.2</v>
      </c>
      <c r="L636" s="3">
        <f t="shared" si="29"/>
        <v>107.84000000000003</v>
      </c>
    </row>
    <row r="637" spans="1:12" x14ac:dyDescent="0.3">
      <c r="A637">
        <v>2296</v>
      </c>
      <c r="B637" s="2">
        <v>45568</v>
      </c>
      <c r="C637" t="s">
        <v>26</v>
      </c>
      <c r="D637" t="s">
        <v>20</v>
      </c>
      <c r="E637" t="s">
        <v>42</v>
      </c>
      <c r="F637" t="s">
        <v>19</v>
      </c>
      <c r="G637">
        <v>14</v>
      </c>
      <c r="H637" s="3">
        <v>159.28</v>
      </c>
      <c r="I637" s="3">
        <v>112.71</v>
      </c>
      <c r="J637" s="3">
        <f t="shared" si="27"/>
        <v>2229.92</v>
      </c>
      <c r="K637" s="3">
        <f t="shared" si="28"/>
        <v>1577.9399999999998</v>
      </c>
      <c r="L637" s="3">
        <f t="shared" si="29"/>
        <v>651.98000000000025</v>
      </c>
    </row>
    <row r="638" spans="1:12" x14ac:dyDescent="0.3">
      <c r="A638">
        <v>2395</v>
      </c>
      <c r="B638" s="2">
        <v>45568</v>
      </c>
      <c r="C638" t="s">
        <v>12</v>
      </c>
      <c r="D638" t="s">
        <v>17</v>
      </c>
      <c r="E638" t="s">
        <v>18</v>
      </c>
      <c r="F638" t="s">
        <v>33</v>
      </c>
      <c r="G638">
        <v>8</v>
      </c>
      <c r="H638" s="3">
        <v>480.39</v>
      </c>
      <c r="I638" s="3">
        <v>297.99</v>
      </c>
      <c r="J638" s="3">
        <f t="shared" si="27"/>
        <v>3843.12</v>
      </c>
      <c r="K638" s="3">
        <f t="shared" si="28"/>
        <v>2383.92</v>
      </c>
      <c r="L638" s="3">
        <f t="shared" si="29"/>
        <v>1459.1999999999998</v>
      </c>
    </row>
    <row r="639" spans="1:12" x14ac:dyDescent="0.3">
      <c r="A639">
        <v>1029</v>
      </c>
      <c r="B639" s="2">
        <v>45570</v>
      </c>
      <c r="C639" t="s">
        <v>32</v>
      </c>
      <c r="D639" t="s">
        <v>13</v>
      </c>
      <c r="E639" t="s">
        <v>31</v>
      </c>
      <c r="F639" t="s">
        <v>39</v>
      </c>
      <c r="G639">
        <v>17</v>
      </c>
      <c r="H639" s="3">
        <v>17.309999999999999</v>
      </c>
      <c r="I639" s="3">
        <v>11.4</v>
      </c>
      <c r="J639" s="3">
        <f t="shared" si="27"/>
        <v>294.27</v>
      </c>
      <c r="K639" s="3">
        <f t="shared" si="28"/>
        <v>193.8</v>
      </c>
      <c r="L639" s="3">
        <f t="shared" si="29"/>
        <v>100.46999999999997</v>
      </c>
    </row>
    <row r="640" spans="1:12" x14ac:dyDescent="0.3">
      <c r="A640">
        <v>2352</v>
      </c>
      <c r="B640" s="2">
        <v>45570</v>
      </c>
      <c r="C640" t="s">
        <v>16</v>
      </c>
      <c r="D640" t="s">
        <v>17</v>
      </c>
      <c r="E640" t="s">
        <v>35</v>
      </c>
      <c r="F640" t="s">
        <v>22</v>
      </c>
      <c r="G640">
        <v>26</v>
      </c>
      <c r="H640" s="3">
        <v>173.36</v>
      </c>
      <c r="I640" s="3">
        <v>124.03</v>
      </c>
      <c r="J640" s="3">
        <f t="shared" si="27"/>
        <v>4507.3600000000006</v>
      </c>
      <c r="K640" s="3">
        <f t="shared" si="28"/>
        <v>3224.78</v>
      </c>
      <c r="L640" s="3">
        <f t="shared" si="29"/>
        <v>1282.5800000000004</v>
      </c>
    </row>
    <row r="641" spans="1:12" x14ac:dyDescent="0.3">
      <c r="A641">
        <v>2100</v>
      </c>
      <c r="B641" s="2">
        <v>45571</v>
      </c>
      <c r="C641" t="s">
        <v>26</v>
      </c>
      <c r="D641" t="s">
        <v>20</v>
      </c>
      <c r="E641" t="s">
        <v>34</v>
      </c>
      <c r="F641" t="s">
        <v>22</v>
      </c>
      <c r="G641">
        <v>27</v>
      </c>
      <c r="H641" s="3">
        <v>241.27</v>
      </c>
      <c r="I641" s="3">
        <v>158.93</v>
      </c>
      <c r="J641" s="3">
        <f t="shared" si="27"/>
        <v>6514.29</v>
      </c>
      <c r="K641" s="3">
        <f t="shared" si="28"/>
        <v>4291.1100000000006</v>
      </c>
      <c r="L641" s="3">
        <f t="shared" si="29"/>
        <v>2223.1799999999994</v>
      </c>
    </row>
    <row r="642" spans="1:12" x14ac:dyDescent="0.3">
      <c r="A642">
        <v>1718</v>
      </c>
      <c r="B642" s="2">
        <v>45572</v>
      </c>
      <c r="C642" t="s">
        <v>12</v>
      </c>
      <c r="D642" t="s">
        <v>17</v>
      </c>
      <c r="E642" t="s">
        <v>35</v>
      </c>
      <c r="F642" t="s">
        <v>15</v>
      </c>
      <c r="G642">
        <v>36</v>
      </c>
      <c r="H642" s="3">
        <v>801.81</v>
      </c>
      <c r="I642" s="3">
        <v>531.21</v>
      </c>
      <c r="J642" s="3">
        <f t="shared" ref="J642:J705" si="30">G642*H642</f>
        <v>28865.159999999996</v>
      </c>
      <c r="K642" s="3">
        <f t="shared" ref="K642:K705" si="31">G642*I642</f>
        <v>19123.560000000001</v>
      </c>
      <c r="L642" s="3">
        <f t="shared" ref="L642:L705" si="32">J642-K642</f>
        <v>9741.5999999999949</v>
      </c>
    </row>
    <row r="643" spans="1:12" x14ac:dyDescent="0.3">
      <c r="A643">
        <v>1922</v>
      </c>
      <c r="B643" s="2">
        <v>45572</v>
      </c>
      <c r="C643" t="s">
        <v>23</v>
      </c>
      <c r="D643" t="s">
        <v>13</v>
      </c>
      <c r="E643" t="s">
        <v>45</v>
      </c>
      <c r="F643" t="s">
        <v>33</v>
      </c>
      <c r="G643">
        <v>36</v>
      </c>
      <c r="H643" s="3">
        <v>29.62</v>
      </c>
      <c r="I643" s="3">
        <v>21.82</v>
      </c>
      <c r="J643" s="3">
        <f t="shared" si="30"/>
        <v>1066.32</v>
      </c>
      <c r="K643" s="3">
        <f t="shared" si="31"/>
        <v>785.52</v>
      </c>
      <c r="L643" s="3">
        <f t="shared" si="32"/>
        <v>280.79999999999995</v>
      </c>
    </row>
    <row r="644" spans="1:12" x14ac:dyDescent="0.3">
      <c r="A644">
        <v>2386</v>
      </c>
      <c r="B644" s="2">
        <v>45572</v>
      </c>
      <c r="C644" t="s">
        <v>16</v>
      </c>
      <c r="D644" t="s">
        <v>20</v>
      </c>
      <c r="E644" t="s">
        <v>34</v>
      </c>
      <c r="F644" t="s">
        <v>36</v>
      </c>
      <c r="G644">
        <v>3</v>
      </c>
      <c r="H644" s="3">
        <v>170.86</v>
      </c>
      <c r="I644" s="3">
        <v>117.71</v>
      </c>
      <c r="J644" s="3">
        <f t="shared" si="30"/>
        <v>512.58000000000004</v>
      </c>
      <c r="K644" s="3">
        <f t="shared" si="31"/>
        <v>353.13</v>
      </c>
      <c r="L644" s="3">
        <f t="shared" si="32"/>
        <v>159.45000000000005</v>
      </c>
    </row>
    <row r="645" spans="1:12" x14ac:dyDescent="0.3">
      <c r="A645">
        <v>2633</v>
      </c>
      <c r="B645" s="2">
        <v>45572</v>
      </c>
      <c r="C645" t="s">
        <v>23</v>
      </c>
      <c r="D645" t="s">
        <v>13</v>
      </c>
      <c r="E645" t="s">
        <v>31</v>
      </c>
      <c r="F645" t="s">
        <v>36</v>
      </c>
      <c r="G645">
        <v>15</v>
      </c>
      <c r="H645" s="3">
        <v>8.1</v>
      </c>
      <c r="I645" s="3">
        <v>5.56</v>
      </c>
      <c r="J645" s="3">
        <f t="shared" si="30"/>
        <v>121.5</v>
      </c>
      <c r="K645" s="3">
        <f t="shared" si="31"/>
        <v>83.399999999999991</v>
      </c>
      <c r="L645" s="3">
        <f t="shared" si="32"/>
        <v>38.100000000000009</v>
      </c>
    </row>
    <row r="646" spans="1:12" x14ac:dyDescent="0.3">
      <c r="A646">
        <v>1415</v>
      </c>
      <c r="B646" s="2">
        <v>45573</v>
      </c>
      <c r="C646" t="s">
        <v>23</v>
      </c>
      <c r="D646" t="s">
        <v>13</v>
      </c>
      <c r="E646" t="s">
        <v>46</v>
      </c>
      <c r="F646" t="s">
        <v>15</v>
      </c>
      <c r="G646">
        <v>26</v>
      </c>
      <c r="H646" s="3">
        <v>35.869999999999997</v>
      </c>
      <c r="I646" s="3">
        <v>22.22</v>
      </c>
      <c r="J646" s="3">
        <f t="shared" si="30"/>
        <v>932.61999999999989</v>
      </c>
      <c r="K646" s="3">
        <f t="shared" si="31"/>
        <v>577.72</v>
      </c>
      <c r="L646" s="3">
        <f t="shared" si="32"/>
        <v>354.89999999999986</v>
      </c>
    </row>
    <row r="647" spans="1:12" x14ac:dyDescent="0.3">
      <c r="A647">
        <v>1530</v>
      </c>
      <c r="B647" s="2">
        <v>45573</v>
      </c>
      <c r="C647" t="s">
        <v>32</v>
      </c>
      <c r="D647" t="s">
        <v>17</v>
      </c>
      <c r="E647" t="s">
        <v>27</v>
      </c>
      <c r="F647" t="s">
        <v>19</v>
      </c>
      <c r="G647">
        <v>38</v>
      </c>
      <c r="H647" s="3">
        <v>680.73</v>
      </c>
      <c r="I647" s="3">
        <v>473.54</v>
      </c>
      <c r="J647" s="3">
        <f t="shared" si="30"/>
        <v>25867.74</v>
      </c>
      <c r="K647" s="3">
        <f t="shared" si="31"/>
        <v>17994.52</v>
      </c>
      <c r="L647" s="3">
        <f t="shared" si="32"/>
        <v>7873.2200000000012</v>
      </c>
    </row>
    <row r="648" spans="1:12" x14ac:dyDescent="0.3">
      <c r="A648">
        <v>1746</v>
      </c>
      <c r="B648" s="2">
        <v>45573</v>
      </c>
      <c r="C648" t="s">
        <v>12</v>
      </c>
      <c r="D648" t="s">
        <v>13</v>
      </c>
      <c r="E648" t="s">
        <v>46</v>
      </c>
      <c r="F648" t="s">
        <v>15</v>
      </c>
      <c r="G648">
        <v>1</v>
      </c>
      <c r="H648" s="3">
        <v>19.07</v>
      </c>
      <c r="I648" s="3">
        <v>14.04</v>
      </c>
      <c r="J648" s="3">
        <f t="shared" si="30"/>
        <v>19.07</v>
      </c>
      <c r="K648" s="3">
        <f t="shared" si="31"/>
        <v>14.04</v>
      </c>
      <c r="L648" s="3">
        <f t="shared" si="32"/>
        <v>5.0300000000000011</v>
      </c>
    </row>
    <row r="649" spans="1:12" x14ac:dyDescent="0.3">
      <c r="A649">
        <v>2119</v>
      </c>
      <c r="B649" s="2">
        <v>45573</v>
      </c>
      <c r="C649" t="s">
        <v>16</v>
      </c>
      <c r="D649" t="s">
        <v>17</v>
      </c>
      <c r="E649" t="s">
        <v>44</v>
      </c>
      <c r="F649" t="s">
        <v>19</v>
      </c>
      <c r="G649">
        <v>34</v>
      </c>
      <c r="H649" s="3">
        <v>302.27999999999997</v>
      </c>
      <c r="I649" s="3">
        <v>173.15</v>
      </c>
      <c r="J649" s="3">
        <f t="shared" si="30"/>
        <v>10277.519999999999</v>
      </c>
      <c r="K649" s="3">
        <f t="shared" si="31"/>
        <v>5887.1</v>
      </c>
      <c r="L649" s="3">
        <f t="shared" si="32"/>
        <v>4390.4199999999983</v>
      </c>
    </row>
    <row r="650" spans="1:12" x14ac:dyDescent="0.3">
      <c r="A650">
        <v>2596</v>
      </c>
      <c r="B650" s="2">
        <v>45573</v>
      </c>
      <c r="C650" t="s">
        <v>16</v>
      </c>
      <c r="D650" t="s">
        <v>13</v>
      </c>
      <c r="E650" t="s">
        <v>45</v>
      </c>
      <c r="F650" t="s">
        <v>39</v>
      </c>
      <c r="G650">
        <v>18</v>
      </c>
      <c r="H650" s="3">
        <v>33.36</v>
      </c>
      <c r="I650" s="3">
        <v>24.02</v>
      </c>
      <c r="J650" s="3">
        <f t="shared" si="30"/>
        <v>600.48</v>
      </c>
      <c r="K650" s="3">
        <f t="shared" si="31"/>
        <v>432.36</v>
      </c>
      <c r="L650" s="3">
        <f t="shared" si="32"/>
        <v>168.12</v>
      </c>
    </row>
    <row r="651" spans="1:12" x14ac:dyDescent="0.3">
      <c r="A651">
        <v>1060</v>
      </c>
      <c r="B651" s="2">
        <v>45574</v>
      </c>
      <c r="C651" t="s">
        <v>16</v>
      </c>
      <c r="D651" t="s">
        <v>17</v>
      </c>
      <c r="E651" t="s">
        <v>35</v>
      </c>
      <c r="F651" t="s">
        <v>39</v>
      </c>
      <c r="G651">
        <v>6</v>
      </c>
      <c r="H651" s="3">
        <v>262.74</v>
      </c>
      <c r="I651" s="3">
        <v>162.63999999999999</v>
      </c>
      <c r="J651" s="3">
        <f t="shared" si="30"/>
        <v>1576.44</v>
      </c>
      <c r="K651" s="3">
        <f t="shared" si="31"/>
        <v>975.83999999999992</v>
      </c>
      <c r="L651" s="3">
        <f t="shared" si="32"/>
        <v>600.60000000000014</v>
      </c>
    </row>
    <row r="652" spans="1:12" x14ac:dyDescent="0.3">
      <c r="A652">
        <v>2572</v>
      </c>
      <c r="B652" s="2">
        <v>45574</v>
      </c>
      <c r="C652" t="s">
        <v>23</v>
      </c>
      <c r="D652" t="s">
        <v>29</v>
      </c>
      <c r="E652" t="s">
        <v>37</v>
      </c>
      <c r="F652" t="s">
        <v>36</v>
      </c>
      <c r="G652">
        <v>12</v>
      </c>
      <c r="H652" s="3">
        <v>87.32</v>
      </c>
      <c r="I652" s="3">
        <v>51.28</v>
      </c>
      <c r="J652" s="3">
        <f t="shared" si="30"/>
        <v>1047.8399999999999</v>
      </c>
      <c r="K652" s="3">
        <f t="shared" si="31"/>
        <v>615.36</v>
      </c>
      <c r="L652" s="3">
        <f t="shared" si="32"/>
        <v>432.4799999999999</v>
      </c>
    </row>
    <row r="653" spans="1:12" x14ac:dyDescent="0.3">
      <c r="A653">
        <v>1030</v>
      </c>
      <c r="B653" s="2">
        <v>45575</v>
      </c>
      <c r="C653" t="s">
        <v>26</v>
      </c>
      <c r="D653" t="s">
        <v>17</v>
      </c>
      <c r="E653" t="s">
        <v>40</v>
      </c>
      <c r="F653" t="s">
        <v>19</v>
      </c>
      <c r="G653">
        <v>17</v>
      </c>
      <c r="H653" s="3">
        <v>195.73</v>
      </c>
      <c r="I653" s="3">
        <v>103.34</v>
      </c>
      <c r="J653" s="3">
        <f t="shared" si="30"/>
        <v>3327.41</v>
      </c>
      <c r="K653" s="3">
        <f t="shared" si="31"/>
        <v>1756.78</v>
      </c>
      <c r="L653" s="3">
        <f t="shared" si="32"/>
        <v>1570.6299999999999</v>
      </c>
    </row>
    <row r="654" spans="1:12" x14ac:dyDescent="0.3">
      <c r="A654">
        <v>1322</v>
      </c>
      <c r="B654" s="2">
        <v>45575</v>
      </c>
      <c r="C654" t="s">
        <v>32</v>
      </c>
      <c r="D654" t="s">
        <v>29</v>
      </c>
      <c r="E654" t="s">
        <v>43</v>
      </c>
      <c r="F654" t="s">
        <v>15</v>
      </c>
      <c r="G654">
        <v>13</v>
      </c>
      <c r="H654" s="3">
        <v>457.87</v>
      </c>
      <c r="I654" s="3">
        <v>320.77999999999997</v>
      </c>
      <c r="J654" s="3">
        <f t="shared" si="30"/>
        <v>5952.31</v>
      </c>
      <c r="K654" s="3">
        <f t="shared" si="31"/>
        <v>4170.1399999999994</v>
      </c>
      <c r="L654" s="3">
        <f t="shared" si="32"/>
        <v>1782.170000000001</v>
      </c>
    </row>
    <row r="655" spans="1:12" x14ac:dyDescent="0.3">
      <c r="A655">
        <v>1720</v>
      </c>
      <c r="B655" s="2">
        <v>45576</v>
      </c>
      <c r="C655" t="s">
        <v>23</v>
      </c>
      <c r="D655" t="s">
        <v>20</v>
      </c>
      <c r="E655" t="s">
        <v>38</v>
      </c>
      <c r="F655" t="s">
        <v>22</v>
      </c>
      <c r="G655">
        <v>26</v>
      </c>
      <c r="H655" s="3">
        <v>27.1</v>
      </c>
      <c r="I655" s="3">
        <v>18.55</v>
      </c>
      <c r="J655" s="3">
        <f t="shared" si="30"/>
        <v>704.6</v>
      </c>
      <c r="K655" s="3">
        <f t="shared" si="31"/>
        <v>482.3</v>
      </c>
      <c r="L655" s="3">
        <f t="shared" si="32"/>
        <v>222.3</v>
      </c>
    </row>
    <row r="656" spans="1:12" x14ac:dyDescent="0.3">
      <c r="A656">
        <v>2124</v>
      </c>
      <c r="B656" s="2">
        <v>45576</v>
      </c>
      <c r="C656" t="s">
        <v>16</v>
      </c>
      <c r="D656" t="s">
        <v>17</v>
      </c>
      <c r="E656" t="s">
        <v>44</v>
      </c>
      <c r="F656" t="s">
        <v>33</v>
      </c>
      <c r="G656">
        <v>32</v>
      </c>
      <c r="H656" s="3">
        <v>445.83</v>
      </c>
      <c r="I656" s="3">
        <v>317.18</v>
      </c>
      <c r="J656" s="3">
        <f t="shared" si="30"/>
        <v>14266.56</v>
      </c>
      <c r="K656" s="3">
        <f t="shared" si="31"/>
        <v>10149.76</v>
      </c>
      <c r="L656" s="3">
        <f t="shared" si="32"/>
        <v>4116.7999999999993</v>
      </c>
    </row>
    <row r="657" spans="1:12" x14ac:dyDescent="0.3">
      <c r="A657">
        <v>1763</v>
      </c>
      <c r="B657" s="2">
        <v>45577</v>
      </c>
      <c r="C657" t="s">
        <v>12</v>
      </c>
      <c r="D657" t="s">
        <v>13</v>
      </c>
      <c r="E657" t="s">
        <v>45</v>
      </c>
      <c r="F657" t="s">
        <v>25</v>
      </c>
      <c r="G657">
        <v>12</v>
      </c>
      <c r="H657" s="3">
        <v>33.479999999999997</v>
      </c>
      <c r="I657" s="3">
        <v>23.13</v>
      </c>
      <c r="J657" s="3">
        <f t="shared" si="30"/>
        <v>401.76</v>
      </c>
      <c r="K657" s="3">
        <f t="shared" si="31"/>
        <v>277.56</v>
      </c>
      <c r="L657" s="3">
        <f t="shared" si="32"/>
        <v>124.19999999999999</v>
      </c>
    </row>
    <row r="658" spans="1:12" x14ac:dyDescent="0.3">
      <c r="A658">
        <v>1898</v>
      </c>
      <c r="B658" s="2">
        <v>45577</v>
      </c>
      <c r="C658" t="s">
        <v>23</v>
      </c>
      <c r="D658" t="s">
        <v>17</v>
      </c>
      <c r="E658" t="s">
        <v>35</v>
      </c>
      <c r="F658" t="s">
        <v>19</v>
      </c>
      <c r="G658">
        <v>31</v>
      </c>
      <c r="H658" s="3">
        <v>182.23</v>
      </c>
      <c r="I658" s="3">
        <v>126.39</v>
      </c>
      <c r="J658" s="3">
        <f t="shared" si="30"/>
        <v>5649.13</v>
      </c>
      <c r="K658" s="3">
        <f t="shared" si="31"/>
        <v>3918.09</v>
      </c>
      <c r="L658" s="3">
        <f t="shared" si="32"/>
        <v>1731.04</v>
      </c>
    </row>
    <row r="659" spans="1:12" x14ac:dyDescent="0.3">
      <c r="A659">
        <v>1860</v>
      </c>
      <c r="B659" s="2">
        <v>45578</v>
      </c>
      <c r="C659" t="s">
        <v>12</v>
      </c>
      <c r="D659" t="s">
        <v>29</v>
      </c>
      <c r="E659" t="s">
        <v>30</v>
      </c>
      <c r="F659" t="s">
        <v>25</v>
      </c>
      <c r="G659">
        <v>25</v>
      </c>
      <c r="H659" s="3">
        <v>343.02</v>
      </c>
      <c r="I659" s="3">
        <v>189.19</v>
      </c>
      <c r="J659" s="3">
        <f t="shared" si="30"/>
        <v>8575.5</v>
      </c>
      <c r="K659" s="3">
        <f t="shared" si="31"/>
        <v>4729.75</v>
      </c>
      <c r="L659" s="3">
        <f t="shared" si="32"/>
        <v>3845.75</v>
      </c>
    </row>
    <row r="660" spans="1:12" x14ac:dyDescent="0.3">
      <c r="A660">
        <v>2657</v>
      </c>
      <c r="B660" s="2">
        <v>45578</v>
      </c>
      <c r="C660" t="s">
        <v>26</v>
      </c>
      <c r="D660" t="s">
        <v>17</v>
      </c>
      <c r="E660" t="s">
        <v>27</v>
      </c>
      <c r="F660" t="s">
        <v>28</v>
      </c>
      <c r="G660">
        <v>34</v>
      </c>
      <c r="H660" s="3">
        <v>607.64</v>
      </c>
      <c r="I660" s="3">
        <v>343.59</v>
      </c>
      <c r="J660" s="3">
        <f t="shared" si="30"/>
        <v>20659.759999999998</v>
      </c>
      <c r="K660" s="3">
        <f t="shared" si="31"/>
        <v>11682.06</v>
      </c>
      <c r="L660" s="3">
        <f t="shared" si="32"/>
        <v>8977.6999999999989</v>
      </c>
    </row>
    <row r="661" spans="1:12" x14ac:dyDescent="0.3">
      <c r="A661">
        <v>1247</v>
      </c>
      <c r="B661" s="2">
        <v>45579</v>
      </c>
      <c r="C661" t="s">
        <v>16</v>
      </c>
      <c r="D661" t="s">
        <v>13</v>
      </c>
      <c r="E661" t="s">
        <v>31</v>
      </c>
      <c r="F661" t="s">
        <v>15</v>
      </c>
      <c r="G661">
        <v>19</v>
      </c>
      <c r="H661" s="3">
        <v>57.29</v>
      </c>
      <c r="I661" s="3">
        <v>40.32</v>
      </c>
      <c r="J661" s="3">
        <f t="shared" si="30"/>
        <v>1088.51</v>
      </c>
      <c r="K661" s="3">
        <f t="shared" si="31"/>
        <v>766.08</v>
      </c>
      <c r="L661" s="3">
        <f t="shared" si="32"/>
        <v>322.42999999999995</v>
      </c>
    </row>
    <row r="662" spans="1:12" x14ac:dyDescent="0.3">
      <c r="A662">
        <v>2002</v>
      </c>
      <c r="B662" s="2">
        <v>45579</v>
      </c>
      <c r="C662" t="s">
        <v>32</v>
      </c>
      <c r="D662" t="s">
        <v>17</v>
      </c>
      <c r="E662" t="s">
        <v>44</v>
      </c>
      <c r="F662" t="s">
        <v>15</v>
      </c>
      <c r="G662">
        <v>22</v>
      </c>
      <c r="H662" s="3">
        <v>539.71</v>
      </c>
      <c r="I662" s="3">
        <v>303.66000000000003</v>
      </c>
      <c r="J662" s="3">
        <f t="shared" si="30"/>
        <v>11873.62</v>
      </c>
      <c r="K662" s="3">
        <f t="shared" si="31"/>
        <v>6680.52</v>
      </c>
      <c r="L662" s="3">
        <f t="shared" si="32"/>
        <v>5193.1000000000004</v>
      </c>
    </row>
    <row r="663" spans="1:12" x14ac:dyDescent="0.3">
      <c r="A663">
        <v>2558</v>
      </c>
      <c r="B663" s="2">
        <v>45580</v>
      </c>
      <c r="C663" t="s">
        <v>12</v>
      </c>
      <c r="D663" t="s">
        <v>17</v>
      </c>
      <c r="E663" t="s">
        <v>27</v>
      </c>
      <c r="F663" t="s">
        <v>15</v>
      </c>
      <c r="G663">
        <v>2</v>
      </c>
      <c r="H663" s="3">
        <v>723.46</v>
      </c>
      <c r="I663" s="3">
        <v>422.71</v>
      </c>
      <c r="J663" s="3">
        <f t="shared" si="30"/>
        <v>1446.92</v>
      </c>
      <c r="K663" s="3">
        <f t="shared" si="31"/>
        <v>845.42</v>
      </c>
      <c r="L663" s="3">
        <f t="shared" si="32"/>
        <v>601.50000000000011</v>
      </c>
    </row>
    <row r="664" spans="1:12" x14ac:dyDescent="0.3">
      <c r="A664">
        <v>2030</v>
      </c>
      <c r="B664" s="2">
        <v>45581</v>
      </c>
      <c r="C664" t="s">
        <v>12</v>
      </c>
      <c r="D664" t="s">
        <v>13</v>
      </c>
      <c r="E664" t="s">
        <v>45</v>
      </c>
      <c r="F664" t="s">
        <v>39</v>
      </c>
      <c r="G664">
        <v>1</v>
      </c>
      <c r="H664" s="3">
        <v>30.97</v>
      </c>
      <c r="I664" s="3">
        <v>15.79</v>
      </c>
      <c r="J664" s="3">
        <f t="shared" si="30"/>
        <v>30.97</v>
      </c>
      <c r="K664" s="3">
        <f t="shared" si="31"/>
        <v>15.79</v>
      </c>
      <c r="L664" s="3">
        <f t="shared" si="32"/>
        <v>15.18</v>
      </c>
    </row>
    <row r="665" spans="1:12" x14ac:dyDescent="0.3">
      <c r="A665">
        <v>1654</v>
      </c>
      <c r="B665" s="2">
        <v>45582</v>
      </c>
      <c r="C665" t="s">
        <v>12</v>
      </c>
      <c r="D665" t="s">
        <v>13</v>
      </c>
      <c r="E665" t="s">
        <v>46</v>
      </c>
      <c r="F665" t="s">
        <v>15</v>
      </c>
      <c r="G665">
        <v>37</v>
      </c>
      <c r="H665" s="3">
        <v>36.380000000000003</v>
      </c>
      <c r="I665" s="3">
        <v>22.97</v>
      </c>
      <c r="J665" s="3">
        <f t="shared" si="30"/>
        <v>1346.0600000000002</v>
      </c>
      <c r="K665" s="3">
        <f t="shared" si="31"/>
        <v>849.89</v>
      </c>
      <c r="L665" s="3">
        <f t="shared" si="32"/>
        <v>496.17000000000019</v>
      </c>
    </row>
    <row r="666" spans="1:12" x14ac:dyDescent="0.3">
      <c r="A666">
        <v>1616</v>
      </c>
      <c r="B666" s="2">
        <v>45583</v>
      </c>
      <c r="C666" t="s">
        <v>32</v>
      </c>
      <c r="D666" t="s">
        <v>17</v>
      </c>
      <c r="E666" t="s">
        <v>27</v>
      </c>
      <c r="F666" t="s">
        <v>22</v>
      </c>
      <c r="G666">
        <v>9</v>
      </c>
      <c r="H666" s="3">
        <v>763.02</v>
      </c>
      <c r="I666" s="3">
        <v>551.54</v>
      </c>
      <c r="J666" s="3">
        <f t="shared" si="30"/>
        <v>6867.18</v>
      </c>
      <c r="K666" s="3">
        <f t="shared" si="31"/>
        <v>4963.8599999999997</v>
      </c>
      <c r="L666" s="3">
        <f t="shared" si="32"/>
        <v>1903.3200000000006</v>
      </c>
    </row>
    <row r="667" spans="1:12" x14ac:dyDescent="0.3">
      <c r="A667">
        <v>1840</v>
      </c>
      <c r="B667" s="2">
        <v>45583</v>
      </c>
      <c r="C667" t="s">
        <v>26</v>
      </c>
      <c r="D667" t="s">
        <v>13</v>
      </c>
      <c r="E667" t="s">
        <v>14</v>
      </c>
      <c r="F667" t="s">
        <v>36</v>
      </c>
      <c r="G667">
        <v>22</v>
      </c>
      <c r="H667" s="3">
        <v>12.14</v>
      </c>
      <c r="I667" s="3">
        <v>8.09</v>
      </c>
      <c r="J667" s="3">
        <f t="shared" si="30"/>
        <v>267.08000000000004</v>
      </c>
      <c r="K667" s="3">
        <f t="shared" si="31"/>
        <v>177.98</v>
      </c>
      <c r="L667" s="3">
        <f t="shared" si="32"/>
        <v>89.100000000000051</v>
      </c>
    </row>
    <row r="668" spans="1:12" x14ac:dyDescent="0.3">
      <c r="A668">
        <v>2567</v>
      </c>
      <c r="B668" s="2">
        <v>45583</v>
      </c>
      <c r="C668" t="s">
        <v>23</v>
      </c>
      <c r="D668" t="s">
        <v>13</v>
      </c>
      <c r="E668" t="s">
        <v>24</v>
      </c>
      <c r="F668" t="s">
        <v>15</v>
      </c>
      <c r="G668">
        <v>31</v>
      </c>
      <c r="H668" s="3">
        <v>10.8</v>
      </c>
      <c r="I668" s="3">
        <v>5.41</v>
      </c>
      <c r="J668" s="3">
        <f t="shared" si="30"/>
        <v>334.8</v>
      </c>
      <c r="K668" s="3">
        <f t="shared" si="31"/>
        <v>167.71</v>
      </c>
      <c r="L668" s="3">
        <f t="shared" si="32"/>
        <v>167.09</v>
      </c>
    </row>
    <row r="669" spans="1:12" x14ac:dyDescent="0.3">
      <c r="A669">
        <v>2776</v>
      </c>
      <c r="B669" s="2">
        <v>45584</v>
      </c>
      <c r="C669" t="s">
        <v>26</v>
      </c>
      <c r="D669" t="s">
        <v>20</v>
      </c>
      <c r="E669" t="s">
        <v>38</v>
      </c>
      <c r="F669" t="s">
        <v>39</v>
      </c>
      <c r="G669">
        <v>3</v>
      </c>
      <c r="H669" s="3">
        <v>83.95</v>
      </c>
      <c r="I669" s="3">
        <v>58.64</v>
      </c>
      <c r="J669" s="3">
        <f t="shared" si="30"/>
        <v>251.85000000000002</v>
      </c>
      <c r="K669" s="3">
        <f t="shared" si="31"/>
        <v>175.92000000000002</v>
      </c>
      <c r="L669" s="3">
        <f t="shared" si="32"/>
        <v>75.930000000000007</v>
      </c>
    </row>
    <row r="670" spans="1:12" x14ac:dyDescent="0.3">
      <c r="A670">
        <v>1360</v>
      </c>
      <c r="B670" s="2">
        <v>45585</v>
      </c>
      <c r="C670" t="s">
        <v>32</v>
      </c>
      <c r="D670" t="s">
        <v>13</v>
      </c>
      <c r="E670" t="s">
        <v>45</v>
      </c>
      <c r="F670" t="s">
        <v>15</v>
      </c>
      <c r="G670">
        <v>14</v>
      </c>
      <c r="H670" s="3">
        <v>4.84</v>
      </c>
      <c r="I670" s="3">
        <v>3.47</v>
      </c>
      <c r="J670" s="3">
        <f t="shared" si="30"/>
        <v>67.759999999999991</v>
      </c>
      <c r="K670" s="3">
        <f t="shared" si="31"/>
        <v>48.580000000000005</v>
      </c>
      <c r="L670" s="3">
        <f t="shared" si="32"/>
        <v>19.179999999999986</v>
      </c>
    </row>
    <row r="671" spans="1:12" x14ac:dyDescent="0.3">
      <c r="A671">
        <v>1424</v>
      </c>
      <c r="B671" s="2">
        <v>45585</v>
      </c>
      <c r="C671" t="s">
        <v>23</v>
      </c>
      <c r="D671" t="s">
        <v>13</v>
      </c>
      <c r="E671" t="s">
        <v>24</v>
      </c>
      <c r="F671" t="s">
        <v>33</v>
      </c>
      <c r="G671">
        <v>27</v>
      </c>
      <c r="H671" s="3">
        <v>35.58</v>
      </c>
      <c r="I671" s="3">
        <v>19.23</v>
      </c>
      <c r="J671" s="3">
        <f t="shared" si="30"/>
        <v>960.66</v>
      </c>
      <c r="K671" s="3">
        <f t="shared" si="31"/>
        <v>519.21</v>
      </c>
      <c r="L671" s="3">
        <f t="shared" si="32"/>
        <v>441.44999999999993</v>
      </c>
    </row>
    <row r="672" spans="1:12" x14ac:dyDescent="0.3">
      <c r="A672">
        <v>1090</v>
      </c>
      <c r="B672" s="2">
        <v>45586</v>
      </c>
      <c r="C672" t="s">
        <v>16</v>
      </c>
      <c r="D672" t="s">
        <v>13</v>
      </c>
      <c r="E672" t="s">
        <v>45</v>
      </c>
      <c r="F672" t="s">
        <v>28</v>
      </c>
      <c r="G672">
        <v>23</v>
      </c>
      <c r="H672" s="3">
        <v>20.05</v>
      </c>
      <c r="I672" s="3">
        <v>12.31</v>
      </c>
      <c r="J672" s="3">
        <f t="shared" si="30"/>
        <v>461.15000000000003</v>
      </c>
      <c r="K672" s="3">
        <f t="shared" si="31"/>
        <v>283.13</v>
      </c>
      <c r="L672" s="3">
        <f t="shared" si="32"/>
        <v>178.02000000000004</v>
      </c>
    </row>
    <row r="673" spans="1:12" x14ac:dyDescent="0.3">
      <c r="A673">
        <v>1112</v>
      </c>
      <c r="B673" s="2">
        <v>45586</v>
      </c>
      <c r="C673" t="s">
        <v>16</v>
      </c>
      <c r="D673" t="s">
        <v>29</v>
      </c>
      <c r="E673" t="s">
        <v>43</v>
      </c>
      <c r="F673" t="s">
        <v>25</v>
      </c>
      <c r="G673">
        <v>37</v>
      </c>
      <c r="H673" s="3">
        <v>282.52</v>
      </c>
      <c r="I673" s="3">
        <v>165.99</v>
      </c>
      <c r="J673" s="3">
        <f t="shared" si="30"/>
        <v>10453.24</v>
      </c>
      <c r="K673" s="3">
        <f t="shared" si="31"/>
        <v>6141.63</v>
      </c>
      <c r="L673" s="3">
        <f t="shared" si="32"/>
        <v>4311.6099999999997</v>
      </c>
    </row>
    <row r="674" spans="1:12" x14ac:dyDescent="0.3">
      <c r="A674">
        <v>1985</v>
      </c>
      <c r="B674" s="2">
        <v>45586</v>
      </c>
      <c r="C674" t="s">
        <v>26</v>
      </c>
      <c r="D674" t="s">
        <v>13</v>
      </c>
      <c r="E674" t="s">
        <v>46</v>
      </c>
      <c r="F674" t="s">
        <v>15</v>
      </c>
      <c r="G674">
        <v>26</v>
      </c>
      <c r="H674" s="3">
        <v>34.119999999999997</v>
      </c>
      <c r="I674" s="3">
        <v>25.05</v>
      </c>
      <c r="J674" s="3">
        <f t="shared" si="30"/>
        <v>887.11999999999989</v>
      </c>
      <c r="K674" s="3">
        <f t="shared" si="31"/>
        <v>651.30000000000007</v>
      </c>
      <c r="L674" s="3">
        <f t="shared" si="32"/>
        <v>235.81999999999982</v>
      </c>
    </row>
    <row r="675" spans="1:12" x14ac:dyDescent="0.3">
      <c r="A675">
        <v>2033</v>
      </c>
      <c r="B675" s="2">
        <v>45586</v>
      </c>
      <c r="C675" t="s">
        <v>23</v>
      </c>
      <c r="D675" t="s">
        <v>20</v>
      </c>
      <c r="E675" t="s">
        <v>38</v>
      </c>
      <c r="F675" t="s">
        <v>39</v>
      </c>
      <c r="G675">
        <v>28</v>
      </c>
      <c r="H675" s="3">
        <v>51.79</v>
      </c>
      <c r="I675" s="3">
        <v>34.92</v>
      </c>
      <c r="J675" s="3">
        <f t="shared" si="30"/>
        <v>1450.12</v>
      </c>
      <c r="K675" s="3">
        <f t="shared" si="31"/>
        <v>977.76</v>
      </c>
      <c r="L675" s="3">
        <f t="shared" si="32"/>
        <v>472.3599999999999</v>
      </c>
    </row>
    <row r="676" spans="1:12" x14ac:dyDescent="0.3">
      <c r="A676">
        <v>1177</v>
      </c>
      <c r="B676" s="2">
        <v>45587</v>
      </c>
      <c r="C676" t="s">
        <v>12</v>
      </c>
      <c r="D676" t="s">
        <v>20</v>
      </c>
      <c r="E676" t="s">
        <v>38</v>
      </c>
      <c r="F676" t="s">
        <v>28</v>
      </c>
      <c r="G676">
        <v>23</v>
      </c>
      <c r="H676" s="3">
        <v>100.58</v>
      </c>
      <c r="I676" s="3">
        <v>64.709999999999994</v>
      </c>
      <c r="J676" s="3">
        <f t="shared" si="30"/>
        <v>2313.34</v>
      </c>
      <c r="K676" s="3">
        <f t="shared" si="31"/>
        <v>1488.33</v>
      </c>
      <c r="L676" s="3">
        <f t="shared" si="32"/>
        <v>825.01000000000022</v>
      </c>
    </row>
    <row r="677" spans="1:12" x14ac:dyDescent="0.3">
      <c r="A677">
        <v>2024</v>
      </c>
      <c r="B677" s="2">
        <v>45587</v>
      </c>
      <c r="C677" t="s">
        <v>32</v>
      </c>
      <c r="D677" t="s">
        <v>17</v>
      </c>
      <c r="E677" t="s">
        <v>44</v>
      </c>
      <c r="F677" t="s">
        <v>15</v>
      </c>
      <c r="G677">
        <v>10</v>
      </c>
      <c r="H677" s="3">
        <v>140.62</v>
      </c>
      <c r="I677" s="3">
        <v>91.35</v>
      </c>
      <c r="J677" s="3">
        <f t="shared" si="30"/>
        <v>1406.2</v>
      </c>
      <c r="K677" s="3">
        <f t="shared" si="31"/>
        <v>913.5</v>
      </c>
      <c r="L677" s="3">
        <f t="shared" si="32"/>
        <v>492.70000000000005</v>
      </c>
    </row>
    <row r="678" spans="1:12" x14ac:dyDescent="0.3">
      <c r="A678">
        <v>2075</v>
      </c>
      <c r="B678" s="2">
        <v>45587</v>
      </c>
      <c r="C678" t="s">
        <v>12</v>
      </c>
      <c r="D678" t="s">
        <v>29</v>
      </c>
      <c r="E678" t="s">
        <v>43</v>
      </c>
      <c r="F678" t="s">
        <v>25</v>
      </c>
      <c r="G678">
        <v>33</v>
      </c>
      <c r="H678" s="3">
        <v>276.43</v>
      </c>
      <c r="I678" s="3">
        <v>146.18</v>
      </c>
      <c r="J678" s="3">
        <f t="shared" si="30"/>
        <v>9122.19</v>
      </c>
      <c r="K678" s="3">
        <f t="shared" si="31"/>
        <v>4823.9400000000005</v>
      </c>
      <c r="L678" s="3">
        <f t="shared" si="32"/>
        <v>4298.25</v>
      </c>
    </row>
    <row r="679" spans="1:12" x14ac:dyDescent="0.3">
      <c r="A679">
        <v>2330</v>
      </c>
      <c r="B679" s="2">
        <v>45587</v>
      </c>
      <c r="C679" t="s">
        <v>16</v>
      </c>
      <c r="D679" t="s">
        <v>13</v>
      </c>
      <c r="E679" t="s">
        <v>31</v>
      </c>
      <c r="F679" t="s">
        <v>33</v>
      </c>
      <c r="G679">
        <v>16</v>
      </c>
      <c r="H679" s="3">
        <v>22.87</v>
      </c>
      <c r="I679" s="3">
        <v>14.39</v>
      </c>
      <c r="J679" s="3">
        <f t="shared" si="30"/>
        <v>365.92</v>
      </c>
      <c r="K679" s="3">
        <f t="shared" si="31"/>
        <v>230.24</v>
      </c>
      <c r="L679" s="3">
        <f t="shared" si="32"/>
        <v>135.68</v>
      </c>
    </row>
    <row r="680" spans="1:12" x14ac:dyDescent="0.3">
      <c r="A680">
        <v>1119</v>
      </c>
      <c r="B680" s="2">
        <v>45588</v>
      </c>
      <c r="C680" t="s">
        <v>32</v>
      </c>
      <c r="D680" t="s">
        <v>17</v>
      </c>
      <c r="E680" t="s">
        <v>27</v>
      </c>
      <c r="F680" t="s">
        <v>28</v>
      </c>
      <c r="G680">
        <v>28</v>
      </c>
      <c r="H680" s="3">
        <v>207.58</v>
      </c>
      <c r="I680" s="3">
        <v>147.04</v>
      </c>
      <c r="J680" s="3">
        <f t="shared" si="30"/>
        <v>5812.2400000000007</v>
      </c>
      <c r="K680" s="3">
        <f t="shared" si="31"/>
        <v>4117.12</v>
      </c>
      <c r="L680" s="3">
        <f t="shared" si="32"/>
        <v>1695.1200000000008</v>
      </c>
    </row>
    <row r="681" spans="1:12" x14ac:dyDescent="0.3">
      <c r="A681">
        <v>2444</v>
      </c>
      <c r="B681" s="2">
        <v>45588</v>
      </c>
      <c r="C681" t="s">
        <v>32</v>
      </c>
      <c r="D681" t="s">
        <v>29</v>
      </c>
      <c r="E681" t="s">
        <v>37</v>
      </c>
      <c r="F681" t="s">
        <v>25</v>
      </c>
      <c r="G681">
        <v>35</v>
      </c>
      <c r="H681" s="3">
        <v>322.08</v>
      </c>
      <c r="I681" s="3">
        <v>200.59</v>
      </c>
      <c r="J681" s="3">
        <f t="shared" si="30"/>
        <v>11272.8</v>
      </c>
      <c r="K681" s="3">
        <f t="shared" si="31"/>
        <v>7020.6500000000005</v>
      </c>
      <c r="L681" s="3">
        <f t="shared" si="32"/>
        <v>4252.1499999999987</v>
      </c>
    </row>
    <row r="682" spans="1:12" x14ac:dyDescent="0.3">
      <c r="A682">
        <v>1966</v>
      </c>
      <c r="B682" s="2">
        <v>45589</v>
      </c>
      <c r="C682" t="s">
        <v>16</v>
      </c>
      <c r="D682" t="s">
        <v>20</v>
      </c>
      <c r="E682" t="s">
        <v>38</v>
      </c>
      <c r="F682" t="s">
        <v>22</v>
      </c>
      <c r="G682">
        <v>8</v>
      </c>
      <c r="H682" s="3">
        <v>34.85</v>
      </c>
      <c r="I682" s="3">
        <v>19.21</v>
      </c>
      <c r="J682" s="3">
        <f t="shared" si="30"/>
        <v>278.8</v>
      </c>
      <c r="K682" s="3">
        <f t="shared" si="31"/>
        <v>153.68</v>
      </c>
      <c r="L682" s="3">
        <f t="shared" si="32"/>
        <v>125.12</v>
      </c>
    </row>
    <row r="683" spans="1:12" x14ac:dyDescent="0.3">
      <c r="A683">
        <v>2039</v>
      </c>
      <c r="B683" s="2">
        <v>45589</v>
      </c>
      <c r="C683" t="s">
        <v>12</v>
      </c>
      <c r="D683" t="s">
        <v>29</v>
      </c>
      <c r="E683" t="s">
        <v>43</v>
      </c>
      <c r="F683" t="s">
        <v>36</v>
      </c>
      <c r="G683">
        <v>14</v>
      </c>
      <c r="H683" s="3">
        <v>85.73</v>
      </c>
      <c r="I683" s="3">
        <v>59.05</v>
      </c>
      <c r="J683" s="3">
        <f t="shared" si="30"/>
        <v>1200.22</v>
      </c>
      <c r="K683" s="3">
        <f t="shared" si="31"/>
        <v>826.69999999999993</v>
      </c>
      <c r="L683" s="3">
        <f t="shared" si="32"/>
        <v>373.5200000000001</v>
      </c>
    </row>
    <row r="684" spans="1:12" x14ac:dyDescent="0.3">
      <c r="A684">
        <v>1222</v>
      </c>
      <c r="B684" s="2">
        <v>45590</v>
      </c>
      <c r="C684" t="s">
        <v>23</v>
      </c>
      <c r="D684" t="s">
        <v>20</v>
      </c>
      <c r="E684" t="s">
        <v>42</v>
      </c>
      <c r="F684" t="s">
        <v>39</v>
      </c>
      <c r="G684">
        <v>37</v>
      </c>
      <c r="H684" s="3">
        <v>95.3</v>
      </c>
      <c r="I684" s="3">
        <v>54.04</v>
      </c>
      <c r="J684" s="3">
        <f t="shared" si="30"/>
        <v>3526.1</v>
      </c>
      <c r="K684" s="3">
        <f t="shared" si="31"/>
        <v>1999.48</v>
      </c>
      <c r="L684" s="3">
        <f t="shared" si="32"/>
        <v>1526.62</v>
      </c>
    </row>
    <row r="685" spans="1:12" x14ac:dyDescent="0.3">
      <c r="A685">
        <v>1352</v>
      </c>
      <c r="B685" s="2">
        <v>45590</v>
      </c>
      <c r="C685" t="s">
        <v>16</v>
      </c>
      <c r="D685" t="s">
        <v>29</v>
      </c>
      <c r="E685" t="s">
        <v>30</v>
      </c>
      <c r="F685" t="s">
        <v>22</v>
      </c>
      <c r="G685">
        <v>11</v>
      </c>
      <c r="H685" s="3">
        <v>391.85</v>
      </c>
      <c r="I685" s="3">
        <v>220.84</v>
      </c>
      <c r="J685" s="3">
        <f t="shared" si="30"/>
        <v>4310.3500000000004</v>
      </c>
      <c r="K685" s="3">
        <f t="shared" si="31"/>
        <v>2429.2400000000002</v>
      </c>
      <c r="L685" s="3">
        <f t="shared" si="32"/>
        <v>1881.1100000000001</v>
      </c>
    </row>
    <row r="686" spans="1:12" x14ac:dyDescent="0.3">
      <c r="A686">
        <v>1529</v>
      </c>
      <c r="B686" s="2">
        <v>45590</v>
      </c>
      <c r="C686" t="s">
        <v>16</v>
      </c>
      <c r="D686" t="s">
        <v>17</v>
      </c>
      <c r="E686" t="s">
        <v>40</v>
      </c>
      <c r="F686" t="s">
        <v>28</v>
      </c>
      <c r="G686">
        <v>6</v>
      </c>
      <c r="H686" s="3">
        <v>166.53</v>
      </c>
      <c r="I686" s="3">
        <v>108.9</v>
      </c>
      <c r="J686" s="3">
        <f t="shared" si="30"/>
        <v>999.18000000000006</v>
      </c>
      <c r="K686" s="3">
        <f t="shared" si="31"/>
        <v>653.40000000000009</v>
      </c>
      <c r="L686" s="3">
        <f t="shared" si="32"/>
        <v>345.78</v>
      </c>
    </row>
    <row r="687" spans="1:12" x14ac:dyDescent="0.3">
      <c r="A687">
        <v>1729</v>
      </c>
      <c r="B687" s="2">
        <v>45590</v>
      </c>
      <c r="C687" t="s">
        <v>32</v>
      </c>
      <c r="D687" t="s">
        <v>17</v>
      </c>
      <c r="E687" t="s">
        <v>35</v>
      </c>
      <c r="F687" t="s">
        <v>19</v>
      </c>
      <c r="G687">
        <v>4</v>
      </c>
      <c r="H687" s="3">
        <v>259.41000000000003</v>
      </c>
      <c r="I687" s="3">
        <v>152</v>
      </c>
      <c r="J687" s="3">
        <f t="shared" si="30"/>
        <v>1037.6400000000001</v>
      </c>
      <c r="K687" s="3">
        <f t="shared" si="31"/>
        <v>608</v>
      </c>
      <c r="L687" s="3">
        <f t="shared" si="32"/>
        <v>429.6400000000001</v>
      </c>
    </row>
    <row r="688" spans="1:12" x14ac:dyDescent="0.3">
      <c r="A688">
        <v>2116</v>
      </c>
      <c r="B688" s="2">
        <v>45591</v>
      </c>
      <c r="C688" t="s">
        <v>23</v>
      </c>
      <c r="D688" t="s">
        <v>17</v>
      </c>
      <c r="E688" t="s">
        <v>40</v>
      </c>
      <c r="F688" t="s">
        <v>36</v>
      </c>
      <c r="G688">
        <v>33</v>
      </c>
      <c r="H688" s="3">
        <v>588.59</v>
      </c>
      <c r="I688" s="3">
        <v>418.94</v>
      </c>
      <c r="J688" s="3">
        <f t="shared" si="30"/>
        <v>19423.47</v>
      </c>
      <c r="K688" s="3">
        <f t="shared" si="31"/>
        <v>13825.02</v>
      </c>
      <c r="L688" s="3">
        <f t="shared" si="32"/>
        <v>5598.4500000000007</v>
      </c>
    </row>
    <row r="689" spans="1:12" x14ac:dyDescent="0.3">
      <c r="A689">
        <v>2580</v>
      </c>
      <c r="B689" s="2">
        <v>45591</v>
      </c>
      <c r="C689" t="s">
        <v>26</v>
      </c>
      <c r="D689" t="s">
        <v>20</v>
      </c>
      <c r="E689" t="s">
        <v>21</v>
      </c>
      <c r="F689" t="s">
        <v>25</v>
      </c>
      <c r="G689">
        <v>10</v>
      </c>
      <c r="H689" s="3">
        <v>154.37</v>
      </c>
      <c r="I689" s="3">
        <v>87.46</v>
      </c>
      <c r="J689" s="3">
        <f t="shared" si="30"/>
        <v>1543.7</v>
      </c>
      <c r="K689" s="3">
        <f t="shared" si="31"/>
        <v>874.59999999999991</v>
      </c>
      <c r="L689" s="3">
        <f t="shared" si="32"/>
        <v>669.10000000000014</v>
      </c>
    </row>
    <row r="690" spans="1:12" x14ac:dyDescent="0.3">
      <c r="A690">
        <v>2763</v>
      </c>
      <c r="B690" s="2">
        <v>45591</v>
      </c>
      <c r="C690" t="s">
        <v>12</v>
      </c>
      <c r="D690" t="s">
        <v>29</v>
      </c>
      <c r="E690" t="s">
        <v>43</v>
      </c>
      <c r="F690" t="s">
        <v>25</v>
      </c>
      <c r="G690">
        <v>20</v>
      </c>
      <c r="H690" s="3">
        <v>469.76</v>
      </c>
      <c r="I690" s="3">
        <v>323.31</v>
      </c>
      <c r="J690" s="3">
        <f t="shared" si="30"/>
        <v>9395.2000000000007</v>
      </c>
      <c r="K690" s="3">
        <f t="shared" si="31"/>
        <v>6466.2</v>
      </c>
      <c r="L690" s="3">
        <f t="shared" si="32"/>
        <v>2929.0000000000009</v>
      </c>
    </row>
    <row r="691" spans="1:12" x14ac:dyDescent="0.3">
      <c r="A691">
        <v>1819</v>
      </c>
      <c r="B691" s="2">
        <v>45592</v>
      </c>
      <c r="C691" t="s">
        <v>16</v>
      </c>
      <c r="D691" t="s">
        <v>20</v>
      </c>
      <c r="E691" t="s">
        <v>34</v>
      </c>
      <c r="F691" t="s">
        <v>28</v>
      </c>
      <c r="G691">
        <v>21</v>
      </c>
      <c r="H691" s="3">
        <v>170.7</v>
      </c>
      <c r="I691" s="3">
        <v>94.3</v>
      </c>
      <c r="J691" s="3">
        <f t="shared" si="30"/>
        <v>3584.7</v>
      </c>
      <c r="K691" s="3">
        <f t="shared" si="31"/>
        <v>1980.3</v>
      </c>
      <c r="L691" s="3">
        <f t="shared" si="32"/>
        <v>1604.3999999999999</v>
      </c>
    </row>
    <row r="692" spans="1:12" x14ac:dyDescent="0.3">
      <c r="A692">
        <v>2013</v>
      </c>
      <c r="B692" s="2">
        <v>45592</v>
      </c>
      <c r="C692" t="s">
        <v>12</v>
      </c>
      <c r="D692" t="s">
        <v>29</v>
      </c>
      <c r="E692" t="s">
        <v>37</v>
      </c>
      <c r="F692" t="s">
        <v>33</v>
      </c>
      <c r="G692">
        <v>15</v>
      </c>
      <c r="H692" s="3">
        <v>128.47999999999999</v>
      </c>
      <c r="I692" s="3">
        <v>87.78</v>
      </c>
      <c r="J692" s="3">
        <f t="shared" si="30"/>
        <v>1927.1999999999998</v>
      </c>
      <c r="K692" s="3">
        <f t="shared" si="31"/>
        <v>1316.7</v>
      </c>
      <c r="L692" s="3">
        <f t="shared" si="32"/>
        <v>610.49999999999977</v>
      </c>
    </row>
    <row r="693" spans="1:12" x14ac:dyDescent="0.3">
      <c r="A693">
        <v>2194</v>
      </c>
      <c r="B693" s="2">
        <v>45592</v>
      </c>
      <c r="C693" t="s">
        <v>16</v>
      </c>
      <c r="D693" t="s">
        <v>17</v>
      </c>
      <c r="E693" t="s">
        <v>40</v>
      </c>
      <c r="F693" t="s">
        <v>39</v>
      </c>
      <c r="G693">
        <v>29</v>
      </c>
      <c r="H693" s="3">
        <v>753.95</v>
      </c>
      <c r="I693" s="3">
        <v>381.94</v>
      </c>
      <c r="J693" s="3">
        <f t="shared" si="30"/>
        <v>21864.550000000003</v>
      </c>
      <c r="K693" s="3">
        <f t="shared" si="31"/>
        <v>11076.26</v>
      </c>
      <c r="L693" s="3">
        <f t="shared" si="32"/>
        <v>10788.290000000003</v>
      </c>
    </row>
    <row r="694" spans="1:12" x14ac:dyDescent="0.3">
      <c r="A694">
        <v>1327</v>
      </c>
      <c r="B694" s="2">
        <v>45593</v>
      </c>
      <c r="C694" t="s">
        <v>23</v>
      </c>
      <c r="D694" t="s">
        <v>17</v>
      </c>
      <c r="E694" t="s">
        <v>18</v>
      </c>
      <c r="F694" t="s">
        <v>22</v>
      </c>
      <c r="G694">
        <v>38</v>
      </c>
      <c r="H694" s="3">
        <v>547.46</v>
      </c>
      <c r="I694" s="3">
        <v>290.13</v>
      </c>
      <c r="J694" s="3">
        <f t="shared" si="30"/>
        <v>20803.480000000003</v>
      </c>
      <c r="K694" s="3">
        <f t="shared" si="31"/>
        <v>11024.94</v>
      </c>
      <c r="L694" s="3">
        <f t="shared" si="32"/>
        <v>9778.5400000000027</v>
      </c>
    </row>
    <row r="695" spans="1:12" x14ac:dyDescent="0.3">
      <c r="A695">
        <v>1484</v>
      </c>
      <c r="B695" s="2">
        <v>45593</v>
      </c>
      <c r="C695" t="s">
        <v>16</v>
      </c>
      <c r="D695" t="s">
        <v>17</v>
      </c>
      <c r="E695" t="s">
        <v>35</v>
      </c>
      <c r="F695" t="s">
        <v>19</v>
      </c>
      <c r="G695">
        <v>30</v>
      </c>
      <c r="H695" s="3">
        <v>757.11</v>
      </c>
      <c r="I695" s="3">
        <v>525.95000000000005</v>
      </c>
      <c r="J695" s="3">
        <f t="shared" si="30"/>
        <v>22713.3</v>
      </c>
      <c r="K695" s="3">
        <f t="shared" si="31"/>
        <v>15778.500000000002</v>
      </c>
      <c r="L695" s="3">
        <f t="shared" si="32"/>
        <v>6934.7999999999975</v>
      </c>
    </row>
    <row r="696" spans="1:12" x14ac:dyDescent="0.3">
      <c r="A696">
        <v>1528</v>
      </c>
      <c r="B696" s="2">
        <v>45593</v>
      </c>
      <c r="C696" t="s">
        <v>32</v>
      </c>
      <c r="D696" t="s">
        <v>13</v>
      </c>
      <c r="E696" t="s">
        <v>45</v>
      </c>
      <c r="F696" t="s">
        <v>15</v>
      </c>
      <c r="G696">
        <v>37</v>
      </c>
      <c r="H696" s="3">
        <v>38.869999999999997</v>
      </c>
      <c r="I696" s="3">
        <v>25.81</v>
      </c>
      <c r="J696" s="3">
        <f t="shared" si="30"/>
        <v>1438.1899999999998</v>
      </c>
      <c r="K696" s="3">
        <f t="shared" si="31"/>
        <v>954.96999999999991</v>
      </c>
      <c r="L696" s="3">
        <f t="shared" si="32"/>
        <v>483.21999999999991</v>
      </c>
    </row>
    <row r="697" spans="1:12" x14ac:dyDescent="0.3">
      <c r="A697">
        <v>1725</v>
      </c>
      <c r="B697" s="2">
        <v>45593</v>
      </c>
      <c r="C697" t="s">
        <v>23</v>
      </c>
      <c r="D697" t="s">
        <v>20</v>
      </c>
      <c r="E697" t="s">
        <v>42</v>
      </c>
      <c r="F697" t="s">
        <v>36</v>
      </c>
      <c r="G697">
        <v>15</v>
      </c>
      <c r="H697" s="3">
        <v>146.96</v>
      </c>
      <c r="I697" s="3">
        <v>90.54</v>
      </c>
      <c r="J697" s="3">
        <f t="shared" si="30"/>
        <v>2204.4</v>
      </c>
      <c r="K697" s="3">
        <f t="shared" si="31"/>
        <v>1358.1000000000001</v>
      </c>
      <c r="L697" s="3">
        <f t="shared" si="32"/>
        <v>846.3</v>
      </c>
    </row>
    <row r="698" spans="1:12" x14ac:dyDescent="0.3">
      <c r="A698">
        <v>1285</v>
      </c>
      <c r="B698" s="2">
        <v>45594</v>
      </c>
      <c r="C698" t="s">
        <v>23</v>
      </c>
      <c r="D698" t="s">
        <v>20</v>
      </c>
      <c r="E698" t="s">
        <v>21</v>
      </c>
      <c r="F698" t="s">
        <v>22</v>
      </c>
      <c r="G698">
        <v>6</v>
      </c>
      <c r="H698" s="3">
        <v>267.7</v>
      </c>
      <c r="I698" s="3">
        <v>169.04</v>
      </c>
      <c r="J698" s="3">
        <f t="shared" si="30"/>
        <v>1606.1999999999998</v>
      </c>
      <c r="K698" s="3">
        <f t="shared" si="31"/>
        <v>1014.24</v>
      </c>
      <c r="L698" s="3">
        <f t="shared" si="32"/>
        <v>591.95999999999981</v>
      </c>
    </row>
    <row r="699" spans="1:12" x14ac:dyDescent="0.3">
      <c r="A699">
        <v>2673</v>
      </c>
      <c r="B699" s="2">
        <v>45594</v>
      </c>
      <c r="C699" t="s">
        <v>23</v>
      </c>
      <c r="D699" t="s">
        <v>20</v>
      </c>
      <c r="E699" t="s">
        <v>42</v>
      </c>
      <c r="F699" t="s">
        <v>19</v>
      </c>
      <c r="G699">
        <v>11</v>
      </c>
      <c r="H699" s="3">
        <v>277.43</v>
      </c>
      <c r="I699" s="3">
        <v>160.57</v>
      </c>
      <c r="J699" s="3">
        <f t="shared" si="30"/>
        <v>3051.73</v>
      </c>
      <c r="K699" s="3">
        <f t="shared" si="31"/>
        <v>1766.27</v>
      </c>
      <c r="L699" s="3">
        <f t="shared" si="32"/>
        <v>1285.46</v>
      </c>
    </row>
    <row r="700" spans="1:12" x14ac:dyDescent="0.3">
      <c r="A700">
        <v>2783</v>
      </c>
      <c r="B700" s="2">
        <v>45595</v>
      </c>
      <c r="C700" t="s">
        <v>23</v>
      </c>
      <c r="D700" t="s">
        <v>17</v>
      </c>
      <c r="E700" t="s">
        <v>35</v>
      </c>
      <c r="F700" t="s">
        <v>22</v>
      </c>
      <c r="G700">
        <v>6</v>
      </c>
      <c r="H700" s="3">
        <v>441.54</v>
      </c>
      <c r="I700" s="3">
        <v>253.08</v>
      </c>
      <c r="J700" s="3">
        <f t="shared" si="30"/>
        <v>2649.2400000000002</v>
      </c>
      <c r="K700" s="3">
        <f t="shared" si="31"/>
        <v>1518.48</v>
      </c>
      <c r="L700" s="3">
        <f t="shared" si="32"/>
        <v>1130.7600000000002</v>
      </c>
    </row>
    <row r="701" spans="1:12" x14ac:dyDescent="0.3">
      <c r="A701">
        <v>1068</v>
      </c>
      <c r="B701" s="2">
        <v>45596</v>
      </c>
      <c r="C701" t="s">
        <v>16</v>
      </c>
      <c r="D701" t="s">
        <v>20</v>
      </c>
      <c r="E701" t="s">
        <v>38</v>
      </c>
      <c r="F701" t="s">
        <v>22</v>
      </c>
      <c r="G701">
        <v>40</v>
      </c>
      <c r="H701" s="3">
        <v>195.14</v>
      </c>
      <c r="I701" s="3">
        <v>110.48</v>
      </c>
      <c r="J701" s="3">
        <f t="shared" si="30"/>
        <v>7805.5999999999995</v>
      </c>
      <c r="K701" s="3">
        <f t="shared" si="31"/>
        <v>4419.2</v>
      </c>
      <c r="L701" s="3">
        <f t="shared" si="32"/>
        <v>3386.3999999999996</v>
      </c>
    </row>
    <row r="702" spans="1:12" x14ac:dyDescent="0.3">
      <c r="A702">
        <v>1163</v>
      </c>
      <c r="B702" s="2">
        <v>45596</v>
      </c>
      <c r="C702" t="s">
        <v>23</v>
      </c>
      <c r="D702" t="s">
        <v>17</v>
      </c>
      <c r="E702" t="s">
        <v>27</v>
      </c>
      <c r="F702" t="s">
        <v>19</v>
      </c>
      <c r="G702">
        <v>29</v>
      </c>
      <c r="H702" s="3">
        <v>409.12</v>
      </c>
      <c r="I702" s="3">
        <v>292.67</v>
      </c>
      <c r="J702" s="3">
        <f t="shared" si="30"/>
        <v>11864.48</v>
      </c>
      <c r="K702" s="3">
        <f t="shared" si="31"/>
        <v>8487.43</v>
      </c>
      <c r="L702" s="3">
        <f t="shared" si="32"/>
        <v>3377.0499999999993</v>
      </c>
    </row>
    <row r="703" spans="1:12" x14ac:dyDescent="0.3">
      <c r="A703">
        <v>2294</v>
      </c>
      <c r="B703" s="2">
        <v>45596</v>
      </c>
      <c r="C703" t="s">
        <v>26</v>
      </c>
      <c r="D703" t="s">
        <v>17</v>
      </c>
      <c r="E703" t="s">
        <v>40</v>
      </c>
      <c r="F703" t="s">
        <v>19</v>
      </c>
      <c r="G703">
        <v>17</v>
      </c>
      <c r="H703" s="3">
        <v>443.82</v>
      </c>
      <c r="I703" s="3">
        <v>235.26</v>
      </c>
      <c r="J703" s="3">
        <f t="shared" si="30"/>
        <v>7544.94</v>
      </c>
      <c r="K703" s="3">
        <f t="shared" si="31"/>
        <v>3999.42</v>
      </c>
      <c r="L703" s="3">
        <f t="shared" si="32"/>
        <v>3545.5199999999995</v>
      </c>
    </row>
    <row r="704" spans="1:12" x14ac:dyDescent="0.3">
      <c r="A704">
        <v>2669</v>
      </c>
      <c r="B704" s="2">
        <v>45597</v>
      </c>
      <c r="C704" t="s">
        <v>23</v>
      </c>
      <c r="D704" t="s">
        <v>13</v>
      </c>
      <c r="E704" t="s">
        <v>46</v>
      </c>
      <c r="F704" t="s">
        <v>22</v>
      </c>
      <c r="G704">
        <v>22</v>
      </c>
      <c r="H704" s="3">
        <v>28.39</v>
      </c>
      <c r="I704" s="3">
        <v>14.55</v>
      </c>
      <c r="J704" s="3">
        <f t="shared" si="30"/>
        <v>624.58000000000004</v>
      </c>
      <c r="K704" s="3">
        <f t="shared" si="31"/>
        <v>320.10000000000002</v>
      </c>
      <c r="L704" s="3">
        <f t="shared" si="32"/>
        <v>304.48</v>
      </c>
    </row>
    <row r="705" spans="1:12" x14ac:dyDescent="0.3">
      <c r="A705">
        <v>1257</v>
      </c>
      <c r="B705" s="2">
        <v>45598</v>
      </c>
      <c r="C705" t="s">
        <v>12</v>
      </c>
      <c r="D705" t="s">
        <v>20</v>
      </c>
      <c r="E705" t="s">
        <v>34</v>
      </c>
      <c r="F705" t="s">
        <v>19</v>
      </c>
      <c r="G705">
        <v>5</v>
      </c>
      <c r="H705" s="3">
        <v>143.22999999999999</v>
      </c>
      <c r="I705" s="3">
        <v>97.48</v>
      </c>
      <c r="J705" s="3">
        <f t="shared" si="30"/>
        <v>716.15</v>
      </c>
      <c r="K705" s="3">
        <f t="shared" si="31"/>
        <v>487.40000000000003</v>
      </c>
      <c r="L705" s="3">
        <f t="shared" si="32"/>
        <v>228.74999999999994</v>
      </c>
    </row>
    <row r="706" spans="1:12" x14ac:dyDescent="0.3">
      <c r="A706">
        <v>2589</v>
      </c>
      <c r="B706" s="2">
        <v>45598</v>
      </c>
      <c r="C706" t="s">
        <v>16</v>
      </c>
      <c r="D706" t="s">
        <v>20</v>
      </c>
      <c r="E706" t="s">
        <v>42</v>
      </c>
      <c r="F706" t="s">
        <v>25</v>
      </c>
      <c r="G706">
        <v>11</v>
      </c>
      <c r="H706" s="3">
        <v>95.72</v>
      </c>
      <c r="I706" s="3">
        <v>51.82</v>
      </c>
      <c r="J706" s="3">
        <f t="shared" ref="J706:J769" si="33">G706*H706</f>
        <v>1052.92</v>
      </c>
      <c r="K706" s="3">
        <f t="shared" ref="K706:K769" si="34">G706*I706</f>
        <v>570.02</v>
      </c>
      <c r="L706" s="3">
        <f t="shared" ref="L706:L769" si="35">J706-K706</f>
        <v>482.90000000000009</v>
      </c>
    </row>
    <row r="707" spans="1:12" x14ac:dyDescent="0.3">
      <c r="A707">
        <v>1421</v>
      </c>
      <c r="B707" s="2">
        <v>45599</v>
      </c>
      <c r="C707" t="s">
        <v>32</v>
      </c>
      <c r="D707" t="s">
        <v>17</v>
      </c>
      <c r="E707" t="s">
        <v>18</v>
      </c>
      <c r="F707" t="s">
        <v>25</v>
      </c>
      <c r="G707">
        <v>11</v>
      </c>
      <c r="H707" s="3">
        <v>110.43</v>
      </c>
      <c r="I707" s="3">
        <v>67.63</v>
      </c>
      <c r="J707" s="3">
        <f t="shared" si="33"/>
        <v>1214.73</v>
      </c>
      <c r="K707" s="3">
        <f t="shared" si="34"/>
        <v>743.93</v>
      </c>
      <c r="L707" s="3">
        <f t="shared" si="35"/>
        <v>470.80000000000007</v>
      </c>
    </row>
    <row r="708" spans="1:12" x14ac:dyDescent="0.3">
      <c r="A708">
        <v>2130</v>
      </c>
      <c r="B708" s="2">
        <v>45599</v>
      </c>
      <c r="C708" t="s">
        <v>16</v>
      </c>
      <c r="D708" t="s">
        <v>17</v>
      </c>
      <c r="E708" t="s">
        <v>35</v>
      </c>
      <c r="F708" t="s">
        <v>36</v>
      </c>
      <c r="G708">
        <v>8</v>
      </c>
      <c r="H708" s="3">
        <v>664.78</v>
      </c>
      <c r="I708" s="3">
        <v>437.91</v>
      </c>
      <c r="J708" s="3">
        <f t="shared" si="33"/>
        <v>5318.24</v>
      </c>
      <c r="K708" s="3">
        <f t="shared" si="34"/>
        <v>3503.28</v>
      </c>
      <c r="L708" s="3">
        <f t="shared" si="35"/>
        <v>1814.9599999999996</v>
      </c>
    </row>
    <row r="709" spans="1:12" x14ac:dyDescent="0.3">
      <c r="A709">
        <v>2135</v>
      </c>
      <c r="B709" s="2">
        <v>45599</v>
      </c>
      <c r="C709" t="s">
        <v>16</v>
      </c>
      <c r="D709" t="s">
        <v>13</v>
      </c>
      <c r="E709" t="s">
        <v>46</v>
      </c>
      <c r="F709" t="s">
        <v>19</v>
      </c>
      <c r="G709">
        <v>21</v>
      </c>
      <c r="H709" s="3">
        <v>46.68</v>
      </c>
      <c r="I709" s="3">
        <v>30.46</v>
      </c>
      <c r="J709" s="3">
        <f t="shared" si="33"/>
        <v>980.28</v>
      </c>
      <c r="K709" s="3">
        <f t="shared" si="34"/>
        <v>639.66</v>
      </c>
      <c r="L709" s="3">
        <f t="shared" si="35"/>
        <v>340.62</v>
      </c>
    </row>
    <row r="710" spans="1:12" x14ac:dyDescent="0.3">
      <c r="A710">
        <v>2403</v>
      </c>
      <c r="B710" s="2">
        <v>45599</v>
      </c>
      <c r="C710" t="s">
        <v>12</v>
      </c>
      <c r="D710" t="s">
        <v>29</v>
      </c>
      <c r="E710" t="s">
        <v>41</v>
      </c>
      <c r="F710" t="s">
        <v>19</v>
      </c>
      <c r="G710">
        <v>18</v>
      </c>
      <c r="H710" s="3">
        <v>111.25</v>
      </c>
      <c r="I710" s="3">
        <v>57.71</v>
      </c>
      <c r="J710" s="3">
        <f t="shared" si="33"/>
        <v>2002.5</v>
      </c>
      <c r="K710" s="3">
        <f t="shared" si="34"/>
        <v>1038.78</v>
      </c>
      <c r="L710" s="3">
        <f t="shared" si="35"/>
        <v>963.72</v>
      </c>
    </row>
    <row r="711" spans="1:12" x14ac:dyDescent="0.3">
      <c r="A711">
        <v>2598</v>
      </c>
      <c r="B711" s="2">
        <v>45599</v>
      </c>
      <c r="C711" t="s">
        <v>26</v>
      </c>
      <c r="D711" t="s">
        <v>13</v>
      </c>
      <c r="E711" t="s">
        <v>45</v>
      </c>
      <c r="F711" t="s">
        <v>39</v>
      </c>
      <c r="G711">
        <v>23</v>
      </c>
      <c r="H711" s="3">
        <v>59.27</v>
      </c>
      <c r="I711" s="3">
        <v>41.8</v>
      </c>
      <c r="J711" s="3">
        <f t="shared" si="33"/>
        <v>1363.21</v>
      </c>
      <c r="K711" s="3">
        <f t="shared" si="34"/>
        <v>961.4</v>
      </c>
      <c r="L711" s="3">
        <f t="shared" si="35"/>
        <v>401.81000000000006</v>
      </c>
    </row>
    <row r="712" spans="1:12" x14ac:dyDescent="0.3">
      <c r="A712">
        <v>2732</v>
      </c>
      <c r="B712" s="2">
        <v>45600</v>
      </c>
      <c r="C712" t="s">
        <v>12</v>
      </c>
      <c r="D712" t="s">
        <v>17</v>
      </c>
      <c r="E712" t="s">
        <v>44</v>
      </c>
      <c r="F712" t="s">
        <v>36</v>
      </c>
      <c r="G712">
        <v>34</v>
      </c>
      <c r="H712" s="3">
        <v>737.14</v>
      </c>
      <c r="I712" s="3">
        <v>375.04</v>
      </c>
      <c r="J712" s="3">
        <f t="shared" si="33"/>
        <v>25062.76</v>
      </c>
      <c r="K712" s="3">
        <f t="shared" si="34"/>
        <v>12751.36</v>
      </c>
      <c r="L712" s="3">
        <f t="shared" si="35"/>
        <v>12311.399999999998</v>
      </c>
    </row>
    <row r="713" spans="1:12" x14ac:dyDescent="0.3">
      <c r="A713">
        <v>2774</v>
      </c>
      <c r="B713" s="2">
        <v>45600</v>
      </c>
      <c r="C713" t="s">
        <v>12</v>
      </c>
      <c r="D713" t="s">
        <v>20</v>
      </c>
      <c r="E713" t="s">
        <v>21</v>
      </c>
      <c r="F713" t="s">
        <v>36</v>
      </c>
      <c r="G713">
        <v>35</v>
      </c>
      <c r="H713" s="3">
        <v>296.8</v>
      </c>
      <c r="I713" s="3">
        <v>196.71</v>
      </c>
      <c r="J713" s="3">
        <f t="shared" si="33"/>
        <v>10388</v>
      </c>
      <c r="K713" s="3">
        <f t="shared" si="34"/>
        <v>6884.85</v>
      </c>
      <c r="L713" s="3">
        <f t="shared" si="35"/>
        <v>3503.1499999999996</v>
      </c>
    </row>
    <row r="714" spans="1:12" x14ac:dyDescent="0.3">
      <c r="A714">
        <v>1091</v>
      </c>
      <c r="B714" s="2">
        <v>45601</v>
      </c>
      <c r="C714" t="s">
        <v>12</v>
      </c>
      <c r="D714" t="s">
        <v>20</v>
      </c>
      <c r="E714" t="s">
        <v>21</v>
      </c>
      <c r="F714" t="s">
        <v>25</v>
      </c>
      <c r="G714">
        <v>16</v>
      </c>
      <c r="H714" s="3">
        <v>215.8</v>
      </c>
      <c r="I714" s="3">
        <v>109.08</v>
      </c>
      <c r="J714" s="3">
        <f t="shared" si="33"/>
        <v>3452.8</v>
      </c>
      <c r="K714" s="3">
        <f t="shared" si="34"/>
        <v>1745.28</v>
      </c>
      <c r="L714" s="3">
        <f t="shared" si="35"/>
        <v>1707.5200000000002</v>
      </c>
    </row>
    <row r="715" spans="1:12" x14ac:dyDescent="0.3">
      <c r="A715">
        <v>1254</v>
      </c>
      <c r="B715" s="2">
        <v>45601</v>
      </c>
      <c r="C715" t="s">
        <v>12</v>
      </c>
      <c r="D715" t="s">
        <v>29</v>
      </c>
      <c r="E715" t="s">
        <v>30</v>
      </c>
      <c r="F715" t="s">
        <v>33</v>
      </c>
      <c r="G715">
        <v>17</v>
      </c>
      <c r="H715" s="3">
        <v>352.54</v>
      </c>
      <c r="I715" s="3">
        <v>231.41</v>
      </c>
      <c r="J715" s="3">
        <f t="shared" si="33"/>
        <v>5993.18</v>
      </c>
      <c r="K715" s="3">
        <f t="shared" si="34"/>
        <v>3933.97</v>
      </c>
      <c r="L715" s="3">
        <f t="shared" si="35"/>
        <v>2059.2100000000005</v>
      </c>
    </row>
    <row r="716" spans="1:12" x14ac:dyDescent="0.3">
      <c r="A716">
        <v>1623</v>
      </c>
      <c r="B716" s="2">
        <v>45601</v>
      </c>
      <c r="C716" t="s">
        <v>16</v>
      </c>
      <c r="D716" t="s">
        <v>29</v>
      </c>
      <c r="E716" t="s">
        <v>41</v>
      </c>
      <c r="F716" t="s">
        <v>33</v>
      </c>
      <c r="G716">
        <v>13</v>
      </c>
      <c r="H716" s="3">
        <v>296.45999999999998</v>
      </c>
      <c r="I716" s="3">
        <v>188.81</v>
      </c>
      <c r="J716" s="3">
        <f t="shared" si="33"/>
        <v>3853.9799999999996</v>
      </c>
      <c r="K716" s="3">
        <f t="shared" si="34"/>
        <v>2454.5300000000002</v>
      </c>
      <c r="L716" s="3">
        <f t="shared" si="35"/>
        <v>1399.4499999999994</v>
      </c>
    </row>
    <row r="717" spans="1:12" x14ac:dyDescent="0.3">
      <c r="A717">
        <v>2043</v>
      </c>
      <c r="B717" s="2">
        <v>45601</v>
      </c>
      <c r="C717" t="s">
        <v>32</v>
      </c>
      <c r="D717" t="s">
        <v>20</v>
      </c>
      <c r="E717" t="s">
        <v>34</v>
      </c>
      <c r="F717" t="s">
        <v>25</v>
      </c>
      <c r="G717">
        <v>17</v>
      </c>
      <c r="H717" s="3">
        <v>140.27000000000001</v>
      </c>
      <c r="I717" s="3">
        <v>77.930000000000007</v>
      </c>
      <c r="J717" s="3">
        <f t="shared" si="33"/>
        <v>2384.59</v>
      </c>
      <c r="K717" s="3">
        <f t="shared" si="34"/>
        <v>1324.8100000000002</v>
      </c>
      <c r="L717" s="3">
        <f t="shared" si="35"/>
        <v>1059.78</v>
      </c>
    </row>
    <row r="718" spans="1:12" x14ac:dyDescent="0.3">
      <c r="A718">
        <v>2316</v>
      </c>
      <c r="B718" s="2">
        <v>45601</v>
      </c>
      <c r="C718" t="s">
        <v>12</v>
      </c>
      <c r="D718" t="s">
        <v>13</v>
      </c>
      <c r="E718" t="s">
        <v>31</v>
      </c>
      <c r="F718" t="s">
        <v>28</v>
      </c>
      <c r="G718">
        <v>15</v>
      </c>
      <c r="H718" s="3">
        <v>49.08</v>
      </c>
      <c r="I718" s="3">
        <v>26.56</v>
      </c>
      <c r="J718" s="3">
        <f t="shared" si="33"/>
        <v>736.19999999999993</v>
      </c>
      <c r="K718" s="3">
        <f t="shared" si="34"/>
        <v>398.4</v>
      </c>
      <c r="L718" s="3">
        <f t="shared" si="35"/>
        <v>337.79999999999995</v>
      </c>
    </row>
    <row r="719" spans="1:12" x14ac:dyDescent="0.3">
      <c r="A719">
        <v>1614</v>
      </c>
      <c r="B719" s="2">
        <v>45602</v>
      </c>
      <c r="C719" t="s">
        <v>12</v>
      </c>
      <c r="D719" t="s">
        <v>20</v>
      </c>
      <c r="E719" t="s">
        <v>21</v>
      </c>
      <c r="F719" t="s">
        <v>19</v>
      </c>
      <c r="G719">
        <v>20</v>
      </c>
      <c r="H719" s="3">
        <v>209.01</v>
      </c>
      <c r="I719" s="3">
        <v>139</v>
      </c>
      <c r="J719" s="3">
        <f t="shared" si="33"/>
        <v>4180.2</v>
      </c>
      <c r="K719" s="3">
        <f t="shared" si="34"/>
        <v>2780</v>
      </c>
      <c r="L719" s="3">
        <f t="shared" si="35"/>
        <v>1400.1999999999998</v>
      </c>
    </row>
    <row r="720" spans="1:12" x14ac:dyDescent="0.3">
      <c r="A720">
        <v>1452</v>
      </c>
      <c r="B720" s="2">
        <v>45603</v>
      </c>
      <c r="C720" t="s">
        <v>26</v>
      </c>
      <c r="D720" t="s">
        <v>13</v>
      </c>
      <c r="E720" t="s">
        <v>46</v>
      </c>
      <c r="F720" t="s">
        <v>25</v>
      </c>
      <c r="G720">
        <v>7</v>
      </c>
      <c r="H720" s="3">
        <v>33.299999999999997</v>
      </c>
      <c r="I720" s="3">
        <v>18.72</v>
      </c>
      <c r="J720" s="3">
        <f t="shared" si="33"/>
        <v>233.09999999999997</v>
      </c>
      <c r="K720" s="3">
        <f t="shared" si="34"/>
        <v>131.04</v>
      </c>
      <c r="L720" s="3">
        <f t="shared" si="35"/>
        <v>102.05999999999997</v>
      </c>
    </row>
    <row r="721" spans="1:12" x14ac:dyDescent="0.3">
      <c r="A721">
        <v>1830</v>
      </c>
      <c r="B721" s="2">
        <v>45604</v>
      </c>
      <c r="C721" t="s">
        <v>23</v>
      </c>
      <c r="D721" t="s">
        <v>29</v>
      </c>
      <c r="E721" t="s">
        <v>30</v>
      </c>
      <c r="F721" t="s">
        <v>25</v>
      </c>
      <c r="G721">
        <v>5</v>
      </c>
      <c r="H721" s="3">
        <v>149.35</v>
      </c>
      <c r="I721" s="3">
        <v>102.43</v>
      </c>
      <c r="J721" s="3">
        <f t="shared" si="33"/>
        <v>746.75</v>
      </c>
      <c r="K721" s="3">
        <f t="shared" si="34"/>
        <v>512.15000000000009</v>
      </c>
      <c r="L721" s="3">
        <f t="shared" si="35"/>
        <v>234.59999999999991</v>
      </c>
    </row>
    <row r="722" spans="1:12" x14ac:dyDescent="0.3">
      <c r="A722">
        <v>1578</v>
      </c>
      <c r="B722" s="2">
        <v>45605</v>
      </c>
      <c r="C722" t="s">
        <v>12</v>
      </c>
      <c r="D722" t="s">
        <v>29</v>
      </c>
      <c r="E722" t="s">
        <v>37</v>
      </c>
      <c r="F722" t="s">
        <v>28</v>
      </c>
      <c r="G722">
        <v>24</v>
      </c>
      <c r="H722" s="3">
        <v>99.87</v>
      </c>
      <c r="I722" s="3">
        <v>61.32</v>
      </c>
      <c r="J722" s="3">
        <f t="shared" si="33"/>
        <v>2396.88</v>
      </c>
      <c r="K722" s="3">
        <f t="shared" si="34"/>
        <v>1471.68</v>
      </c>
      <c r="L722" s="3">
        <f t="shared" si="35"/>
        <v>925.2</v>
      </c>
    </row>
    <row r="723" spans="1:12" x14ac:dyDescent="0.3">
      <c r="A723">
        <v>1826</v>
      </c>
      <c r="B723" s="2">
        <v>45605</v>
      </c>
      <c r="C723" t="s">
        <v>16</v>
      </c>
      <c r="D723" t="s">
        <v>20</v>
      </c>
      <c r="E723" t="s">
        <v>42</v>
      </c>
      <c r="F723" t="s">
        <v>33</v>
      </c>
      <c r="G723">
        <v>37</v>
      </c>
      <c r="H723" s="3">
        <v>271.04000000000002</v>
      </c>
      <c r="I723" s="3">
        <v>147.09</v>
      </c>
      <c r="J723" s="3">
        <f t="shared" si="33"/>
        <v>10028.480000000001</v>
      </c>
      <c r="K723" s="3">
        <f t="shared" si="34"/>
        <v>5442.33</v>
      </c>
      <c r="L723" s="3">
        <f t="shared" si="35"/>
        <v>4586.1500000000015</v>
      </c>
    </row>
    <row r="724" spans="1:12" x14ac:dyDescent="0.3">
      <c r="A724">
        <v>2208</v>
      </c>
      <c r="B724" s="2">
        <v>45605</v>
      </c>
      <c r="C724" t="s">
        <v>26</v>
      </c>
      <c r="D724" t="s">
        <v>29</v>
      </c>
      <c r="E724" t="s">
        <v>30</v>
      </c>
      <c r="F724" t="s">
        <v>19</v>
      </c>
      <c r="G724">
        <v>13</v>
      </c>
      <c r="H724" s="3">
        <v>304.79000000000002</v>
      </c>
      <c r="I724" s="3">
        <v>159.78</v>
      </c>
      <c r="J724" s="3">
        <f t="shared" si="33"/>
        <v>3962.2700000000004</v>
      </c>
      <c r="K724" s="3">
        <f t="shared" si="34"/>
        <v>2077.14</v>
      </c>
      <c r="L724" s="3">
        <f t="shared" si="35"/>
        <v>1885.1300000000006</v>
      </c>
    </row>
    <row r="725" spans="1:12" x14ac:dyDescent="0.3">
      <c r="A725">
        <v>1599</v>
      </c>
      <c r="B725" s="2">
        <v>45606</v>
      </c>
      <c r="C725" t="s">
        <v>12</v>
      </c>
      <c r="D725" t="s">
        <v>13</v>
      </c>
      <c r="E725" t="s">
        <v>24</v>
      </c>
      <c r="F725" t="s">
        <v>25</v>
      </c>
      <c r="G725">
        <v>28</v>
      </c>
      <c r="H725" s="3">
        <v>47.69</v>
      </c>
      <c r="I725" s="3">
        <v>32.869999999999997</v>
      </c>
      <c r="J725" s="3">
        <f t="shared" si="33"/>
        <v>1335.32</v>
      </c>
      <c r="K725" s="3">
        <f t="shared" si="34"/>
        <v>920.3599999999999</v>
      </c>
      <c r="L725" s="3">
        <f t="shared" si="35"/>
        <v>414.96000000000004</v>
      </c>
    </row>
    <row r="726" spans="1:12" x14ac:dyDescent="0.3">
      <c r="A726">
        <v>2562</v>
      </c>
      <c r="B726" s="2">
        <v>45606</v>
      </c>
      <c r="C726" t="s">
        <v>12</v>
      </c>
      <c r="D726" t="s">
        <v>13</v>
      </c>
      <c r="E726" t="s">
        <v>45</v>
      </c>
      <c r="F726" t="s">
        <v>15</v>
      </c>
      <c r="G726">
        <v>5</v>
      </c>
      <c r="H726" s="3">
        <v>47.38</v>
      </c>
      <c r="I726" s="3">
        <v>34.71</v>
      </c>
      <c r="J726" s="3">
        <f t="shared" si="33"/>
        <v>236.9</v>
      </c>
      <c r="K726" s="3">
        <f t="shared" si="34"/>
        <v>173.55</v>
      </c>
      <c r="L726" s="3">
        <f t="shared" si="35"/>
        <v>63.349999999999994</v>
      </c>
    </row>
    <row r="727" spans="1:12" x14ac:dyDescent="0.3">
      <c r="A727">
        <v>1192</v>
      </c>
      <c r="B727" s="2">
        <v>45607</v>
      </c>
      <c r="C727" t="s">
        <v>26</v>
      </c>
      <c r="D727" t="s">
        <v>20</v>
      </c>
      <c r="E727" t="s">
        <v>38</v>
      </c>
      <c r="F727" t="s">
        <v>22</v>
      </c>
      <c r="G727">
        <v>14</v>
      </c>
      <c r="H727" s="3">
        <v>37.85</v>
      </c>
      <c r="I727" s="3">
        <v>28.33</v>
      </c>
      <c r="J727" s="3">
        <f t="shared" si="33"/>
        <v>529.9</v>
      </c>
      <c r="K727" s="3">
        <f t="shared" si="34"/>
        <v>396.62</v>
      </c>
      <c r="L727" s="3">
        <f t="shared" si="35"/>
        <v>133.27999999999997</v>
      </c>
    </row>
    <row r="728" spans="1:12" x14ac:dyDescent="0.3">
      <c r="A728">
        <v>1304</v>
      </c>
      <c r="B728" s="2">
        <v>45607</v>
      </c>
      <c r="C728" t="s">
        <v>23</v>
      </c>
      <c r="D728" t="s">
        <v>20</v>
      </c>
      <c r="E728" t="s">
        <v>21</v>
      </c>
      <c r="F728" t="s">
        <v>15</v>
      </c>
      <c r="G728">
        <v>6</v>
      </c>
      <c r="H728" s="3">
        <v>126.8</v>
      </c>
      <c r="I728" s="3">
        <v>69.31</v>
      </c>
      <c r="J728" s="3">
        <f t="shared" si="33"/>
        <v>760.8</v>
      </c>
      <c r="K728" s="3">
        <f t="shared" si="34"/>
        <v>415.86</v>
      </c>
      <c r="L728" s="3">
        <f t="shared" si="35"/>
        <v>344.93999999999994</v>
      </c>
    </row>
    <row r="729" spans="1:12" x14ac:dyDescent="0.3">
      <c r="A729">
        <v>2404</v>
      </c>
      <c r="B729" s="2">
        <v>45607</v>
      </c>
      <c r="C729" t="s">
        <v>32</v>
      </c>
      <c r="D729" t="s">
        <v>20</v>
      </c>
      <c r="E729" t="s">
        <v>42</v>
      </c>
      <c r="F729" t="s">
        <v>22</v>
      </c>
      <c r="G729">
        <v>19</v>
      </c>
      <c r="H729" s="3">
        <v>280.79000000000002</v>
      </c>
      <c r="I729" s="3">
        <v>182.72</v>
      </c>
      <c r="J729" s="3">
        <f t="shared" si="33"/>
        <v>5335.01</v>
      </c>
      <c r="K729" s="3">
        <f t="shared" si="34"/>
        <v>3471.68</v>
      </c>
      <c r="L729" s="3">
        <f t="shared" si="35"/>
        <v>1863.3300000000004</v>
      </c>
    </row>
    <row r="730" spans="1:12" x14ac:dyDescent="0.3">
      <c r="A730">
        <v>1891</v>
      </c>
      <c r="B730" s="2">
        <v>45608</v>
      </c>
      <c r="C730" t="s">
        <v>16</v>
      </c>
      <c r="D730" t="s">
        <v>17</v>
      </c>
      <c r="E730" t="s">
        <v>18</v>
      </c>
      <c r="F730" t="s">
        <v>25</v>
      </c>
      <c r="G730">
        <v>30</v>
      </c>
      <c r="H730" s="3">
        <v>323.52</v>
      </c>
      <c r="I730" s="3">
        <v>191.15</v>
      </c>
      <c r="J730" s="3">
        <f t="shared" si="33"/>
        <v>9705.5999999999985</v>
      </c>
      <c r="K730" s="3">
        <f t="shared" si="34"/>
        <v>5734.5</v>
      </c>
      <c r="L730" s="3">
        <f t="shared" si="35"/>
        <v>3971.0999999999985</v>
      </c>
    </row>
    <row r="731" spans="1:12" x14ac:dyDescent="0.3">
      <c r="A731">
        <v>2379</v>
      </c>
      <c r="B731" s="2">
        <v>45608</v>
      </c>
      <c r="C731" t="s">
        <v>32</v>
      </c>
      <c r="D731" t="s">
        <v>13</v>
      </c>
      <c r="E731" t="s">
        <v>24</v>
      </c>
      <c r="F731" t="s">
        <v>28</v>
      </c>
      <c r="G731">
        <v>10</v>
      </c>
      <c r="H731" s="3">
        <v>5.0999999999999996</v>
      </c>
      <c r="I731" s="3">
        <v>2.74</v>
      </c>
      <c r="J731" s="3">
        <f t="shared" si="33"/>
        <v>51</v>
      </c>
      <c r="K731" s="3">
        <f t="shared" si="34"/>
        <v>27.400000000000002</v>
      </c>
      <c r="L731" s="3">
        <f t="shared" si="35"/>
        <v>23.599999999999998</v>
      </c>
    </row>
    <row r="732" spans="1:12" x14ac:dyDescent="0.3">
      <c r="A732">
        <v>2394</v>
      </c>
      <c r="B732" s="2">
        <v>45608</v>
      </c>
      <c r="C732" t="s">
        <v>16</v>
      </c>
      <c r="D732" t="s">
        <v>17</v>
      </c>
      <c r="E732" t="s">
        <v>27</v>
      </c>
      <c r="F732" t="s">
        <v>19</v>
      </c>
      <c r="G732">
        <v>8</v>
      </c>
      <c r="H732" s="3">
        <v>776.55</v>
      </c>
      <c r="I732" s="3">
        <v>542.5</v>
      </c>
      <c r="J732" s="3">
        <f t="shared" si="33"/>
        <v>6212.4</v>
      </c>
      <c r="K732" s="3">
        <f t="shared" si="34"/>
        <v>4340</v>
      </c>
      <c r="L732" s="3">
        <f t="shared" si="35"/>
        <v>1872.3999999999996</v>
      </c>
    </row>
    <row r="733" spans="1:12" x14ac:dyDescent="0.3">
      <c r="A733">
        <v>2612</v>
      </c>
      <c r="B733" s="2">
        <v>45610</v>
      </c>
      <c r="C733" t="s">
        <v>32</v>
      </c>
      <c r="D733" t="s">
        <v>20</v>
      </c>
      <c r="E733" t="s">
        <v>38</v>
      </c>
      <c r="F733" t="s">
        <v>28</v>
      </c>
      <c r="G733">
        <v>29</v>
      </c>
      <c r="H733" s="3">
        <v>239.1</v>
      </c>
      <c r="I733" s="3">
        <v>137.99</v>
      </c>
      <c r="J733" s="3">
        <f t="shared" si="33"/>
        <v>6933.9</v>
      </c>
      <c r="K733" s="3">
        <f t="shared" si="34"/>
        <v>4001.71</v>
      </c>
      <c r="L733" s="3">
        <f t="shared" si="35"/>
        <v>2932.1899999999996</v>
      </c>
    </row>
    <row r="734" spans="1:12" x14ac:dyDescent="0.3">
      <c r="A734">
        <v>2270</v>
      </c>
      <c r="B734" s="2">
        <v>45612</v>
      </c>
      <c r="C734" t="s">
        <v>23</v>
      </c>
      <c r="D734" t="s">
        <v>29</v>
      </c>
      <c r="E734" t="s">
        <v>43</v>
      </c>
      <c r="F734" t="s">
        <v>33</v>
      </c>
      <c r="G734">
        <v>13</v>
      </c>
      <c r="H734" s="3">
        <v>408.27</v>
      </c>
      <c r="I734" s="3">
        <v>297.16000000000003</v>
      </c>
      <c r="J734" s="3">
        <f t="shared" si="33"/>
        <v>5307.51</v>
      </c>
      <c r="K734" s="3">
        <f t="shared" si="34"/>
        <v>3863.0800000000004</v>
      </c>
      <c r="L734" s="3">
        <f t="shared" si="35"/>
        <v>1444.4299999999998</v>
      </c>
    </row>
    <row r="735" spans="1:12" x14ac:dyDescent="0.3">
      <c r="A735">
        <v>1037</v>
      </c>
      <c r="B735" s="2">
        <v>45613</v>
      </c>
      <c r="C735" t="s">
        <v>23</v>
      </c>
      <c r="D735" t="s">
        <v>17</v>
      </c>
      <c r="E735" t="s">
        <v>18</v>
      </c>
      <c r="F735" t="s">
        <v>39</v>
      </c>
      <c r="G735">
        <v>17</v>
      </c>
      <c r="H735" s="3">
        <v>97.28</v>
      </c>
      <c r="I735" s="3">
        <v>65.34</v>
      </c>
      <c r="J735" s="3">
        <f t="shared" si="33"/>
        <v>1653.76</v>
      </c>
      <c r="K735" s="3">
        <f t="shared" si="34"/>
        <v>1110.78</v>
      </c>
      <c r="L735" s="3">
        <f t="shared" si="35"/>
        <v>542.98</v>
      </c>
    </row>
    <row r="736" spans="1:12" x14ac:dyDescent="0.3">
      <c r="A736">
        <v>1639</v>
      </c>
      <c r="B736" s="2">
        <v>45613</v>
      </c>
      <c r="C736" t="s">
        <v>16</v>
      </c>
      <c r="D736" t="s">
        <v>17</v>
      </c>
      <c r="E736" t="s">
        <v>27</v>
      </c>
      <c r="F736" t="s">
        <v>19</v>
      </c>
      <c r="G736">
        <v>16</v>
      </c>
      <c r="H736" s="3">
        <v>493.75</v>
      </c>
      <c r="I736" s="3">
        <v>351.42</v>
      </c>
      <c r="J736" s="3">
        <f t="shared" si="33"/>
        <v>7900</v>
      </c>
      <c r="K736" s="3">
        <f t="shared" si="34"/>
        <v>5622.72</v>
      </c>
      <c r="L736" s="3">
        <f t="shared" si="35"/>
        <v>2277.2799999999997</v>
      </c>
    </row>
    <row r="737" spans="1:12" x14ac:dyDescent="0.3">
      <c r="A737">
        <v>1919</v>
      </c>
      <c r="B737" s="2">
        <v>45613</v>
      </c>
      <c r="C737" t="s">
        <v>23</v>
      </c>
      <c r="D737" t="s">
        <v>13</v>
      </c>
      <c r="E737" t="s">
        <v>24</v>
      </c>
      <c r="F737" t="s">
        <v>15</v>
      </c>
      <c r="G737">
        <v>1</v>
      </c>
      <c r="H737" s="3">
        <v>40.6</v>
      </c>
      <c r="I737" s="3">
        <v>21.49</v>
      </c>
      <c r="J737" s="3">
        <f t="shared" si="33"/>
        <v>40.6</v>
      </c>
      <c r="K737" s="3">
        <f t="shared" si="34"/>
        <v>21.49</v>
      </c>
      <c r="L737" s="3">
        <f t="shared" si="35"/>
        <v>19.110000000000003</v>
      </c>
    </row>
    <row r="738" spans="1:12" x14ac:dyDescent="0.3">
      <c r="A738">
        <v>2005</v>
      </c>
      <c r="B738" s="2">
        <v>45613</v>
      </c>
      <c r="C738" t="s">
        <v>26</v>
      </c>
      <c r="D738" t="s">
        <v>20</v>
      </c>
      <c r="E738" t="s">
        <v>34</v>
      </c>
      <c r="F738" t="s">
        <v>15</v>
      </c>
      <c r="G738">
        <v>18</v>
      </c>
      <c r="H738" s="3">
        <v>68.86</v>
      </c>
      <c r="I738" s="3">
        <v>49.43</v>
      </c>
      <c r="J738" s="3">
        <f t="shared" si="33"/>
        <v>1239.48</v>
      </c>
      <c r="K738" s="3">
        <f t="shared" si="34"/>
        <v>889.74</v>
      </c>
      <c r="L738" s="3">
        <f t="shared" si="35"/>
        <v>349.74</v>
      </c>
    </row>
    <row r="739" spans="1:12" x14ac:dyDescent="0.3">
      <c r="A739">
        <v>2606</v>
      </c>
      <c r="B739" s="2">
        <v>45613</v>
      </c>
      <c r="C739" t="s">
        <v>26</v>
      </c>
      <c r="D739" t="s">
        <v>17</v>
      </c>
      <c r="E739" t="s">
        <v>27</v>
      </c>
      <c r="F739" t="s">
        <v>19</v>
      </c>
      <c r="G739">
        <v>39</v>
      </c>
      <c r="H739" s="3">
        <v>630.79999999999995</v>
      </c>
      <c r="I739" s="3">
        <v>372.38</v>
      </c>
      <c r="J739" s="3">
        <f t="shared" si="33"/>
        <v>24601.199999999997</v>
      </c>
      <c r="K739" s="3">
        <f t="shared" si="34"/>
        <v>14522.82</v>
      </c>
      <c r="L739" s="3">
        <f t="shared" si="35"/>
        <v>10078.379999999997</v>
      </c>
    </row>
    <row r="740" spans="1:12" x14ac:dyDescent="0.3">
      <c r="A740">
        <v>1457</v>
      </c>
      <c r="B740" s="2">
        <v>45614</v>
      </c>
      <c r="C740" t="s">
        <v>26</v>
      </c>
      <c r="D740" t="s">
        <v>29</v>
      </c>
      <c r="E740" t="s">
        <v>37</v>
      </c>
      <c r="F740" t="s">
        <v>25</v>
      </c>
      <c r="G740">
        <v>3</v>
      </c>
      <c r="H740" s="3">
        <v>191.3</v>
      </c>
      <c r="I740" s="3">
        <v>107.6</v>
      </c>
      <c r="J740" s="3">
        <f t="shared" si="33"/>
        <v>573.90000000000009</v>
      </c>
      <c r="K740" s="3">
        <f t="shared" si="34"/>
        <v>322.79999999999995</v>
      </c>
      <c r="L740" s="3">
        <f t="shared" si="35"/>
        <v>251.10000000000014</v>
      </c>
    </row>
    <row r="741" spans="1:12" x14ac:dyDescent="0.3">
      <c r="A741">
        <v>2401</v>
      </c>
      <c r="B741" s="2">
        <v>45614</v>
      </c>
      <c r="C741" t="s">
        <v>23</v>
      </c>
      <c r="D741" t="s">
        <v>17</v>
      </c>
      <c r="E741" t="s">
        <v>44</v>
      </c>
      <c r="F741" t="s">
        <v>25</v>
      </c>
      <c r="G741">
        <v>39</v>
      </c>
      <c r="H741" s="3">
        <v>497.23</v>
      </c>
      <c r="I741" s="3">
        <v>317.43</v>
      </c>
      <c r="J741" s="3">
        <f t="shared" si="33"/>
        <v>19391.97</v>
      </c>
      <c r="K741" s="3">
        <f t="shared" si="34"/>
        <v>12379.77</v>
      </c>
      <c r="L741" s="3">
        <f t="shared" si="35"/>
        <v>7012.2000000000007</v>
      </c>
    </row>
    <row r="742" spans="1:12" x14ac:dyDescent="0.3">
      <c r="A742">
        <v>2781</v>
      </c>
      <c r="B742" s="2">
        <v>45614</v>
      </c>
      <c r="C742" t="s">
        <v>12</v>
      </c>
      <c r="D742" t="s">
        <v>17</v>
      </c>
      <c r="E742" t="s">
        <v>44</v>
      </c>
      <c r="F742" t="s">
        <v>15</v>
      </c>
      <c r="G742">
        <v>24</v>
      </c>
      <c r="H742" s="3">
        <v>236.91</v>
      </c>
      <c r="I742" s="3">
        <v>161.97</v>
      </c>
      <c r="J742" s="3">
        <f t="shared" si="33"/>
        <v>5685.84</v>
      </c>
      <c r="K742" s="3">
        <f t="shared" si="34"/>
        <v>3887.2799999999997</v>
      </c>
      <c r="L742" s="3">
        <f t="shared" si="35"/>
        <v>1798.5600000000004</v>
      </c>
    </row>
    <row r="743" spans="1:12" x14ac:dyDescent="0.3">
      <c r="A743">
        <v>1633</v>
      </c>
      <c r="B743" s="2">
        <v>45616</v>
      </c>
      <c r="C743" t="s">
        <v>16</v>
      </c>
      <c r="D743" t="s">
        <v>20</v>
      </c>
      <c r="E743" t="s">
        <v>21</v>
      </c>
      <c r="F743" t="s">
        <v>39</v>
      </c>
      <c r="G743">
        <v>18</v>
      </c>
      <c r="H743" s="3">
        <v>220.39</v>
      </c>
      <c r="I743" s="3">
        <v>155.44999999999999</v>
      </c>
      <c r="J743" s="3">
        <f t="shared" si="33"/>
        <v>3967.0199999999995</v>
      </c>
      <c r="K743" s="3">
        <f t="shared" si="34"/>
        <v>2798.1</v>
      </c>
      <c r="L743" s="3">
        <f t="shared" si="35"/>
        <v>1168.9199999999996</v>
      </c>
    </row>
    <row r="744" spans="1:12" x14ac:dyDescent="0.3">
      <c r="A744">
        <v>1703</v>
      </c>
      <c r="B744" s="2">
        <v>45616</v>
      </c>
      <c r="C744" t="s">
        <v>23</v>
      </c>
      <c r="D744" t="s">
        <v>29</v>
      </c>
      <c r="E744" t="s">
        <v>30</v>
      </c>
      <c r="F744" t="s">
        <v>25</v>
      </c>
      <c r="G744">
        <v>7</v>
      </c>
      <c r="H744" s="3">
        <v>156.72</v>
      </c>
      <c r="I744" s="3">
        <v>84.4</v>
      </c>
      <c r="J744" s="3">
        <f t="shared" si="33"/>
        <v>1097.04</v>
      </c>
      <c r="K744" s="3">
        <f t="shared" si="34"/>
        <v>590.80000000000007</v>
      </c>
      <c r="L744" s="3">
        <f t="shared" si="35"/>
        <v>506.2399999999999</v>
      </c>
    </row>
    <row r="745" spans="1:12" x14ac:dyDescent="0.3">
      <c r="A745">
        <v>2060</v>
      </c>
      <c r="B745" s="2">
        <v>45616</v>
      </c>
      <c r="C745" t="s">
        <v>16</v>
      </c>
      <c r="D745" t="s">
        <v>17</v>
      </c>
      <c r="E745" t="s">
        <v>35</v>
      </c>
      <c r="F745" t="s">
        <v>39</v>
      </c>
      <c r="G745">
        <v>11</v>
      </c>
      <c r="H745" s="3">
        <v>854.21</v>
      </c>
      <c r="I745" s="3">
        <v>546.79999999999995</v>
      </c>
      <c r="J745" s="3">
        <f t="shared" si="33"/>
        <v>9396.3100000000013</v>
      </c>
      <c r="K745" s="3">
        <f t="shared" si="34"/>
        <v>6014.7999999999993</v>
      </c>
      <c r="L745" s="3">
        <f t="shared" si="35"/>
        <v>3381.510000000002</v>
      </c>
    </row>
    <row r="746" spans="1:12" x14ac:dyDescent="0.3">
      <c r="A746">
        <v>2524</v>
      </c>
      <c r="B746" s="2">
        <v>45616</v>
      </c>
      <c r="C746" t="s">
        <v>26</v>
      </c>
      <c r="D746" t="s">
        <v>17</v>
      </c>
      <c r="E746" t="s">
        <v>35</v>
      </c>
      <c r="F746" t="s">
        <v>15</v>
      </c>
      <c r="G746">
        <v>10</v>
      </c>
      <c r="H746" s="3">
        <v>645.59</v>
      </c>
      <c r="I746" s="3">
        <v>450.7</v>
      </c>
      <c r="J746" s="3">
        <f t="shared" si="33"/>
        <v>6455.9000000000005</v>
      </c>
      <c r="K746" s="3">
        <f t="shared" si="34"/>
        <v>4507</v>
      </c>
      <c r="L746" s="3">
        <f t="shared" si="35"/>
        <v>1948.9000000000005</v>
      </c>
    </row>
    <row r="747" spans="1:12" x14ac:dyDescent="0.3">
      <c r="A747">
        <v>1521</v>
      </c>
      <c r="B747" s="2">
        <v>45617</v>
      </c>
      <c r="C747" t="s">
        <v>23</v>
      </c>
      <c r="D747" t="s">
        <v>20</v>
      </c>
      <c r="E747" t="s">
        <v>21</v>
      </c>
      <c r="F747" t="s">
        <v>36</v>
      </c>
      <c r="G747">
        <v>35</v>
      </c>
      <c r="H747" s="3">
        <v>175.52</v>
      </c>
      <c r="I747" s="3">
        <v>124.77</v>
      </c>
      <c r="J747" s="3">
        <f t="shared" si="33"/>
        <v>6143.2000000000007</v>
      </c>
      <c r="K747" s="3">
        <f t="shared" si="34"/>
        <v>4366.95</v>
      </c>
      <c r="L747" s="3">
        <f t="shared" si="35"/>
        <v>1776.2500000000009</v>
      </c>
    </row>
    <row r="748" spans="1:12" x14ac:dyDescent="0.3">
      <c r="A748">
        <v>2726</v>
      </c>
      <c r="B748" s="2">
        <v>45617</v>
      </c>
      <c r="C748" t="s">
        <v>12</v>
      </c>
      <c r="D748" t="s">
        <v>13</v>
      </c>
      <c r="E748" t="s">
        <v>31</v>
      </c>
      <c r="F748" t="s">
        <v>15</v>
      </c>
      <c r="G748">
        <v>12</v>
      </c>
      <c r="H748" s="3">
        <v>54.63</v>
      </c>
      <c r="I748" s="3">
        <v>38.840000000000003</v>
      </c>
      <c r="J748" s="3">
        <f t="shared" si="33"/>
        <v>655.56000000000006</v>
      </c>
      <c r="K748" s="3">
        <f t="shared" si="34"/>
        <v>466.08000000000004</v>
      </c>
      <c r="L748" s="3">
        <f t="shared" si="35"/>
        <v>189.48000000000002</v>
      </c>
    </row>
    <row r="749" spans="1:12" x14ac:dyDescent="0.3">
      <c r="A749">
        <v>1164</v>
      </c>
      <c r="B749" s="2">
        <v>45618</v>
      </c>
      <c r="C749" t="s">
        <v>32</v>
      </c>
      <c r="D749" t="s">
        <v>20</v>
      </c>
      <c r="E749" t="s">
        <v>34</v>
      </c>
      <c r="F749" t="s">
        <v>33</v>
      </c>
      <c r="G749">
        <v>33</v>
      </c>
      <c r="H749" s="3">
        <v>94.89</v>
      </c>
      <c r="I749" s="3">
        <v>53.33</v>
      </c>
      <c r="J749" s="3">
        <f t="shared" si="33"/>
        <v>3131.37</v>
      </c>
      <c r="K749" s="3">
        <f t="shared" si="34"/>
        <v>1759.8899999999999</v>
      </c>
      <c r="L749" s="3">
        <f t="shared" si="35"/>
        <v>1371.48</v>
      </c>
    </row>
    <row r="750" spans="1:12" x14ac:dyDescent="0.3">
      <c r="A750">
        <v>1226</v>
      </c>
      <c r="B750" s="2">
        <v>45618</v>
      </c>
      <c r="C750" t="s">
        <v>32</v>
      </c>
      <c r="D750" t="s">
        <v>20</v>
      </c>
      <c r="E750" t="s">
        <v>34</v>
      </c>
      <c r="F750" t="s">
        <v>33</v>
      </c>
      <c r="G750">
        <v>25</v>
      </c>
      <c r="H750" s="3">
        <v>280.98</v>
      </c>
      <c r="I750" s="3">
        <v>154.52000000000001</v>
      </c>
      <c r="J750" s="3">
        <f t="shared" si="33"/>
        <v>7024.5</v>
      </c>
      <c r="K750" s="3">
        <f t="shared" si="34"/>
        <v>3863.0000000000005</v>
      </c>
      <c r="L750" s="3">
        <f t="shared" si="35"/>
        <v>3161.4999999999995</v>
      </c>
    </row>
    <row r="751" spans="1:12" x14ac:dyDescent="0.3">
      <c r="A751">
        <v>1461</v>
      </c>
      <c r="B751" s="2">
        <v>45618</v>
      </c>
      <c r="C751" t="s">
        <v>16</v>
      </c>
      <c r="D751" t="s">
        <v>13</v>
      </c>
      <c r="E751" t="s">
        <v>31</v>
      </c>
      <c r="F751" t="s">
        <v>39</v>
      </c>
      <c r="G751">
        <v>10</v>
      </c>
      <c r="H751" s="3">
        <v>44.7</v>
      </c>
      <c r="I751" s="3">
        <v>29</v>
      </c>
      <c r="J751" s="3">
        <f t="shared" si="33"/>
        <v>447</v>
      </c>
      <c r="K751" s="3">
        <f t="shared" si="34"/>
        <v>290</v>
      </c>
      <c r="L751" s="3">
        <f t="shared" si="35"/>
        <v>157</v>
      </c>
    </row>
    <row r="752" spans="1:12" x14ac:dyDescent="0.3">
      <c r="A752">
        <v>2613</v>
      </c>
      <c r="B752" s="2">
        <v>45618</v>
      </c>
      <c r="C752" t="s">
        <v>12</v>
      </c>
      <c r="D752" t="s">
        <v>13</v>
      </c>
      <c r="E752" t="s">
        <v>46</v>
      </c>
      <c r="F752" t="s">
        <v>22</v>
      </c>
      <c r="G752">
        <v>28</v>
      </c>
      <c r="H752" s="3">
        <v>51.85</v>
      </c>
      <c r="I752" s="3">
        <v>37.28</v>
      </c>
      <c r="J752" s="3">
        <f t="shared" si="33"/>
        <v>1451.8</v>
      </c>
      <c r="K752" s="3">
        <f t="shared" si="34"/>
        <v>1043.8400000000001</v>
      </c>
      <c r="L752" s="3">
        <f t="shared" si="35"/>
        <v>407.95999999999981</v>
      </c>
    </row>
    <row r="753" spans="1:12" x14ac:dyDescent="0.3">
      <c r="A753">
        <v>1155</v>
      </c>
      <c r="B753" s="2">
        <v>45619</v>
      </c>
      <c r="C753" t="s">
        <v>32</v>
      </c>
      <c r="D753" t="s">
        <v>17</v>
      </c>
      <c r="E753" t="s">
        <v>35</v>
      </c>
      <c r="F753" t="s">
        <v>15</v>
      </c>
      <c r="G753">
        <v>20</v>
      </c>
      <c r="H753" s="3">
        <v>775.14</v>
      </c>
      <c r="I753" s="3">
        <v>541.38</v>
      </c>
      <c r="J753" s="3">
        <f t="shared" si="33"/>
        <v>15502.8</v>
      </c>
      <c r="K753" s="3">
        <f t="shared" si="34"/>
        <v>10827.6</v>
      </c>
      <c r="L753" s="3">
        <f t="shared" si="35"/>
        <v>4675.1999999999989</v>
      </c>
    </row>
    <row r="754" spans="1:12" x14ac:dyDescent="0.3">
      <c r="A754">
        <v>2284</v>
      </c>
      <c r="B754" s="2">
        <v>45619</v>
      </c>
      <c r="C754" t="s">
        <v>32</v>
      </c>
      <c r="D754" t="s">
        <v>20</v>
      </c>
      <c r="E754" t="s">
        <v>21</v>
      </c>
      <c r="F754" t="s">
        <v>22</v>
      </c>
      <c r="G754">
        <v>33</v>
      </c>
      <c r="H754" s="3">
        <v>215.19</v>
      </c>
      <c r="I754" s="3">
        <v>137.19</v>
      </c>
      <c r="J754" s="3">
        <f t="shared" si="33"/>
        <v>7101.2699999999995</v>
      </c>
      <c r="K754" s="3">
        <f t="shared" si="34"/>
        <v>4527.2699999999995</v>
      </c>
      <c r="L754" s="3">
        <f t="shared" si="35"/>
        <v>2574</v>
      </c>
    </row>
    <row r="755" spans="1:12" x14ac:dyDescent="0.3">
      <c r="A755">
        <v>2565</v>
      </c>
      <c r="B755" s="2">
        <v>45619</v>
      </c>
      <c r="C755" t="s">
        <v>32</v>
      </c>
      <c r="D755" t="s">
        <v>13</v>
      </c>
      <c r="E755" t="s">
        <v>45</v>
      </c>
      <c r="F755" t="s">
        <v>39</v>
      </c>
      <c r="G755">
        <v>19</v>
      </c>
      <c r="H755" s="3">
        <v>6.34</v>
      </c>
      <c r="I755" s="3">
        <v>4.5999999999999996</v>
      </c>
      <c r="J755" s="3">
        <f t="shared" si="33"/>
        <v>120.46</v>
      </c>
      <c r="K755" s="3">
        <f t="shared" si="34"/>
        <v>87.399999999999991</v>
      </c>
      <c r="L755" s="3">
        <f t="shared" si="35"/>
        <v>33.06</v>
      </c>
    </row>
    <row r="756" spans="1:12" x14ac:dyDescent="0.3">
      <c r="A756">
        <v>1314</v>
      </c>
      <c r="B756" s="2">
        <v>45620</v>
      </c>
      <c r="C756" t="s">
        <v>32</v>
      </c>
      <c r="D756" t="s">
        <v>20</v>
      </c>
      <c r="E756" t="s">
        <v>42</v>
      </c>
      <c r="F756" t="s">
        <v>39</v>
      </c>
      <c r="G756">
        <v>29</v>
      </c>
      <c r="H756" s="3">
        <v>232.66</v>
      </c>
      <c r="I756" s="3">
        <v>166.77</v>
      </c>
      <c r="J756" s="3">
        <f t="shared" si="33"/>
        <v>6747.14</v>
      </c>
      <c r="K756" s="3">
        <f t="shared" si="34"/>
        <v>4836.33</v>
      </c>
      <c r="L756" s="3">
        <f t="shared" si="35"/>
        <v>1910.8100000000004</v>
      </c>
    </row>
    <row r="757" spans="1:12" x14ac:dyDescent="0.3">
      <c r="A757">
        <v>2161</v>
      </c>
      <c r="B757" s="2">
        <v>45620</v>
      </c>
      <c r="C757" t="s">
        <v>26</v>
      </c>
      <c r="D757" t="s">
        <v>17</v>
      </c>
      <c r="E757" t="s">
        <v>40</v>
      </c>
      <c r="F757" t="s">
        <v>22</v>
      </c>
      <c r="G757">
        <v>31</v>
      </c>
      <c r="H757" s="3">
        <v>88.75</v>
      </c>
      <c r="I757" s="3">
        <v>52.74</v>
      </c>
      <c r="J757" s="3">
        <f t="shared" si="33"/>
        <v>2751.25</v>
      </c>
      <c r="K757" s="3">
        <f t="shared" si="34"/>
        <v>1634.94</v>
      </c>
      <c r="L757" s="3">
        <f t="shared" si="35"/>
        <v>1116.31</v>
      </c>
    </row>
    <row r="758" spans="1:12" x14ac:dyDescent="0.3">
      <c r="A758">
        <v>1073</v>
      </c>
      <c r="B758" s="2">
        <v>45622</v>
      </c>
      <c r="C758" t="s">
        <v>16</v>
      </c>
      <c r="D758" t="s">
        <v>29</v>
      </c>
      <c r="E758" t="s">
        <v>30</v>
      </c>
      <c r="F758" t="s">
        <v>25</v>
      </c>
      <c r="G758">
        <v>15</v>
      </c>
      <c r="H758" s="3">
        <v>321.58</v>
      </c>
      <c r="I758" s="3">
        <v>241.15</v>
      </c>
      <c r="J758" s="3">
        <f t="shared" si="33"/>
        <v>4823.7</v>
      </c>
      <c r="K758" s="3">
        <f t="shared" si="34"/>
        <v>3617.25</v>
      </c>
      <c r="L758" s="3">
        <f t="shared" si="35"/>
        <v>1206.4499999999998</v>
      </c>
    </row>
    <row r="759" spans="1:12" x14ac:dyDescent="0.3">
      <c r="A759">
        <v>1719</v>
      </c>
      <c r="B759" s="2">
        <v>45622</v>
      </c>
      <c r="C759" t="s">
        <v>23</v>
      </c>
      <c r="D759" t="s">
        <v>20</v>
      </c>
      <c r="E759" t="s">
        <v>38</v>
      </c>
      <c r="F759" t="s">
        <v>25</v>
      </c>
      <c r="G759">
        <v>34</v>
      </c>
      <c r="H759" s="3">
        <v>267.45999999999998</v>
      </c>
      <c r="I759" s="3">
        <v>148.74</v>
      </c>
      <c r="J759" s="3">
        <f t="shared" si="33"/>
        <v>9093.64</v>
      </c>
      <c r="K759" s="3">
        <f t="shared" si="34"/>
        <v>5057.16</v>
      </c>
      <c r="L759" s="3">
        <f t="shared" si="35"/>
        <v>4036.4799999999996</v>
      </c>
    </row>
    <row r="760" spans="1:12" x14ac:dyDescent="0.3">
      <c r="A760">
        <v>2150</v>
      </c>
      <c r="B760" s="2">
        <v>45622</v>
      </c>
      <c r="C760" t="s">
        <v>23</v>
      </c>
      <c r="D760" t="s">
        <v>13</v>
      </c>
      <c r="E760" t="s">
        <v>31</v>
      </c>
      <c r="F760" t="s">
        <v>39</v>
      </c>
      <c r="G760">
        <v>38</v>
      </c>
      <c r="H760" s="3">
        <v>21.62</v>
      </c>
      <c r="I760" s="3">
        <v>14.97</v>
      </c>
      <c r="J760" s="3">
        <f t="shared" si="33"/>
        <v>821.56000000000006</v>
      </c>
      <c r="K760" s="3">
        <f t="shared" si="34"/>
        <v>568.86</v>
      </c>
      <c r="L760" s="3">
        <f t="shared" si="35"/>
        <v>252.70000000000005</v>
      </c>
    </row>
    <row r="761" spans="1:12" x14ac:dyDescent="0.3">
      <c r="A761">
        <v>1292</v>
      </c>
      <c r="B761" s="2">
        <v>45623</v>
      </c>
      <c r="C761" t="s">
        <v>26</v>
      </c>
      <c r="D761" t="s">
        <v>17</v>
      </c>
      <c r="E761" t="s">
        <v>44</v>
      </c>
      <c r="F761" t="s">
        <v>19</v>
      </c>
      <c r="G761">
        <v>8</v>
      </c>
      <c r="H761" s="3">
        <v>771.04</v>
      </c>
      <c r="I761" s="3">
        <v>567.09</v>
      </c>
      <c r="J761" s="3">
        <f t="shared" si="33"/>
        <v>6168.32</v>
      </c>
      <c r="K761" s="3">
        <f t="shared" si="34"/>
        <v>4536.72</v>
      </c>
      <c r="L761" s="3">
        <f t="shared" si="35"/>
        <v>1631.5999999999995</v>
      </c>
    </row>
    <row r="762" spans="1:12" x14ac:dyDescent="0.3">
      <c r="A762">
        <v>1540</v>
      </c>
      <c r="B762" s="2">
        <v>45623</v>
      </c>
      <c r="C762" t="s">
        <v>32</v>
      </c>
      <c r="D762" t="s">
        <v>13</v>
      </c>
      <c r="E762" t="s">
        <v>45</v>
      </c>
      <c r="F762" t="s">
        <v>15</v>
      </c>
      <c r="G762">
        <v>4</v>
      </c>
      <c r="H762" s="3">
        <v>21.96</v>
      </c>
      <c r="I762" s="3">
        <v>12.43</v>
      </c>
      <c r="J762" s="3">
        <f t="shared" si="33"/>
        <v>87.84</v>
      </c>
      <c r="K762" s="3">
        <f t="shared" si="34"/>
        <v>49.72</v>
      </c>
      <c r="L762" s="3">
        <f t="shared" si="35"/>
        <v>38.120000000000005</v>
      </c>
    </row>
    <row r="763" spans="1:12" x14ac:dyDescent="0.3">
      <c r="A763">
        <v>1705</v>
      </c>
      <c r="B763" s="2">
        <v>45623</v>
      </c>
      <c r="C763" t="s">
        <v>32</v>
      </c>
      <c r="D763" t="s">
        <v>20</v>
      </c>
      <c r="E763" t="s">
        <v>42</v>
      </c>
      <c r="F763" t="s">
        <v>22</v>
      </c>
      <c r="G763">
        <v>13</v>
      </c>
      <c r="H763" s="3">
        <v>162.41</v>
      </c>
      <c r="I763" s="3">
        <v>101.69</v>
      </c>
      <c r="J763" s="3">
        <f t="shared" si="33"/>
        <v>2111.33</v>
      </c>
      <c r="K763" s="3">
        <f t="shared" si="34"/>
        <v>1321.97</v>
      </c>
      <c r="L763" s="3">
        <f t="shared" si="35"/>
        <v>789.3599999999999</v>
      </c>
    </row>
    <row r="764" spans="1:12" x14ac:dyDescent="0.3">
      <c r="A764">
        <v>2690</v>
      </c>
      <c r="B764" s="2">
        <v>45623</v>
      </c>
      <c r="C764" t="s">
        <v>16</v>
      </c>
      <c r="D764" t="s">
        <v>13</v>
      </c>
      <c r="E764" t="s">
        <v>45</v>
      </c>
      <c r="F764" t="s">
        <v>19</v>
      </c>
      <c r="G764">
        <v>38</v>
      </c>
      <c r="H764" s="3">
        <v>46.95</v>
      </c>
      <c r="I764" s="3">
        <v>26.19</v>
      </c>
      <c r="J764" s="3">
        <f t="shared" si="33"/>
        <v>1784.1000000000001</v>
      </c>
      <c r="K764" s="3">
        <f t="shared" si="34"/>
        <v>995.22</v>
      </c>
      <c r="L764" s="3">
        <f t="shared" si="35"/>
        <v>788.88000000000011</v>
      </c>
    </row>
    <row r="765" spans="1:12" x14ac:dyDescent="0.3">
      <c r="A765">
        <v>1116</v>
      </c>
      <c r="B765" s="2">
        <v>45624</v>
      </c>
      <c r="C765" t="s">
        <v>16</v>
      </c>
      <c r="D765" t="s">
        <v>17</v>
      </c>
      <c r="E765" t="s">
        <v>27</v>
      </c>
      <c r="F765" t="s">
        <v>19</v>
      </c>
      <c r="G765">
        <v>11</v>
      </c>
      <c r="H765" s="3">
        <v>693.73</v>
      </c>
      <c r="I765" s="3">
        <v>420.4</v>
      </c>
      <c r="J765" s="3">
        <f t="shared" si="33"/>
        <v>7631.0300000000007</v>
      </c>
      <c r="K765" s="3">
        <f t="shared" si="34"/>
        <v>4624.3999999999996</v>
      </c>
      <c r="L765" s="3">
        <f t="shared" si="35"/>
        <v>3006.630000000001</v>
      </c>
    </row>
    <row r="766" spans="1:12" x14ac:dyDescent="0.3">
      <c r="A766">
        <v>1552</v>
      </c>
      <c r="B766" s="2">
        <v>45624</v>
      </c>
      <c r="C766" t="s">
        <v>26</v>
      </c>
      <c r="D766" t="s">
        <v>13</v>
      </c>
      <c r="E766" t="s">
        <v>31</v>
      </c>
      <c r="F766" t="s">
        <v>39</v>
      </c>
      <c r="G766">
        <v>3</v>
      </c>
      <c r="H766" s="3">
        <v>22.12</v>
      </c>
      <c r="I766" s="3">
        <v>13.36</v>
      </c>
      <c r="J766" s="3">
        <f t="shared" si="33"/>
        <v>66.36</v>
      </c>
      <c r="K766" s="3">
        <f t="shared" si="34"/>
        <v>40.08</v>
      </c>
      <c r="L766" s="3">
        <f t="shared" si="35"/>
        <v>26.28</v>
      </c>
    </row>
    <row r="767" spans="1:12" x14ac:dyDescent="0.3">
      <c r="A767">
        <v>1218</v>
      </c>
      <c r="B767" s="2">
        <v>45626</v>
      </c>
      <c r="C767" t="s">
        <v>26</v>
      </c>
      <c r="D767" t="s">
        <v>29</v>
      </c>
      <c r="E767" t="s">
        <v>41</v>
      </c>
      <c r="F767" t="s">
        <v>28</v>
      </c>
      <c r="G767">
        <v>15</v>
      </c>
      <c r="H767" s="3">
        <v>261.38</v>
      </c>
      <c r="I767" s="3">
        <v>173.86</v>
      </c>
      <c r="J767" s="3">
        <f t="shared" si="33"/>
        <v>3920.7</v>
      </c>
      <c r="K767" s="3">
        <f t="shared" si="34"/>
        <v>2607.9</v>
      </c>
      <c r="L767" s="3">
        <f t="shared" si="35"/>
        <v>1312.7999999999997</v>
      </c>
    </row>
    <row r="768" spans="1:12" x14ac:dyDescent="0.3">
      <c r="A768">
        <v>2328</v>
      </c>
      <c r="B768" s="2">
        <v>45626</v>
      </c>
      <c r="C768" t="s">
        <v>32</v>
      </c>
      <c r="D768" t="s">
        <v>20</v>
      </c>
      <c r="E768" t="s">
        <v>21</v>
      </c>
      <c r="F768" t="s">
        <v>36</v>
      </c>
      <c r="G768">
        <v>38</v>
      </c>
      <c r="H768" s="3">
        <v>205.08</v>
      </c>
      <c r="I768" s="3">
        <v>131.97</v>
      </c>
      <c r="J768" s="3">
        <f t="shared" si="33"/>
        <v>7793.0400000000009</v>
      </c>
      <c r="K768" s="3">
        <f t="shared" si="34"/>
        <v>5014.8599999999997</v>
      </c>
      <c r="L768" s="3">
        <f t="shared" si="35"/>
        <v>2778.1800000000012</v>
      </c>
    </row>
    <row r="769" spans="1:12" x14ac:dyDescent="0.3">
      <c r="A769">
        <v>2604</v>
      </c>
      <c r="B769" s="2">
        <v>45626</v>
      </c>
      <c r="C769" t="s">
        <v>16</v>
      </c>
      <c r="D769" t="s">
        <v>13</v>
      </c>
      <c r="E769" t="s">
        <v>14</v>
      </c>
      <c r="F769" t="s">
        <v>36</v>
      </c>
      <c r="G769">
        <v>17</v>
      </c>
      <c r="H769" s="3">
        <v>38.14</v>
      </c>
      <c r="I769" s="3">
        <v>21.44</v>
      </c>
      <c r="J769" s="3">
        <f t="shared" si="33"/>
        <v>648.38</v>
      </c>
      <c r="K769" s="3">
        <f t="shared" si="34"/>
        <v>364.48</v>
      </c>
      <c r="L769" s="3">
        <f t="shared" si="35"/>
        <v>283.89999999999998</v>
      </c>
    </row>
    <row r="770" spans="1:12" x14ac:dyDescent="0.3">
      <c r="A770">
        <v>2291</v>
      </c>
      <c r="B770" s="2">
        <v>45627</v>
      </c>
      <c r="C770" t="s">
        <v>23</v>
      </c>
      <c r="D770" t="s">
        <v>20</v>
      </c>
      <c r="E770" t="s">
        <v>34</v>
      </c>
      <c r="F770" t="s">
        <v>28</v>
      </c>
      <c r="G770">
        <v>31</v>
      </c>
      <c r="H770" s="3">
        <v>260.06</v>
      </c>
      <c r="I770" s="3">
        <v>146.19</v>
      </c>
      <c r="J770" s="3">
        <f t="shared" ref="J770:J833" si="36">G770*H770</f>
        <v>8061.86</v>
      </c>
      <c r="K770" s="3">
        <f t="shared" ref="K770:K833" si="37">G770*I770</f>
        <v>4531.8900000000003</v>
      </c>
      <c r="L770" s="3">
        <f t="shared" ref="L770:L833" si="38">J770-K770</f>
        <v>3529.9699999999993</v>
      </c>
    </row>
    <row r="771" spans="1:12" x14ac:dyDescent="0.3">
      <c r="A771">
        <v>1086</v>
      </c>
      <c r="B771" s="2">
        <v>45628</v>
      </c>
      <c r="C771" t="s">
        <v>16</v>
      </c>
      <c r="D771" t="s">
        <v>20</v>
      </c>
      <c r="E771" t="s">
        <v>38</v>
      </c>
      <c r="F771" t="s">
        <v>28</v>
      </c>
      <c r="G771">
        <v>35</v>
      </c>
      <c r="H771" s="3">
        <v>277.86</v>
      </c>
      <c r="I771" s="3">
        <v>208.22</v>
      </c>
      <c r="J771" s="3">
        <f t="shared" si="36"/>
        <v>9725.1</v>
      </c>
      <c r="K771" s="3">
        <f t="shared" si="37"/>
        <v>7287.7</v>
      </c>
      <c r="L771" s="3">
        <f t="shared" si="38"/>
        <v>2437.4000000000005</v>
      </c>
    </row>
    <row r="772" spans="1:12" x14ac:dyDescent="0.3">
      <c r="A772">
        <v>1132</v>
      </c>
      <c r="B772" s="2">
        <v>45628</v>
      </c>
      <c r="C772" t="s">
        <v>12</v>
      </c>
      <c r="D772" t="s">
        <v>17</v>
      </c>
      <c r="E772" t="s">
        <v>18</v>
      </c>
      <c r="F772" t="s">
        <v>33</v>
      </c>
      <c r="G772">
        <v>2</v>
      </c>
      <c r="H772" s="3">
        <v>364.58</v>
      </c>
      <c r="I772" s="3">
        <v>226.61</v>
      </c>
      <c r="J772" s="3">
        <f t="shared" si="36"/>
        <v>729.16</v>
      </c>
      <c r="K772" s="3">
        <f t="shared" si="37"/>
        <v>453.22</v>
      </c>
      <c r="L772" s="3">
        <f t="shared" si="38"/>
        <v>275.93999999999994</v>
      </c>
    </row>
    <row r="773" spans="1:12" x14ac:dyDescent="0.3">
      <c r="A773">
        <v>1712</v>
      </c>
      <c r="B773" s="2">
        <v>45628</v>
      </c>
      <c r="C773" t="s">
        <v>26</v>
      </c>
      <c r="D773" t="s">
        <v>13</v>
      </c>
      <c r="E773" t="s">
        <v>45</v>
      </c>
      <c r="F773" t="s">
        <v>28</v>
      </c>
      <c r="G773">
        <v>1</v>
      </c>
      <c r="H773" s="3">
        <v>41.34</v>
      </c>
      <c r="I773" s="3">
        <v>27.94</v>
      </c>
      <c r="J773" s="3">
        <f t="shared" si="36"/>
        <v>41.34</v>
      </c>
      <c r="K773" s="3">
        <f t="shared" si="37"/>
        <v>27.94</v>
      </c>
      <c r="L773" s="3">
        <f t="shared" si="38"/>
        <v>13.400000000000002</v>
      </c>
    </row>
    <row r="774" spans="1:12" x14ac:dyDescent="0.3">
      <c r="A774">
        <v>1187</v>
      </c>
      <c r="B774" s="2">
        <v>45629</v>
      </c>
      <c r="C774" t="s">
        <v>32</v>
      </c>
      <c r="D774" t="s">
        <v>17</v>
      </c>
      <c r="E774" t="s">
        <v>40</v>
      </c>
      <c r="F774" t="s">
        <v>33</v>
      </c>
      <c r="G774">
        <v>16</v>
      </c>
      <c r="H774" s="3">
        <v>112.18</v>
      </c>
      <c r="I774" s="3">
        <v>70.180000000000007</v>
      </c>
      <c r="J774" s="3">
        <f t="shared" si="36"/>
        <v>1794.88</v>
      </c>
      <c r="K774" s="3">
        <f t="shared" si="37"/>
        <v>1122.8800000000001</v>
      </c>
      <c r="L774" s="3">
        <f t="shared" si="38"/>
        <v>672</v>
      </c>
    </row>
    <row r="775" spans="1:12" x14ac:dyDescent="0.3">
      <c r="A775">
        <v>1225</v>
      </c>
      <c r="B775" s="2">
        <v>45629</v>
      </c>
      <c r="C775" t="s">
        <v>23</v>
      </c>
      <c r="D775" t="s">
        <v>29</v>
      </c>
      <c r="E775" t="s">
        <v>41</v>
      </c>
      <c r="F775" t="s">
        <v>19</v>
      </c>
      <c r="G775">
        <v>20</v>
      </c>
      <c r="H775" s="3">
        <v>164.36</v>
      </c>
      <c r="I775" s="3">
        <v>121.81</v>
      </c>
      <c r="J775" s="3">
        <f t="shared" si="36"/>
        <v>3287.2000000000003</v>
      </c>
      <c r="K775" s="3">
        <f t="shared" si="37"/>
        <v>2436.1999999999998</v>
      </c>
      <c r="L775" s="3">
        <f t="shared" si="38"/>
        <v>851.00000000000045</v>
      </c>
    </row>
    <row r="776" spans="1:12" x14ac:dyDescent="0.3">
      <c r="A776">
        <v>1987</v>
      </c>
      <c r="B776" s="2">
        <v>45629</v>
      </c>
      <c r="C776" t="s">
        <v>26</v>
      </c>
      <c r="D776" t="s">
        <v>13</v>
      </c>
      <c r="E776" t="s">
        <v>14</v>
      </c>
      <c r="F776" t="s">
        <v>25</v>
      </c>
      <c r="G776">
        <v>37</v>
      </c>
      <c r="H776" s="3">
        <v>43.08</v>
      </c>
      <c r="I776" s="3">
        <v>32.11</v>
      </c>
      <c r="J776" s="3">
        <f t="shared" si="36"/>
        <v>1593.96</v>
      </c>
      <c r="K776" s="3">
        <f t="shared" si="37"/>
        <v>1188.07</v>
      </c>
      <c r="L776" s="3">
        <f t="shared" si="38"/>
        <v>405.8900000000001</v>
      </c>
    </row>
    <row r="777" spans="1:12" x14ac:dyDescent="0.3">
      <c r="A777">
        <v>2748</v>
      </c>
      <c r="B777" s="2">
        <v>45629</v>
      </c>
      <c r="C777" t="s">
        <v>23</v>
      </c>
      <c r="D777" t="s">
        <v>29</v>
      </c>
      <c r="E777" t="s">
        <v>30</v>
      </c>
      <c r="F777" t="s">
        <v>25</v>
      </c>
      <c r="G777">
        <v>37</v>
      </c>
      <c r="H777" s="3">
        <v>168.84</v>
      </c>
      <c r="I777" s="3">
        <v>107.51</v>
      </c>
      <c r="J777" s="3">
        <f t="shared" si="36"/>
        <v>6247.08</v>
      </c>
      <c r="K777" s="3">
        <f t="shared" si="37"/>
        <v>3977.8700000000003</v>
      </c>
      <c r="L777" s="3">
        <f t="shared" si="38"/>
        <v>2269.2099999999996</v>
      </c>
    </row>
    <row r="778" spans="1:12" x14ac:dyDescent="0.3">
      <c r="A778">
        <v>1390</v>
      </c>
      <c r="B778" s="2">
        <v>45630</v>
      </c>
      <c r="C778" t="s">
        <v>26</v>
      </c>
      <c r="D778" t="s">
        <v>20</v>
      </c>
      <c r="E778" t="s">
        <v>21</v>
      </c>
      <c r="F778" t="s">
        <v>28</v>
      </c>
      <c r="G778">
        <v>14</v>
      </c>
      <c r="H778" s="3">
        <v>88.23</v>
      </c>
      <c r="I778" s="3">
        <v>46.94</v>
      </c>
      <c r="J778" s="3">
        <f t="shared" si="36"/>
        <v>1235.22</v>
      </c>
      <c r="K778" s="3">
        <f t="shared" si="37"/>
        <v>657.16</v>
      </c>
      <c r="L778" s="3">
        <f t="shared" si="38"/>
        <v>578.06000000000006</v>
      </c>
    </row>
    <row r="779" spans="1:12" x14ac:dyDescent="0.3">
      <c r="A779">
        <v>1751</v>
      </c>
      <c r="B779" s="2">
        <v>45630</v>
      </c>
      <c r="C779" t="s">
        <v>16</v>
      </c>
      <c r="D779" t="s">
        <v>20</v>
      </c>
      <c r="E779" t="s">
        <v>21</v>
      </c>
      <c r="F779" t="s">
        <v>39</v>
      </c>
      <c r="G779">
        <v>26</v>
      </c>
      <c r="H779" s="3">
        <v>112.08</v>
      </c>
      <c r="I779" s="3">
        <v>82.99</v>
      </c>
      <c r="J779" s="3">
        <f t="shared" si="36"/>
        <v>2914.08</v>
      </c>
      <c r="K779" s="3">
        <f t="shared" si="37"/>
        <v>2157.7399999999998</v>
      </c>
      <c r="L779" s="3">
        <f t="shared" si="38"/>
        <v>756.34000000000015</v>
      </c>
    </row>
    <row r="780" spans="1:12" x14ac:dyDescent="0.3">
      <c r="A780">
        <v>2576</v>
      </c>
      <c r="B780" s="2">
        <v>45630</v>
      </c>
      <c r="C780" t="s">
        <v>16</v>
      </c>
      <c r="D780" t="s">
        <v>17</v>
      </c>
      <c r="E780" t="s">
        <v>27</v>
      </c>
      <c r="F780" t="s">
        <v>25</v>
      </c>
      <c r="G780">
        <v>4</v>
      </c>
      <c r="H780" s="3">
        <v>435.42</v>
      </c>
      <c r="I780" s="3">
        <v>221.78</v>
      </c>
      <c r="J780" s="3">
        <f t="shared" si="36"/>
        <v>1741.68</v>
      </c>
      <c r="K780" s="3">
        <f t="shared" si="37"/>
        <v>887.12</v>
      </c>
      <c r="L780" s="3">
        <f t="shared" si="38"/>
        <v>854.56000000000006</v>
      </c>
    </row>
    <row r="781" spans="1:12" x14ac:dyDescent="0.3">
      <c r="A781">
        <v>2687</v>
      </c>
      <c r="B781" s="2">
        <v>45630</v>
      </c>
      <c r="C781" t="s">
        <v>26</v>
      </c>
      <c r="D781" t="s">
        <v>17</v>
      </c>
      <c r="E781" t="s">
        <v>27</v>
      </c>
      <c r="F781" t="s">
        <v>22</v>
      </c>
      <c r="G781">
        <v>37</v>
      </c>
      <c r="H781" s="3">
        <v>93.46</v>
      </c>
      <c r="I781" s="3">
        <v>55.05</v>
      </c>
      <c r="J781" s="3">
        <f t="shared" si="36"/>
        <v>3458.02</v>
      </c>
      <c r="K781" s="3">
        <f t="shared" si="37"/>
        <v>2036.85</v>
      </c>
      <c r="L781" s="3">
        <f t="shared" si="38"/>
        <v>1421.17</v>
      </c>
    </row>
    <row r="782" spans="1:12" x14ac:dyDescent="0.3">
      <c r="A782">
        <v>1283</v>
      </c>
      <c r="B782" s="2">
        <v>45631</v>
      </c>
      <c r="C782" t="s">
        <v>26</v>
      </c>
      <c r="D782" t="s">
        <v>17</v>
      </c>
      <c r="E782" t="s">
        <v>18</v>
      </c>
      <c r="F782" t="s">
        <v>22</v>
      </c>
      <c r="G782">
        <v>11</v>
      </c>
      <c r="H782" s="3">
        <v>836.27</v>
      </c>
      <c r="I782" s="3">
        <v>498.15</v>
      </c>
      <c r="J782" s="3">
        <f t="shared" si="36"/>
        <v>9198.9699999999993</v>
      </c>
      <c r="K782" s="3">
        <f t="shared" si="37"/>
        <v>5479.65</v>
      </c>
      <c r="L782" s="3">
        <f t="shared" si="38"/>
        <v>3719.3199999999997</v>
      </c>
    </row>
    <row r="783" spans="1:12" x14ac:dyDescent="0.3">
      <c r="A783">
        <v>1367</v>
      </c>
      <c r="B783" s="2">
        <v>45631</v>
      </c>
      <c r="C783" t="s">
        <v>32</v>
      </c>
      <c r="D783" t="s">
        <v>29</v>
      </c>
      <c r="E783" t="s">
        <v>37</v>
      </c>
      <c r="F783" t="s">
        <v>28</v>
      </c>
      <c r="G783">
        <v>36</v>
      </c>
      <c r="H783" s="3">
        <v>83.7</v>
      </c>
      <c r="I783" s="3">
        <v>51.18</v>
      </c>
      <c r="J783" s="3">
        <f t="shared" si="36"/>
        <v>3013.2000000000003</v>
      </c>
      <c r="K783" s="3">
        <f t="shared" si="37"/>
        <v>1842.48</v>
      </c>
      <c r="L783" s="3">
        <f t="shared" si="38"/>
        <v>1170.7200000000003</v>
      </c>
    </row>
    <row r="784" spans="1:12" x14ac:dyDescent="0.3">
      <c r="A784">
        <v>1775</v>
      </c>
      <c r="B784" s="2">
        <v>45631</v>
      </c>
      <c r="C784" t="s">
        <v>32</v>
      </c>
      <c r="D784" t="s">
        <v>13</v>
      </c>
      <c r="E784" t="s">
        <v>24</v>
      </c>
      <c r="F784" t="s">
        <v>22</v>
      </c>
      <c r="G784">
        <v>16</v>
      </c>
      <c r="H784" s="3">
        <v>42.69</v>
      </c>
      <c r="I784" s="3">
        <v>26.91</v>
      </c>
      <c r="J784" s="3">
        <f t="shared" si="36"/>
        <v>683.04</v>
      </c>
      <c r="K784" s="3">
        <f t="shared" si="37"/>
        <v>430.56</v>
      </c>
      <c r="L784" s="3">
        <f t="shared" si="38"/>
        <v>252.47999999999996</v>
      </c>
    </row>
    <row r="785" spans="1:12" x14ac:dyDescent="0.3">
      <c r="A785">
        <v>1204</v>
      </c>
      <c r="B785" s="2">
        <v>45632</v>
      </c>
      <c r="C785" t="s">
        <v>32</v>
      </c>
      <c r="D785" t="s">
        <v>17</v>
      </c>
      <c r="E785" t="s">
        <v>44</v>
      </c>
      <c r="F785" t="s">
        <v>39</v>
      </c>
      <c r="G785">
        <v>8</v>
      </c>
      <c r="H785" s="3">
        <v>687.38</v>
      </c>
      <c r="I785" s="3">
        <v>464.63</v>
      </c>
      <c r="J785" s="3">
        <f t="shared" si="36"/>
        <v>5499.04</v>
      </c>
      <c r="K785" s="3">
        <f t="shared" si="37"/>
        <v>3717.04</v>
      </c>
      <c r="L785" s="3">
        <f t="shared" si="38"/>
        <v>1782</v>
      </c>
    </row>
    <row r="786" spans="1:12" x14ac:dyDescent="0.3">
      <c r="A786">
        <v>2695</v>
      </c>
      <c r="B786" s="2">
        <v>45632</v>
      </c>
      <c r="C786" t="s">
        <v>16</v>
      </c>
      <c r="D786" t="s">
        <v>17</v>
      </c>
      <c r="E786" t="s">
        <v>35</v>
      </c>
      <c r="F786" t="s">
        <v>33</v>
      </c>
      <c r="G786">
        <v>37</v>
      </c>
      <c r="H786" s="3">
        <v>689.68</v>
      </c>
      <c r="I786" s="3">
        <v>361.08</v>
      </c>
      <c r="J786" s="3">
        <f t="shared" si="36"/>
        <v>25518.16</v>
      </c>
      <c r="K786" s="3">
        <f t="shared" si="37"/>
        <v>13359.96</v>
      </c>
      <c r="L786" s="3">
        <f t="shared" si="38"/>
        <v>12158.2</v>
      </c>
    </row>
    <row r="787" spans="1:12" x14ac:dyDescent="0.3">
      <c r="A787">
        <v>1123</v>
      </c>
      <c r="B787" s="2">
        <v>45633</v>
      </c>
      <c r="C787" t="s">
        <v>12</v>
      </c>
      <c r="D787" t="s">
        <v>17</v>
      </c>
      <c r="E787" t="s">
        <v>35</v>
      </c>
      <c r="F787" t="s">
        <v>25</v>
      </c>
      <c r="G787">
        <v>34</v>
      </c>
      <c r="H787" s="3">
        <v>488.36</v>
      </c>
      <c r="I787" s="3">
        <v>344.17</v>
      </c>
      <c r="J787" s="3">
        <f t="shared" si="36"/>
        <v>16604.240000000002</v>
      </c>
      <c r="K787" s="3">
        <f t="shared" si="37"/>
        <v>11701.78</v>
      </c>
      <c r="L787" s="3">
        <f t="shared" si="38"/>
        <v>4902.4600000000009</v>
      </c>
    </row>
    <row r="788" spans="1:12" x14ac:dyDescent="0.3">
      <c r="A788">
        <v>1781</v>
      </c>
      <c r="B788" s="2">
        <v>45633</v>
      </c>
      <c r="C788" t="s">
        <v>12</v>
      </c>
      <c r="D788" t="s">
        <v>20</v>
      </c>
      <c r="E788" t="s">
        <v>34</v>
      </c>
      <c r="F788" t="s">
        <v>19</v>
      </c>
      <c r="G788">
        <v>13</v>
      </c>
      <c r="H788" s="3">
        <v>124.79</v>
      </c>
      <c r="I788" s="3">
        <v>75.02</v>
      </c>
      <c r="J788" s="3">
        <f t="shared" si="36"/>
        <v>1622.27</v>
      </c>
      <c r="K788" s="3">
        <f t="shared" si="37"/>
        <v>975.26</v>
      </c>
      <c r="L788" s="3">
        <f t="shared" si="38"/>
        <v>647.01</v>
      </c>
    </row>
    <row r="789" spans="1:12" x14ac:dyDescent="0.3">
      <c r="A789">
        <v>2137</v>
      </c>
      <c r="B789" s="2">
        <v>45633</v>
      </c>
      <c r="C789" t="s">
        <v>32</v>
      </c>
      <c r="D789" t="s">
        <v>29</v>
      </c>
      <c r="E789" t="s">
        <v>41</v>
      </c>
      <c r="F789" t="s">
        <v>15</v>
      </c>
      <c r="G789">
        <v>28</v>
      </c>
      <c r="H789" s="3">
        <v>82.38</v>
      </c>
      <c r="I789" s="3">
        <v>42.33</v>
      </c>
      <c r="J789" s="3">
        <f t="shared" si="36"/>
        <v>2306.64</v>
      </c>
      <c r="K789" s="3">
        <f t="shared" si="37"/>
        <v>1185.24</v>
      </c>
      <c r="L789" s="3">
        <f t="shared" si="38"/>
        <v>1121.3999999999999</v>
      </c>
    </row>
    <row r="790" spans="1:12" x14ac:dyDescent="0.3">
      <c r="A790">
        <v>2147</v>
      </c>
      <c r="B790" s="2">
        <v>45633</v>
      </c>
      <c r="C790" t="s">
        <v>26</v>
      </c>
      <c r="D790" t="s">
        <v>17</v>
      </c>
      <c r="E790" t="s">
        <v>35</v>
      </c>
      <c r="F790" t="s">
        <v>25</v>
      </c>
      <c r="G790">
        <v>36</v>
      </c>
      <c r="H790" s="3">
        <v>715.69</v>
      </c>
      <c r="I790" s="3">
        <v>373.54</v>
      </c>
      <c r="J790" s="3">
        <f t="shared" si="36"/>
        <v>25764.840000000004</v>
      </c>
      <c r="K790" s="3">
        <f t="shared" si="37"/>
        <v>13447.44</v>
      </c>
      <c r="L790" s="3">
        <f t="shared" si="38"/>
        <v>12317.400000000003</v>
      </c>
    </row>
    <row r="791" spans="1:12" x14ac:dyDescent="0.3">
      <c r="A791">
        <v>1422</v>
      </c>
      <c r="B791" s="2">
        <v>45634</v>
      </c>
      <c r="C791" t="s">
        <v>32</v>
      </c>
      <c r="D791" t="s">
        <v>29</v>
      </c>
      <c r="E791" t="s">
        <v>43</v>
      </c>
      <c r="F791" t="s">
        <v>15</v>
      </c>
      <c r="G791">
        <v>23</v>
      </c>
      <c r="H791" s="3">
        <v>444.29</v>
      </c>
      <c r="I791" s="3">
        <v>244.24</v>
      </c>
      <c r="J791" s="3">
        <f t="shared" si="36"/>
        <v>10218.67</v>
      </c>
      <c r="K791" s="3">
        <f t="shared" si="37"/>
        <v>5617.52</v>
      </c>
      <c r="L791" s="3">
        <f t="shared" si="38"/>
        <v>4601.1499999999996</v>
      </c>
    </row>
    <row r="792" spans="1:12" x14ac:dyDescent="0.3">
      <c r="A792">
        <v>1949</v>
      </c>
      <c r="B792" s="2">
        <v>45634</v>
      </c>
      <c r="C792" t="s">
        <v>26</v>
      </c>
      <c r="D792" t="s">
        <v>13</v>
      </c>
      <c r="E792" t="s">
        <v>31</v>
      </c>
      <c r="F792" t="s">
        <v>25</v>
      </c>
      <c r="G792">
        <v>11</v>
      </c>
      <c r="H792" s="3">
        <v>51.63</v>
      </c>
      <c r="I792" s="3">
        <v>33.340000000000003</v>
      </c>
      <c r="J792" s="3">
        <f t="shared" si="36"/>
        <v>567.93000000000006</v>
      </c>
      <c r="K792" s="3">
        <f t="shared" si="37"/>
        <v>366.74</v>
      </c>
      <c r="L792" s="3">
        <f t="shared" si="38"/>
        <v>201.19000000000005</v>
      </c>
    </row>
    <row r="793" spans="1:12" x14ac:dyDescent="0.3">
      <c r="A793">
        <v>1267</v>
      </c>
      <c r="B793" s="2">
        <v>45635</v>
      </c>
      <c r="C793" t="s">
        <v>23</v>
      </c>
      <c r="D793" t="s">
        <v>29</v>
      </c>
      <c r="E793" t="s">
        <v>30</v>
      </c>
      <c r="F793" t="s">
        <v>15</v>
      </c>
      <c r="G793">
        <v>37</v>
      </c>
      <c r="H793" s="3">
        <v>294.52999999999997</v>
      </c>
      <c r="I793" s="3">
        <v>210.54</v>
      </c>
      <c r="J793" s="3">
        <f t="shared" si="36"/>
        <v>10897.609999999999</v>
      </c>
      <c r="K793" s="3">
        <f t="shared" si="37"/>
        <v>7789.98</v>
      </c>
      <c r="L793" s="3">
        <f t="shared" si="38"/>
        <v>3107.6299999999992</v>
      </c>
    </row>
    <row r="794" spans="1:12" x14ac:dyDescent="0.3">
      <c r="A794">
        <v>1274</v>
      </c>
      <c r="B794" s="2">
        <v>45635</v>
      </c>
      <c r="C794" t="s">
        <v>26</v>
      </c>
      <c r="D794" t="s">
        <v>20</v>
      </c>
      <c r="E794" t="s">
        <v>38</v>
      </c>
      <c r="F794" t="s">
        <v>25</v>
      </c>
      <c r="G794">
        <v>14</v>
      </c>
      <c r="H794" s="3">
        <v>36.770000000000003</v>
      </c>
      <c r="I794" s="3">
        <v>27.55</v>
      </c>
      <c r="J794" s="3">
        <f t="shared" si="36"/>
        <v>514.78000000000009</v>
      </c>
      <c r="K794" s="3">
        <f t="shared" si="37"/>
        <v>385.7</v>
      </c>
      <c r="L794" s="3">
        <f t="shared" si="38"/>
        <v>129.0800000000001</v>
      </c>
    </row>
    <row r="795" spans="1:12" x14ac:dyDescent="0.3">
      <c r="A795">
        <v>1577</v>
      </c>
      <c r="B795" s="2">
        <v>45635</v>
      </c>
      <c r="C795" t="s">
        <v>23</v>
      </c>
      <c r="D795" t="s">
        <v>29</v>
      </c>
      <c r="E795" t="s">
        <v>43</v>
      </c>
      <c r="F795" t="s">
        <v>28</v>
      </c>
      <c r="G795">
        <v>38</v>
      </c>
      <c r="H795" s="3">
        <v>310.36</v>
      </c>
      <c r="I795" s="3">
        <v>199.19</v>
      </c>
      <c r="J795" s="3">
        <f t="shared" si="36"/>
        <v>11793.68</v>
      </c>
      <c r="K795" s="3">
        <f t="shared" si="37"/>
        <v>7569.22</v>
      </c>
      <c r="L795" s="3">
        <f t="shared" si="38"/>
        <v>4224.46</v>
      </c>
    </row>
    <row r="796" spans="1:12" x14ac:dyDescent="0.3">
      <c r="A796">
        <v>1731</v>
      </c>
      <c r="B796" s="2">
        <v>45635</v>
      </c>
      <c r="C796" t="s">
        <v>16</v>
      </c>
      <c r="D796" t="s">
        <v>29</v>
      </c>
      <c r="E796" t="s">
        <v>41</v>
      </c>
      <c r="F796" t="s">
        <v>33</v>
      </c>
      <c r="G796">
        <v>11</v>
      </c>
      <c r="H796" s="3">
        <v>462.43</v>
      </c>
      <c r="I796" s="3">
        <v>337.57</v>
      </c>
      <c r="J796" s="3">
        <f t="shared" si="36"/>
        <v>5086.7300000000005</v>
      </c>
      <c r="K796" s="3">
        <f t="shared" si="37"/>
        <v>3713.27</v>
      </c>
      <c r="L796" s="3">
        <f t="shared" si="38"/>
        <v>1373.4600000000005</v>
      </c>
    </row>
    <row r="797" spans="1:12" x14ac:dyDescent="0.3">
      <c r="A797">
        <v>2703</v>
      </c>
      <c r="B797" s="2">
        <v>45635</v>
      </c>
      <c r="C797" t="s">
        <v>26</v>
      </c>
      <c r="D797" t="s">
        <v>20</v>
      </c>
      <c r="E797" t="s">
        <v>38</v>
      </c>
      <c r="F797" t="s">
        <v>36</v>
      </c>
      <c r="G797">
        <v>13</v>
      </c>
      <c r="H797" s="3">
        <v>220.27</v>
      </c>
      <c r="I797" s="3">
        <v>142.88999999999999</v>
      </c>
      <c r="J797" s="3">
        <f t="shared" si="36"/>
        <v>2863.51</v>
      </c>
      <c r="K797" s="3">
        <f t="shared" si="37"/>
        <v>1857.5699999999997</v>
      </c>
      <c r="L797" s="3">
        <f t="shared" si="38"/>
        <v>1005.9400000000005</v>
      </c>
    </row>
    <row r="798" spans="1:12" x14ac:dyDescent="0.3">
      <c r="A798">
        <v>1059</v>
      </c>
      <c r="B798" s="2">
        <v>45636</v>
      </c>
      <c r="C798" t="s">
        <v>26</v>
      </c>
      <c r="D798" t="s">
        <v>20</v>
      </c>
      <c r="E798" t="s">
        <v>38</v>
      </c>
      <c r="F798" t="s">
        <v>19</v>
      </c>
      <c r="G798">
        <v>32</v>
      </c>
      <c r="H798" s="3">
        <v>266.49</v>
      </c>
      <c r="I798" s="3">
        <v>179.96</v>
      </c>
      <c r="J798" s="3">
        <f t="shared" si="36"/>
        <v>8527.68</v>
      </c>
      <c r="K798" s="3">
        <f t="shared" si="37"/>
        <v>5758.72</v>
      </c>
      <c r="L798" s="3">
        <f t="shared" si="38"/>
        <v>2768.96</v>
      </c>
    </row>
    <row r="799" spans="1:12" x14ac:dyDescent="0.3">
      <c r="A799">
        <v>1743</v>
      </c>
      <c r="B799" s="2">
        <v>45636</v>
      </c>
      <c r="C799" t="s">
        <v>23</v>
      </c>
      <c r="D799" t="s">
        <v>20</v>
      </c>
      <c r="E799" t="s">
        <v>21</v>
      </c>
      <c r="F799" t="s">
        <v>36</v>
      </c>
      <c r="G799">
        <v>27</v>
      </c>
      <c r="H799" s="3">
        <v>26.92</v>
      </c>
      <c r="I799" s="3">
        <v>16.43</v>
      </c>
      <c r="J799" s="3">
        <f t="shared" si="36"/>
        <v>726.84</v>
      </c>
      <c r="K799" s="3">
        <f t="shared" si="37"/>
        <v>443.61</v>
      </c>
      <c r="L799" s="3">
        <f t="shared" si="38"/>
        <v>283.23</v>
      </c>
    </row>
    <row r="800" spans="1:12" x14ac:dyDescent="0.3">
      <c r="A800">
        <v>1313</v>
      </c>
      <c r="B800" s="2">
        <v>45637</v>
      </c>
      <c r="C800" t="s">
        <v>32</v>
      </c>
      <c r="D800" t="s">
        <v>29</v>
      </c>
      <c r="E800" t="s">
        <v>43</v>
      </c>
      <c r="F800" t="s">
        <v>28</v>
      </c>
      <c r="G800">
        <v>7</v>
      </c>
      <c r="H800" s="3">
        <v>206.2</v>
      </c>
      <c r="I800" s="3">
        <v>143</v>
      </c>
      <c r="J800" s="3">
        <f t="shared" si="36"/>
        <v>1443.3999999999999</v>
      </c>
      <c r="K800" s="3">
        <f t="shared" si="37"/>
        <v>1001</v>
      </c>
      <c r="L800" s="3">
        <f t="shared" si="38"/>
        <v>442.39999999999986</v>
      </c>
    </row>
    <row r="801" spans="1:12" x14ac:dyDescent="0.3">
      <c r="A801">
        <v>1880</v>
      </c>
      <c r="B801" s="2">
        <v>45637</v>
      </c>
      <c r="C801" t="s">
        <v>23</v>
      </c>
      <c r="D801" t="s">
        <v>17</v>
      </c>
      <c r="E801" t="s">
        <v>40</v>
      </c>
      <c r="F801" t="s">
        <v>25</v>
      </c>
      <c r="G801">
        <v>10</v>
      </c>
      <c r="H801" s="3">
        <v>110.4</v>
      </c>
      <c r="I801" s="3">
        <v>59.63</v>
      </c>
      <c r="J801" s="3">
        <f t="shared" si="36"/>
        <v>1104</v>
      </c>
      <c r="K801" s="3">
        <f t="shared" si="37"/>
        <v>596.30000000000007</v>
      </c>
      <c r="L801" s="3">
        <f t="shared" si="38"/>
        <v>507.69999999999993</v>
      </c>
    </row>
    <row r="802" spans="1:12" x14ac:dyDescent="0.3">
      <c r="A802">
        <v>2468</v>
      </c>
      <c r="B802" s="2">
        <v>45637</v>
      </c>
      <c r="C802" t="s">
        <v>12</v>
      </c>
      <c r="D802" t="s">
        <v>20</v>
      </c>
      <c r="E802" t="s">
        <v>21</v>
      </c>
      <c r="F802" t="s">
        <v>36</v>
      </c>
      <c r="G802">
        <v>28</v>
      </c>
      <c r="H802" s="3">
        <v>46.88</v>
      </c>
      <c r="I802" s="3">
        <v>32.19</v>
      </c>
      <c r="J802" s="3">
        <f t="shared" si="36"/>
        <v>1312.64</v>
      </c>
      <c r="K802" s="3">
        <f t="shared" si="37"/>
        <v>901.31999999999994</v>
      </c>
      <c r="L802" s="3">
        <f t="shared" si="38"/>
        <v>411.32000000000016</v>
      </c>
    </row>
    <row r="803" spans="1:12" x14ac:dyDescent="0.3">
      <c r="A803">
        <v>1678</v>
      </c>
      <c r="B803" s="2">
        <v>45640</v>
      </c>
      <c r="C803" t="s">
        <v>32</v>
      </c>
      <c r="D803" t="s">
        <v>17</v>
      </c>
      <c r="E803" t="s">
        <v>35</v>
      </c>
      <c r="F803" t="s">
        <v>15</v>
      </c>
      <c r="G803">
        <v>10</v>
      </c>
      <c r="H803" s="3">
        <v>776.86</v>
      </c>
      <c r="I803" s="3">
        <v>398.22</v>
      </c>
      <c r="J803" s="3">
        <f t="shared" si="36"/>
        <v>7768.6</v>
      </c>
      <c r="K803" s="3">
        <f t="shared" si="37"/>
        <v>3982.2000000000003</v>
      </c>
      <c r="L803" s="3">
        <f t="shared" si="38"/>
        <v>3786.4</v>
      </c>
    </row>
    <row r="804" spans="1:12" x14ac:dyDescent="0.3">
      <c r="A804">
        <v>2471</v>
      </c>
      <c r="B804" s="2">
        <v>45640</v>
      </c>
      <c r="C804" t="s">
        <v>32</v>
      </c>
      <c r="D804" t="s">
        <v>17</v>
      </c>
      <c r="E804" t="s">
        <v>18</v>
      </c>
      <c r="F804" t="s">
        <v>19</v>
      </c>
      <c r="G804">
        <v>28</v>
      </c>
      <c r="H804" s="3">
        <v>540.51</v>
      </c>
      <c r="I804" s="3">
        <v>346.11</v>
      </c>
      <c r="J804" s="3">
        <f t="shared" si="36"/>
        <v>15134.279999999999</v>
      </c>
      <c r="K804" s="3">
        <f t="shared" si="37"/>
        <v>9691.08</v>
      </c>
      <c r="L804" s="3">
        <f t="shared" si="38"/>
        <v>5443.1999999999989</v>
      </c>
    </row>
    <row r="805" spans="1:12" x14ac:dyDescent="0.3">
      <c r="A805">
        <v>1617</v>
      </c>
      <c r="B805" s="2">
        <v>45641</v>
      </c>
      <c r="C805" t="s">
        <v>23</v>
      </c>
      <c r="D805" t="s">
        <v>17</v>
      </c>
      <c r="E805" t="s">
        <v>18</v>
      </c>
      <c r="F805" t="s">
        <v>33</v>
      </c>
      <c r="G805">
        <v>23</v>
      </c>
      <c r="H805" s="3">
        <v>406.02</v>
      </c>
      <c r="I805" s="3">
        <v>234.69</v>
      </c>
      <c r="J805" s="3">
        <f t="shared" si="36"/>
        <v>9338.4599999999991</v>
      </c>
      <c r="K805" s="3">
        <f t="shared" si="37"/>
        <v>5397.87</v>
      </c>
      <c r="L805" s="3">
        <f t="shared" si="38"/>
        <v>3940.5899999999992</v>
      </c>
    </row>
    <row r="806" spans="1:12" x14ac:dyDescent="0.3">
      <c r="A806">
        <v>1666</v>
      </c>
      <c r="B806" s="2">
        <v>45641</v>
      </c>
      <c r="C806" t="s">
        <v>12</v>
      </c>
      <c r="D806" t="s">
        <v>13</v>
      </c>
      <c r="E806" t="s">
        <v>24</v>
      </c>
      <c r="F806" t="s">
        <v>25</v>
      </c>
      <c r="G806">
        <v>39</v>
      </c>
      <c r="H806" s="3">
        <v>41.38</v>
      </c>
      <c r="I806" s="3">
        <v>24.78</v>
      </c>
      <c r="J806" s="3">
        <f t="shared" si="36"/>
        <v>1613.8200000000002</v>
      </c>
      <c r="K806" s="3">
        <f t="shared" si="37"/>
        <v>966.42000000000007</v>
      </c>
      <c r="L806" s="3">
        <f t="shared" si="38"/>
        <v>647.40000000000009</v>
      </c>
    </row>
    <row r="807" spans="1:12" x14ac:dyDescent="0.3">
      <c r="A807">
        <v>2180</v>
      </c>
      <c r="B807" s="2">
        <v>45641</v>
      </c>
      <c r="C807" t="s">
        <v>32</v>
      </c>
      <c r="D807" t="s">
        <v>17</v>
      </c>
      <c r="E807" t="s">
        <v>18</v>
      </c>
      <c r="F807" t="s">
        <v>15</v>
      </c>
      <c r="G807">
        <v>8</v>
      </c>
      <c r="H807" s="3">
        <v>586.59</v>
      </c>
      <c r="I807" s="3">
        <v>420.22</v>
      </c>
      <c r="J807" s="3">
        <f t="shared" si="36"/>
        <v>4692.72</v>
      </c>
      <c r="K807" s="3">
        <f t="shared" si="37"/>
        <v>3361.76</v>
      </c>
      <c r="L807" s="3">
        <f t="shared" si="38"/>
        <v>1330.96</v>
      </c>
    </row>
    <row r="808" spans="1:12" x14ac:dyDescent="0.3">
      <c r="A808">
        <v>1437</v>
      </c>
      <c r="B808" s="2">
        <v>45642</v>
      </c>
      <c r="C808" t="s">
        <v>23</v>
      </c>
      <c r="D808" t="s">
        <v>29</v>
      </c>
      <c r="E808" t="s">
        <v>41</v>
      </c>
      <c r="F808" t="s">
        <v>33</v>
      </c>
      <c r="G808">
        <v>30</v>
      </c>
      <c r="H808" s="3">
        <v>113.69</v>
      </c>
      <c r="I808" s="3">
        <v>61</v>
      </c>
      <c r="J808" s="3">
        <f t="shared" si="36"/>
        <v>3410.7</v>
      </c>
      <c r="K808" s="3">
        <f t="shared" si="37"/>
        <v>1830</v>
      </c>
      <c r="L808" s="3">
        <f t="shared" si="38"/>
        <v>1580.6999999999998</v>
      </c>
    </row>
    <row r="809" spans="1:12" x14ac:dyDescent="0.3">
      <c r="A809">
        <v>1843</v>
      </c>
      <c r="B809" s="2">
        <v>45642</v>
      </c>
      <c r="C809" t="s">
        <v>23</v>
      </c>
      <c r="D809" t="s">
        <v>17</v>
      </c>
      <c r="E809" t="s">
        <v>18</v>
      </c>
      <c r="F809" t="s">
        <v>28</v>
      </c>
      <c r="G809">
        <v>19</v>
      </c>
      <c r="H809" s="3">
        <v>297.07</v>
      </c>
      <c r="I809" s="3">
        <v>202.69</v>
      </c>
      <c r="J809" s="3">
        <f t="shared" si="36"/>
        <v>5644.33</v>
      </c>
      <c r="K809" s="3">
        <f t="shared" si="37"/>
        <v>3851.11</v>
      </c>
      <c r="L809" s="3">
        <f t="shared" si="38"/>
        <v>1793.2199999999998</v>
      </c>
    </row>
    <row r="810" spans="1:12" x14ac:dyDescent="0.3">
      <c r="A810">
        <v>2170</v>
      </c>
      <c r="B810" s="2">
        <v>45642</v>
      </c>
      <c r="C810" t="s">
        <v>16</v>
      </c>
      <c r="D810" t="s">
        <v>29</v>
      </c>
      <c r="E810" t="s">
        <v>30</v>
      </c>
      <c r="F810" t="s">
        <v>33</v>
      </c>
      <c r="G810">
        <v>28</v>
      </c>
      <c r="H810" s="3">
        <v>133.02000000000001</v>
      </c>
      <c r="I810" s="3">
        <v>81.72</v>
      </c>
      <c r="J810" s="3">
        <f t="shared" si="36"/>
        <v>3724.5600000000004</v>
      </c>
      <c r="K810" s="3">
        <f t="shared" si="37"/>
        <v>2288.16</v>
      </c>
      <c r="L810" s="3">
        <f t="shared" si="38"/>
        <v>1436.4000000000005</v>
      </c>
    </row>
    <row r="811" spans="1:12" x14ac:dyDescent="0.3">
      <c r="A811">
        <v>1418</v>
      </c>
      <c r="B811" s="2">
        <v>45643</v>
      </c>
      <c r="C811" t="s">
        <v>32</v>
      </c>
      <c r="D811" t="s">
        <v>13</v>
      </c>
      <c r="E811" t="s">
        <v>14</v>
      </c>
      <c r="F811" t="s">
        <v>36</v>
      </c>
      <c r="G811">
        <v>14</v>
      </c>
      <c r="H811" s="3">
        <v>45.88</v>
      </c>
      <c r="I811" s="3">
        <v>28.11</v>
      </c>
      <c r="J811" s="3">
        <f t="shared" si="36"/>
        <v>642.32000000000005</v>
      </c>
      <c r="K811" s="3">
        <f t="shared" si="37"/>
        <v>393.53999999999996</v>
      </c>
      <c r="L811" s="3">
        <f t="shared" si="38"/>
        <v>248.78000000000009</v>
      </c>
    </row>
    <row r="812" spans="1:12" x14ac:dyDescent="0.3">
      <c r="A812">
        <v>1920</v>
      </c>
      <c r="B812" s="2">
        <v>45643</v>
      </c>
      <c r="C812" t="s">
        <v>32</v>
      </c>
      <c r="D812" t="s">
        <v>20</v>
      </c>
      <c r="E812" t="s">
        <v>42</v>
      </c>
      <c r="F812" t="s">
        <v>19</v>
      </c>
      <c r="G812">
        <v>34</v>
      </c>
      <c r="H812" s="3">
        <v>28.28</v>
      </c>
      <c r="I812" s="3">
        <v>14.3</v>
      </c>
      <c r="J812" s="3">
        <f t="shared" si="36"/>
        <v>961.52</v>
      </c>
      <c r="K812" s="3">
        <f t="shared" si="37"/>
        <v>486.20000000000005</v>
      </c>
      <c r="L812" s="3">
        <f t="shared" si="38"/>
        <v>475.31999999999994</v>
      </c>
    </row>
    <row r="813" spans="1:12" x14ac:dyDescent="0.3">
      <c r="A813">
        <v>2712</v>
      </c>
      <c r="B813" s="2">
        <v>45643</v>
      </c>
      <c r="C813" t="s">
        <v>16</v>
      </c>
      <c r="D813" t="s">
        <v>29</v>
      </c>
      <c r="E813" t="s">
        <v>43</v>
      </c>
      <c r="F813" t="s">
        <v>19</v>
      </c>
      <c r="G813">
        <v>7</v>
      </c>
      <c r="H813" s="3">
        <v>347.22</v>
      </c>
      <c r="I813" s="3">
        <v>219.95</v>
      </c>
      <c r="J813" s="3">
        <f t="shared" si="36"/>
        <v>2430.54</v>
      </c>
      <c r="K813" s="3">
        <f t="shared" si="37"/>
        <v>1539.6499999999999</v>
      </c>
      <c r="L813" s="3">
        <f t="shared" si="38"/>
        <v>890.8900000000001</v>
      </c>
    </row>
    <row r="814" spans="1:12" x14ac:dyDescent="0.3">
      <c r="A814">
        <v>1432</v>
      </c>
      <c r="B814" s="2">
        <v>45644</v>
      </c>
      <c r="C814" t="s">
        <v>32</v>
      </c>
      <c r="D814" t="s">
        <v>20</v>
      </c>
      <c r="E814" t="s">
        <v>42</v>
      </c>
      <c r="F814" t="s">
        <v>28</v>
      </c>
      <c r="G814">
        <v>31</v>
      </c>
      <c r="H814" s="3">
        <v>187.16</v>
      </c>
      <c r="I814" s="3">
        <v>130.86000000000001</v>
      </c>
      <c r="J814" s="3">
        <f t="shared" si="36"/>
        <v>5801.96</v>
      </c>
      <c r="K814" s="3">
        <f t="shared" si="37"/>
        <v>4056.6600000000003</v>
      </c>
      <c r="L814" s="3">
        <f t="shared" si="38"/>
        <v>1745.2999999999997</v>
      </c>
    </row>
    <row r="815" spans="1:12" x14ac:dyDescent="0.3">
      <c r="A815">
        <v>1581</v>
      </c>
      <c r="B815" s="2">
        <v>45644</v>
      </c>
      <c r="C815" t="s">
        <v>12</v>
      </c>
      <c r="D815" t="s">
        <v>29</v>
      </c>
      <c r="E815" t="s">
        <v>41</v>
      </c>
      <c r="F815" t="s">
        <v>19</v>
      </c>
      <c r="G815">
        <v>35</v>
      </c>
      <c r="H815" s="3">
        <v>249.92</v>
      </c>
      <c r="I815" s="3">
        <v>134.04</v>
      </c>
      <c r="J815" s="3">
        <f t="shared" si="36"/>
        <v>8747.1999999999989</v>
      </c>
      <c r="K815" s="3">
        <f t="shared" si="37"/>
        <v>4691.3999999999996</v>
      </c>
      <c r="L815" s="3">
        <f t="shared" si="38"/>
        <v>4055.7999999999993</v>
      </c>
    </row>
    <row r="816" spans="1:12" x14ac:dyDescent="0.3">
      <c r="A816">
        <v>2055</v>
      </c>
      <c r="B816" s="2">
        <v>45645</v>
      </c>
      <c r="C816" t="s">
        <v>26</v>
      </c>
      <c r="D816" t="s">
        <v>13</v>
      </c>
      <c r="E816" t="s">
        <v>31</v>
      </c>
      <c r="F816" t="s">
        <v>15</v>
      </c>
      <c r="G816">
        <v>28</v>
      </c>
      <c r="H816" s="3">
        <v>20.43</v>
      </c>
      <c r="I816" s="3">
        <v>11.52</v>
      </c>
      <c r="J816" s="3">
        <f t="shared" si="36"/>
        <v>572.04</v>
      </c>
      <c r="K816" s="3">
        <f t="shared" si="37"/>
        <v>322.56</v>
      </c>
      <c r="L816" s="3">
        <f t="shared" si="38"/>
        <v>249.47999999999996</v>
      </c>
    </row>
    <row r="817" spans="1:12" x14ac:dyDescent="0.3">
      <c r="A817">
        <v>2104</v>
      </c>
      <c r="B817" s="2">
        <v>45645</v>
      </c>
      <c r="C817" t="s">
        <v>26</v>
      </c>
      <c r="D817" t="s">
        <v>13</v>
      </c>
      <c r="E817" t="s">
        <v>46</v>
      </c>
      <c r="F817" t="s">
        <v>33</v>
      </c>
      <c r="G817">
        <v>20</v>
      </c>
      <c r="H817" s="3">
        <v>20.97</v>
      </c>
      <c r="I817" s="3">
        <v>13.76</v>
      </c>
      <c r="J817" s="3">
        <f t="shared" si="36"/>
        <v>419.4</v>
      </c>
      <c r="K817" s="3">
        <f t="shared" si="37"/>
        <v>275.2</v>
      </c>
      <c r="L817" s="3">
        <f t="shared" si="38"/>
        <v>144.19999999999999</v>
      </c>
    </row>
    <row r="818" spans="1:12" x14ac:dyDescent="0.3">
      <c r="A818">
        <v>2537</v>
      </c>
      <c r="B818" s="2">
        <v>45645</v>
      </c>
      <c r="C818" t="s">
        <v>26</v>
      </c>
      <c r="D818" t="s">
        <v>13</v>
      </c>
      <c r="E818" t="s">
        <v>14</v>
      </c>
      <c r="F818" t="s">
        <v>36</v>
      </c>
      <c r="G818">
        <v>34</v>
      </c>
      <c r="H818" s="3">
        <v>40.909999999999997</v>
      </c>
      <c r="I818" s="3">
        <v>24.04</v>
      </c>
      <c r="J818" s="3">
        <f t="shared" si="36"/>
        <v>1390.9399999999998</v>
      </c>
      <c r="K818" s="3">
        <f t="shared" si="37"/>
        <v>817.36</v>
      </c>
      <c r="L818" s="3">
        <f t="shared" si="38"/>
        <v>573.57999999999981</v>
      </c>
    </row>
    <row r="819" spans="1:12" x14ac:dyDescent="0.3">
      <c r="A819">
        <v>1196</v>
      </c>
      <c r="B819" s="2">
        <v>45646</v>
      </c>
      <c r="C819" t="s">
        <v>12</v>
      </c>
      <c r="D819" t="s">
        <v>29</v>
      </c>
      <c r="E819" t="s">
        <v>37</v>
      </c>
      <c r="F819" t="s">
        <v>25</v>
      </c>
      <c r="G819">
        <v>3</v>
      </c>
      <c r="H819" s="3">
        <v>401.74</v>
      </c>
      <c r="I819" s="3">
        <v>202.44</v>
      </c>
      <c r="J819" s="3">
        <f t="shared" si="36"/>
        <v>1205.22</v>
      </c>
      <c r="K819" s="3">
        <f t="shared" si="37"/>
        <v>607.31999999999994</v>
      </c>
      <c r="L819" s="3">
        <f t="shared" si="38"/>
        <v>597.90000000000009</v>
      </c>
    </row>
    <row r="820" spans="1:12" x14ac:dyDescent="0.3">
      <c r="A820">
        <v>1444</v>
      </c>
      <c r="B820" s="2">
        <v>45647</v>
      </c>
      <c r="C820" t="s">
        <v>23</v>
      </c>
      <c r="D820" t="s">
        <v>13</v>
      </c>
      <c r="E820" t="s">
        <v>45</v>
      </c>
      <c r="F820" t="s">
        <v>36</v>
      </c>
      <c r="G820">
        <v>23</v>
      </c>
      <c r="H820" s="3">
        <v>17.29</v>
      </c>
      <c r="I820" s="3">
        <v>11.06</v>
      </c>
      <c r="J820" s="3">
        <f t="shared" si="36"/>
        <v>397.66999999999996</v>
      </c>
      <c r="K820" s="3">
        <f t="shared" si="37"/>
        <v>254.38000000000002</v>
      </c>
      <c r="L820" s="3">
        <f t="shared" si="38"/>
        <v>143.28999999999994</v>
      </c>
    </row>
    <row r="821" spans="1:12" x14ac:dyDescent="0.3">
      <c r="A821">
        <v>2676</v>
      </c>
      <c r="B821" s="2">
        <v>45647</v>
      </c>
      <c r="C821" t="s">
        <v>16</v>
      </c>
      <c r="D821" t="s">
        <v>29</v>
      </c>
      <c r="E821" t="s">
        <v>41</v>
      </c>
      <c r="F821" t="s">
        <v>33</v>
      </c>
      <c r="G821">
        <v>3</v>
      </c>
      <c r="H821" s="3">
        <v>430.6</v>
      </c>
      <c r="I821" s="3">
        <v>262.98</v>
      </c>
      <c r="J821" s="3">
        <f t="shared" si="36"/>
        <v>1291.8000000000002</v>
      </c>
      <c r="K821" s="3">
        <f t="shared" si="37"/>
        <v>788.94</v>
      </c>
      <c r="L821" s="3">
        <f t="shared" si="38"/>
        <v>502.86000000000013</v>
      </c>
    </row>
    <row r="822" spans="1:12" x14ac:dyDescent="0.3">
      <c r="A822">
        <v>1460</v>
      </c>
      <c r="B822" s="2">
        <v>45648</v>
      </c>
      <c r="C822" t="s">
        <v>23</v>
      </c>
      <c r="D822" t="s">
        <v>20</v>
      </c>
      <c r="E822" t="s">
        <v>42</v>
      </c>
      <c r="F822" t="s">
        <v>39</v>
      </c>
      <c r="G822">
        <v>39</v>
      </c>
      <c r="H822" s="3">
        <v>35.159999999999997</v>
      </c>
      <c r="I822" s="3">
        <v>22.19</v>
      </c>
      <c r="J822" s="3">
        <f t="shared" si="36"/>
        <v>1371.2399999999998</v>
      </c>
      <c r="K822" s="3">
        <f t="shared" si="37"/>
        <v>865.41000000000008</v>
      </c>
      <c r="L822" s="3">
        <f t="shared" si="38"/>
        <v>505.8299999999997</v>
      </c>
    </row>
    <row r="823" spans="1:12" x14ac:dyDescent="0.3">
      <c r="A823">
        <v>1465</v>
      </c>
      <c r="B823" s="2">
        <v>45648</v>
      </c>
      <c r="C823" t="s">
        <v>12</v>
      </c>
      <c r="D823" t="s">
        <v>29</v>
      </c>
      <c r="E823" t="s">
        <v>43</v>
      </c>
      <c r="F823" t="s">
        <v>22</v>
      </c>
      <c r="G823">
        <v>20</v>
      </c>
      <c r="H823" s="3">
        <v>425.07</v>
      </c>
      <c r="I823" s="3">
        <v>278.76</v>
      </c>
      <c r="J823" s="3">
        <f t="shared" si="36"/>
        <v>8501.4</v>
      </c>
      <c r="K823" s="3">
        <f t="shared" si="37"/>
        <v>5575.2</v>
      </c>
      <c r="L823" s="3">
        <f t="shared" si="38"/>
        <v>2926.2</v>
      </c>
    </row>
    <row r="824" spans="1:12" x14ac:dyDescent="0.3">
      <c r="A824">
        <v>2679</v>
      </c>
      <c r="B824" s="2">
        <v>45648</v>
      </c>
      <c r="C824" t="s">
        <v>12</v>
      </c>
      <c r="D824" t="s">
        <v>17</v>
      </c>
      <c r="E824" t="s">
        <v>44</v>
      </c>
      <c r="F824" t="s">
        <v>36</v>
      </c>
      <c r="G824">
        <v>3</v>
      </c>
      <c r="H824" s="3">
        <v>485.45</v>
      </c>
      <c r="I824" s="3">
        <v>308.60000000000002</v>
      </c>
      <c r="J824" s="3">
        <f t="shared" si="36"/>
        <v>1456.35</v>
      </c>
      <c r="K824" s="3">
        <f t="shared" si="37"/>
        <v>925.80000000000007</v>
      </c>
      <c r="L824" s="3">
        <f t="shared" si="38"/>
        <v>530.54999999999984</v>
      </c>
    </row>
    <row r="825" spans="1:12" x14ac:dyDescent="0.3">
      <c r="A825">
        <v>1093</v>
      </c>
      <c r="B825" s="2">
        <v>45652</v>
      </c>
      <c r="C825" t="s">
        <v>12</v>
      </c>
      <c r="D825" t="s">
        <v>13</v>
      </c>
      <c r="E825" t="s">
        <v>46</v>
      </c>
      <c r="F825" t="s">
        <v>15</v>
      </c>
      <c r="G825">
        <v>9</v>
      </c>
      <c r="H825" s="3">
        <v>54.49</v>
      </c>
      <c r="I825" s="3">
        <v>33.25</v>
      </c>
      <c r="J825" s="3">
        <f t="shared" si="36"/>
        <v>490.41</v>
      </c>
      <c r="K825" s="3">
        <f t="shared" si="37"/>
        <v>299.25</v>
      </c>
      <c r="L825" s="3">
        <f t="shared" si="38"/>
        <v>191.16000000000003</v>
      </c>
    </row>
    <row r="826" spans="1:12" x14ac:dyDescent="0.3">
      <c r="A826">
        <v>1290</v>
      </c>
      <c r="B826" s="2">
        <v>45652</v>
      </c>
      <c r="C826" t="s">
        <v>16</v>
      </c>
      <c r="D826" t="s">
        <v>13</v>
      </c>
      <c r="E826" t="s">
        <v>46</v>
      </c>
      <c r="F826" t="s">
        <v>39</v>
      </c>
      <c r="G826">
        <v>32</v>
      </c>
      <c r="H826" s="3">
        <v>13.01</v>
      </c>
      <c r="I826" s="3">
        <v>8.4600000000000009</v>
      </c>
      <c r="J826" s="3">
        <f t="shared" si="36"/>
        <v>416.32</v>
      </c>
      <c r="K826" s="3">
        <f t="shared" si="37"/>
        <v>270.72000000000003</v>
      </c>
      <c r="L826" s="3">
        <f t="shared" si="38"/>
        <v>145.59999999999997</v>
      </c>
    </row>
    <row r="827" spans="1:12" x14ac:dyDescent="0.3">
      <c r="A827">
        <v>1150</v>
      </c>
      <c r="B827" s="2">
        <v>45653</v>
      </c>
      <c r="C827" t="s">
        <v>16</v>
      </c>
      <c r="D827" t="s">
        <v>20</v>
      </c>
      <c r="E827" t="s">
        <v>38</v>
      </c>
      <c r="F827" t="s">
        <v>22</v>
      </c>
      <c r="G827">
        <v>5</v>
      </c>
      <c r="H827" s="3">
        <v>229.97</v>
      </c>
      <c r="I827" s="3">
        <v>124.18</v>
      </c>
      <c r="J827" s="3">
        <f t="shared" si="36"/>
        <v>1149.8499999999999</v>
      </c>
      <c r="K827" s="3">
        <f t="shared" si="37"/>
        <v>620.90000000000009</v>
      </c>
      <c r="L827" s="3">
        <f t="shared" si="38"/>
        <v>528.94999999999982</v>
      </c>
    </row>
    <row r="828" spans="1:12" x14ac:dyDescent="0.3">
      <c r="A828">
        <v>1411</v>
      </c>
      <c r="B828" s="2">
        <v>45653</v>
      </c>
      <c r="C828" t="s">
        <v>16</v>
      </c>
      <c r="D828" t="s">
        <v>17</v>
      </c>
      <c r="E828" t="s">
        <v>40</v>
      </c>
      <c r="F828" t="s">
        <v>39</v>
      </c>
      <c r="G828">
        <v>19</v>
      </c>
      <c r="H828" s="3">
        <v>138.13</v>
      </c>
      <c r="I828" s="3">
        <v>101.23</v>
      </c>
      <c r="J828" s="3">
        <f t="shared" si="36"/>
        <v>2624.47</v>
      </c>
      <c r="K828" s="3">
        <f t="shared" si="37"/>
        <v>1923.3700000000001</v>
      </c>
      <c r="L828" s="3">
        <f t="shared" si="38"/>
        <v>701.09999999999968</v>
      </c>
    </row>
    <row r="829" spans="1:12" x14ac:dyDescent="0.3">
      <c r="A829">
        <v>2516</v>
      </c>
      <c r="B829" s="2">
        <v>45653</v>
      </c>
      <c r="C829" t="s">
        <v>16</v>
      </c>
      <c r="D829" t="s">
        <v>29</v>
      </c>
      <c r="E829" t="s">
        <v>37</v>
      </c>
      <c r="F829" t="s">
        <v>39</v>
      </c>
      <c r="G829">
        <v>9</v>
      </c>
      <c r="H829" s="3">
        <v>435.63</v>
      </c>
      <c r="I829" s="3">
        <v>308.24</v>
      </c>
      <c r="J829" s="3">
        <f t="shared" si="36"/>
        <v>3920.67</v>
      </c>
      <c r="K829" s="3">
        <f t="shared" si="37"/>
        <v>2774.16</v>
      </c>
      <c r="L829" s="3">
        <f t="shared" si="38"/>
        <v>1146.5100000000002</v>
      </c>
    </row>
    <row r="830" spans="1:12" x14ac:dyDescent="0.3">
      <c r="A830">
        <v>1120</v>
      </c>
      <c r="B830" s="2">
        <v>45654</v>
      </c>
      <c r="C830" t="s">
        <v>26</v>
      </c>
      <c r="D830" t="s">
        <v>20</v>
      </c>
      <c r="E830" t="s">
        <v>42</v>
      </c>
      <c r="F830" t="s">
        <v>36</v>
      </c>
      <c r="G830">
        <v>2</v>
      </c>
      <c r="H830" s="3">
        <v>140.19999999999999</v>
      </c>
      <c r="I830" s="3">
        <v>84.28</v>
      </c>
      <c r="J830" s="3">
        <f t="shared" si="36"/>
        <v>280.39999999999998</v>
      </c>
      <c r="K830" s="3">
        <f t="shared" si="37"/>
        <v>168.56</v>
      </c>
      <c r="L830" s="3">
        <f t="shared" si="38"/>
        <v>111.83999999999997</v>
      </c>
    </row>
    <row r="831" spans="1:12" x14ac:dyDescent="0.3">
      <c r="A831">
        <v>1212</v>
      </c>
      <c r="B831" s="2">
        <v>45654</v>
      </c>
      <c r="C831" t="s">
        <v>32</v>
      </c>
      <c r="D831" t="s">
        <v>20</v>
      </c>
      <c r="E831" t="s">
        <v>42</v>
      </c>
      <c r="F831" t="s">
        <v>33</v>
      </c>
      <c r="G831">
        <v>26</v>
      </c>
      <c r="H831" s="3">
        <v>103.99</v>
      </c>
      <c r="I831" s="3">
        <v>73.52</v>
      </c>
      <c r="J831" s="3">
        <f t="shared" si="36"/>
        <v>2703.74</v>
      </c>
      <c r="K831" s="3">
        <f t="shared" si="37"/>
        <v>1911.52</v>
      </c>
      <c r="L831" s="3">
        <f t="shared" si="38"/>
        <v>792.2199999999998</v>
      </c>
    </row>
    <row r="832" spans="1:12" x14ac:dyDescent="0.3">
      <c r="A832">
        <v>2018</v>
      </c>
      <c r="B832" s="2">
        <v>45654</v>
      </c>
      <c r="C832" t="s">
        <v>12</v>
      </c>
      <c r="D832" t="s">
        <v>20</v>
      </c>
      <c r="E832" t="s">
        <v>34</v>
      </c>
      <c r="F832" t="s">
        <v>15</v>
      </c>
      <c r="G832">
        <v>8</v>
      </c>
      <c r="H832" s="3">
        <v>190.45</v>
      </c>
      <c r="I832" s="3">
        <v>100.36</v>
      </c>
      <c r="J832" s="3">
        <f t="shared" si="36"/>
        <v>1523.6</v>
      </c>
      <c r="K832" s="3">
        <f t="shared" si="37"/>
        <v>802.88</v>
      </c>
      <c r="L832" s="3">
        <f t="shared" si="38"/>
        <v>720.71999999999991</v>
      </c>
    </row>
    <row r="833" spans="1:12" x14ac:dyDescent="0.3">
      <c r="A833">
        <v>2593</v>
      </c>
      <c r="B833" s="2">
        <v>45654</v>
      </c>
      <c r="C833" t="s">
        <v>26</v>
      </c>
      <c r="D833" t="s">
        <v>20</v>
      </c>
      <c r="E833" t="s">
        <v>21</v>
      </c>
      <c r="F833" t="s">
        <v>19</v>
      </c>
      <c r="G833">
        <v>19</v>
      </c>
      <c r="H833" s="3">
        <v>216.56</v>
      </c>
      <c r="I833" s="3">
        <v>123.6</v>
      </c>
      <c r="J833" s="3">
        <f t="shared" si="36"/>
        <v>4114.6400000000003</v>
      </c>
      <c r="K833" s="3">
        <f t="shared" si="37"/>
        <v>2348.4</v>
      </c>
      <c r="L833" s="3">
        <f t="shared" si="38"/>
        <v>1766.2400000000002</v>
      </c>
    </row>
    <row r="834" spans="1:12" x14ac:dyDescent="0.3">
      <c r="A834">
        <v>1887</v>
      </c>
      <c r="B834" s="2">
        <v>45656</v>
      </c>
      <c r="C834" t="s">
        <v>12</v>
      </c>
      <c r="D834" t="s">
        <v>17</v>
      </c>
      <c r="E834" t="s">
        <v>40</v>
      </c>
      <c r="F834" t="s">
        <v>36</v>
      </c>
      <c r="G834">
        <v>33</v>
      </c>
      <c r="H834" s="3">
        <v>144.84</v>
      </c>
      <c r="I834" s="3">
        <v>86.26</v>
      </c>
      <c r="J834" s="3">
        <f t="shared" ref="J834:J897" si="39">G834*H834</f>
        <v>4779.72</v>
      </c>
      <c r="K834" s="3">
        <f t="shared" ref="K834:K897" si="40">G834*I834</f>
        <v>2846.5800000000004</v>
      </c>
      <c r="L834" s="3">
        <f t="shared" ref="L834:L897" si="41">J834-K834</f>
        <v>1933.1399999999999</v>
      </c>
    </row>
    <row r="835" spans="1:12" x14ac:dyDescent="0.3">
      <c r="A835">
        <v>2587</v>
      </c>
      <c r="B835" s="2">
        <v>45656</v>
      </c>
      <c r="C835" t="s">
        <v>16</v>
      </c>
      <c r="D835" t="s">
        <v>13</v>
      </c>
      <c r="E835" t="s">
        <v>46</v>
      </c>
      <c r="F835" t="s">
        <v>28</v>
      </c>
      <c r="G835">
        <v>33</v>
      </c>
      <c r="H835" s="3">
        <v>56.15</v>
      </c>
      <c r="I835" s="3">
        <v>28.44</v>
      </c>
      <c r="J835" s="3">
        <f t="shared" si="39"/>
        <v>1852.95</v>
      </c>
      <c r="K835" s="3">
        <f t="shared" si="40"/>
        <v>938.5200000000001</v>
      </c>
      <c r="L835" s="3">
        <f t="shared" si="41"/>
        <v>914.43</v>
      </c>
    </row>
    <row r="836" spans="1:12" x14ac:dyDescent="0.3">
      <c r="A836">
        <v>1144</v>
      </c>
      <c r="B836" s="2">
        <v>45657</v>
      </c>
      <c r="C836" t="s">
        <v>26</v>
      </c>
      <c r="D836" t="s">
        <v>29</v>
      </c>
      <c r="E836" t="s">
        <v>37</v>
      </c>
      <c r="F836" t="s">
        <v>25</v>
      </c>
      <c r="G836">
        <v>38</v>
      </c>
      <c r="H836" s="3">
        <v>98.62</v>
      </c>
      <c r="I836" s="3">
        <v>69.37</v>
      </c>
      <c r="J836" s="3">
        <f t="shared" si="39"/>
        <v>3747.5600000000004</v>
      </c>
      <c r="K836" s="3">
        <f t="shared" si="40"/>
        <v>2636.0600000000004</v>
      </c>
      <c r="L836" s="3">
        <f t="shared" si="41"/>
        <v>1111.5</v>
      </c>
    </row>
    <row r="837" spans="1:12" x14ac:dyDescent="0.3">
      <c r="A837">
        <v>1677</v>
      </c>
      <c r="B837" s="2">
        <v>45657</v>
      </c>
      <c r="C837" t="s">
        <v>12</v>
      </c>
      <c r="D837" t="s">
        <v>13</v>
      </c>
      <c r="E837" t="s">
        <v>46</v>
      </c>
      <c r="F837" t="s">
        <v>22</v>
      </c>
      <c r="G837">
        <v>5</v>
      </c>
      <c r="H837" s="3">
        <v>9.5</v>
      </c>
      <c r="I837" s="3">
        <v>5.91</v>
      </c>
      <c r="J837" s="3">
        <f t="shared" si="39"/>
        <v>47.5</v>
      </c>
      <c r="K837" s="3">
        <f t="shared" si="40"/>
        <v>29.55</v>
      </c>
      <c r="L837" s="3">
        <f t="shared" si="41"/>
        <v>17.95</v>
      </c>
    </row>
    <row r="838" spans="1:12" x14ac:dyDescent="0.3">
      <c r="A838">
        <v>2241</v>
      </c>
      <c r="B838" s="2">
        <v>45657</v>
      </c>
      <c r="C838" t="s">
        <v>12</v>
      </c>
      <c r="D838" t="s">
        <v>13</v>
      </c>
      <c r="E838" t="s">
        <v>24</v>
      </c>
      <c r="F838" t="s">
        <v>15</v>
      </c>
      <c r="G838">
        <v>5</v>
      </c>
      <c r="H838" s="3">
        <v>54.83</v>
      </c>
      <c r="I838" s="3">
        <v>33.93</v>
      </c>
      <c r="J838" s="3">
        <f t="shared" si="39"/>
        <v>274.14999999999998</v>
      </c>
      <c r="K838" s="3">
        <f t="shared" si="40"/>
        <v>169.65</v>
      </c>
      <c r="L838" s="3">
        <f t="shared" si="41"/>
        <v>104.49999999999997</v>
      </c>
    </row>
    <row r="839" spans="1:12" x14ac:dyDescent="0.3">
      <c r="A839">
        <v>1032</v>
      </c>
      <c r="B839" s="2">
        <v>45658</v>
      </c>
      <c r="C839" t="s">
        <v>12</v>
      </c>
      <c r="D839" t="s">
        <v>13</v>
      </c>
      <c r="E839" t="s">
        <v>45</v>
      </c>
      <c r="F839" t="s">
        <v>33</v>
      </c>
      <c r="G839">
        <v>36</v>
      </c>
      <c r="H839" s="3">
        <v>26.16</v>
      </c>
      <c r="I839" s="3">
        <v>19.16</v>
      </c>
      <c r="J839" s="3">
        <f t="shared" si="39"/>
        <v>941.76</v>
      </c>
      <c r="K839" s="3">
        <f t="shared" si="40"/>
        <v>689.76</v>
      </c>
      <c r="L839" s="3">
        <f t="shared" si="41"/>
        <v>252</v>
      </c>
    </row>
    <row r="840" spans="1:12" x14ac:dyDescent="0.3">
      <c r="A840">
        <v>1715</v>
      </c>
      <c r="B840" s="2">
        <v>45658</v>
      </c>
      <c r="C840" t="s">
        <v>12</v>
      </c>
      <c r="D840" t="s">
        <v>17</v>
      </c>
      <c r="E840" t="s">
        <v>35</v>
      </c>
      <c r="F840" t="s">
        <v>15</v>
      </c>
      <c r="G840">
        <v>15</v>
      </c>
      <c r="H840" s="3">
        <v>256.77999999999997</v>
      </c>
      <c r="I840" s="3">
        <v>186.45</v>
      </c>
      <c r="J840" s="3">
        <f t="shared" si="39"/>
        <v>3851.7</v>
      </c>
      <c r="K840" s="3">
        <f t="shared" si="40"/>
        <v>2796.75</v>
      </c>
      <c r="L840" s="3">
        <f t="shared" si="41"/>
        <v>1054.9499999999998</v>
      </c>
    </row>
    <row r="841" spans="1:12" x14ac:dyDescent="0.3">
      <c r="A841">
        <v>2749</v>
      </c>
      <c r="B841" s="2">
        <v>45658</v>
      </c>
      <c r="C841" t="s">
        <v>12</v>
      </c>
      <c r="D841" t="s">
        <v>17</v>
      </c>
      <c r="E841" t="s">
        <v>18</v>
      </c>
      <c r="F841" t="s">
        <v>22</v>
      </c>
      <c r="G841">
        <v>9</v>
      </c>
      <c r="H841" s="3">
        <v>75.25</v>
      </c>
      <c r="I841" s="3">
        <v>38.96</v>
      </c>
      <c r="J841" s="3">
        <f t="shared" si="39"/>
        <v>677.25</v>
      </c>
      <c r="K841" s="3">
        <f t="shared" si="40"/>
        <v>350.64</v>
      </c>
      <c r="L841" s="3">
        <f t="shared" si="41"/>
        <v>326.61</v>
      </c>
    </row>
    <row r="842" spans="1:12" x14ac:dyDescent="0.3">
      <c r="A842">
        <v>1385</v>
      </c>
      <c r="B842" s="2">
        <v>45659</v>
      </c>
      <c r="C842" t="s">
        <v>26</v>
      </c>
      <c r="D842" t="s">
        <v>13</v>
      </c>
      <c r="E842" t="s">
        <v>14</v>
      </c>
      <c r="F842" t="s">
        <v>39</v>
      </c>
      <c r="G842">
        <v>5</v>
      </c>
      <c r="H842" s="3">
        <v>16.34</v>
      </c>
      <c r="I842" s="3">
        <v>11.4</v>
      </c>
      <c r="J842" s="3">
        <f t="shared" si="39"/>
        <v>81.7</v>
      </c>
      <c r="K842" s="3">
        <f t="shared" si="40"/>
        <v>57</v>
      </c>
      <c r="L842" s="3">
        <f t="shared" si="41"/>
        <v>24.700000000000003</v>
      </c>
    </row>
    <row r="843" spans="1:12" x14ac:dyDescent="0.3">
      <c r="A843">
        <v>1821</v>
      </c>
      <c r="B843" s="2">
        <v>45659</v>
      </c>
      <c r="C843" t="s">
        <v>32</v>
      </c>
      <c r="D843" t="s">
        <v>13</v>
      </c>
      <c r="E843" t="s">
        <v>46</v>
      </c>
      <c r="F843" t="s">
        <v>36</v>
      </c>
      <c r="G843">
        <v>5</v>
      </c>
      <c r="H843" s="3">
        <v>17.86</v>
      </c>
      <c r="I843" s="3">
        <v>10.97</v>
      </c>
      <c r="J843" s="3">
        <f t="shared" si="39"/>
        <v>89.3</v>
      </c>
      <c r="K843" s="3">
        <f t="shared" si="40"/>
        <v>54.85</v>
      </c>
      <c r="L843" s="3">
        <f t="shared" si="41"/>
        <v>34.449999999999996</v>
      </c>
    </row>
    <row r="844" spans="1:12" x14ac:dyDescent="0.3">
      <c r="A844">
        <v>1522</v>
      </c>
      <c r="B844" s="2">
        <v>45660</v>
      </c>
      <c r="C844" t="s">
        <v>23</v>
      </c>
      <c r="D844" t="s">
        <v>13</v>
      </c>
      <c r="E844" t="s">
        <v>31</v>
      </c>
      <c r="F844" t="s">
        <v>19</v>
      </c>
      <c r="G844">
        <v>9</v>
      </c>
      <c r="H844" s="3">
        <v>39.96</v>
      </c>
      <c r="I844" s="3">
        <v>26.55</v>
      </c>
      <c r="J844" s="3">
        <f t="shared" si="39"/>
        <v>359.64</v>
      </c>
      <c r="K844" s="3">
        <f t="shared" si="40"/>
        <v>238.95000000000002</v>
      </c>
      <c r="L844" s="3">
        <f t="shared" si="41"/>
        <v>120.68999999999997</v>
      </c>
    </row>
    <row r="845" spans="1:12" x14ac:dyDescent="0.3">
      <c r="A845">
        <v>1734</v>
      </c>
      <c r="B845" s="2">
        <v>45660</v>
      </c>
      <c r="C845" t="s">
        <v>26</v>
      </c>
      <c r="D845" t="s">
        <v>17</v>
      </c>
      <c r="E845" t="s">
        <v>44</v>
      </c>
      <c r="F845" t="s">
        <v>39</v>
      </c>
      <c r="G845">
        <v>19</v>
      </c>
      <c r="H845" s="3">
        <v>206.28</v>
      </c>
      <c r="I845" s="3">
        <v>131.74</v>
      </c>
      <c r="J845" s="3">
        <f t="shared" si="39"/>
        <v>3919.32</v>
      </c>
      <c r="K845" s="3">
        <f t="shared" si="40"/>
        <v>2503.0600000000004</v>
      </c>
      <c r="L845" s="3">
        <f t="shared" si="41"/>
        <v>1416.2599999999998</v>
      </c>
    </row>
    <row r="846" spans="1:12" x14ac:dyDescent="0.3">
      <c r="A846">
        <v>2670</v>
      </c>
      <c r="B846" s="2">
        <v>45660</v>
      </c>
      <c r="C846" t="s">
        <v>23</v>
      </c>
      <c r="D846" t="s">
        <v>29</v>
      </c>
      <c r="E846" t="s">
        <v>43</v>
      </c>
      <c r="F846" t="s">
        <v>25</v>
      </c>
      <c r="G846">
        <v>24</v>
      </c>
      <c r="H846" s="3">
        <v>317.12</v>
      </c>
      <c r="I846" s="3">
        <v>159.33000000000001</v>
      </c>
      <c r="J846" s="3">
        <f t="shared" si="39"/>
        <v>7610.88</v>
      </c>
      <c r="K846" s="3">
        <f t="shared" si="40"/>
        <v>3823.92</v>
      </c>
      <c r="L846" s="3">
        <f t="shared" si="41"/>
        <v>3786.96</v>
      </c>
    </row>
    <row r="847" spans="1:12" x14ac:dyDescent="0.3">
      <c r="A847">
        <v>1220</v>
      </c>
      <c r="B847" s="2">
        <v>45661</v>
      </c>
      <c r="C847" t="s">
        <v>26</v>
      </c>
      <c r="D847" t="s">
        <v>17</v>
      </c>
      <c r="E847" t="s">
        <v>27</v>
      </c>
      <c r="F847" t="s">
        <v>15</v>
      </c>
      <c r="G847">
        <v>29</v>
      </c>
      <c r="H847" s="3">
        <v>362.33</v>
      </c>
      <c r="I847" s="3">
        <v>221.82</v>
      </c>
      <c r="J847" s="3">
        <f t="shared" si="39"/>
        <v>10507.57</v>
      </c>
      <c r="K847" s="3">
        <f t="shared" si="40"/>
        <v>6432.78</v>
      </c>
      <c r="L847" s="3">
        <f t="shared" si="41"/>
        <v>4074.79</v>
      </c>
    </row>
    <row r="848" spans="1:12" x14ac:dyDescent="0.3">
      <c r="A848">
        <v>1794</v>
      </c>
      <c r="B848" s="2">
        <v>45661</v>
      </c>
      <c r="C848" t="s">
        <v>23</v>
      </c>
      <c r="D848" t="s">
        <v>20</v>
      </c>
      <c r="E848" t="s">
        <v>42</v>
      </c>
      <c r="F848" t="s">
        <v>33</v>
      </c>
      <c r="G848">
        <v>22</v>
      </c>
      <c r="H848" s="3">
        <v>132.51</v>
      </c>
      <c r="I848" s="3">
        <v>93.93</v>
      </c>
      <c r="J848" s="3">
        <f t="shared" si="39"/>
        <v>2915.22</v>
      </c>
      <c r="K848" s="3">
        <f t="shared" si="40"/>
        <v>2066.46</v>
      </c>
      <c r="L848" s="3">
        <f t="shared" si="41"/>
        <v>848.75999999999976</v>
      </c>
    </row>
    <row r="849" spans="1:12" x14ac:dyDescent="0.3">
      <c r="A849">
        <v>2144</v>
      </c>
      <c r="B849" s="2">
        <v>45661</v>
      </c>
      <c r="C849" t="s">
        <v>23</v>
      </c>
      <c r="D849" t="s">
        <v>13</v>
      </c>
      <c r="E849" t="s">
        <v>24</v>
      </c>
      <c r="F849" t="s">
        <v>33</v>
      </c>
      <c r="G849">
        <v>30</v>
      </c>
      <c r="H849" s="3">
        <v>23.65</v>
      </c>
      <c r="I849" s="3">
        <v>13.36</v>
      </c>
      <c r="J849" s="3">
        <f t="shared" si="39"/>
        <v>709.5</v>
      </c>
      <c r="K849" s="3">
        <f t="shared" si="40"/>
        <v>400.79999999999995</v>
      </c>
      <c r="L849" s="3">
        <f t="shared" si="41"/>
        <v>308.70000000000005</v>
      </c>
    </row>
    <row r="850" spans="1:12" x14ac:dyDescent="0.3">
      <c r="A850">
        <v>1057</v>
      </c>
      <c r="B850" s="2">
        <v>45662</v>
      </c>
      <c r="C850" t="s">
        <v>23</v>
      </c>
      <c r="D850" t="s">
        <v>13</v>
      </c>
      <c r="E850" t="s">
        <v>14</v>
      </c>
      <c r="F850" t="s">
        <v>19</v>
      </c>
      <c r="G850">
        <v>34</v>
      </c>
      <c r="H850" s="3">
        <v>18.39</v>
      </c>
      <c r="I850" s="3">
        <v>11.42</v>
      </c>
      <c r="J850" s="3">
        <f t="shared" si="39"/>
        <v>625.26</v>
      </c>
      <c r="K850" s="3">
        <f t="shared" si="40"/>
        <v>388.28</v>
      </c>
      <c r="L850" s="3">
        <f t="shared" si="41"/>
        <v>236.98000000000002</v>
      </c>
    </row>
    <row r="851" spans="1:12" x14ac:dyDescent="0.3">
      <c r="A851">
        <v>1122</v>
      </c>
      <c r="B851" s="2">
        <v>45662</v>
      </c>
      <c r="C851" t="s">
        <v>26</v>
      </c>
      <c r="D851" t="s">
        <v>20</v>
      </c>
      <c r="E851" t="s">
        <v>42</v>
      </c>
      <c r="F851" t="s">
        <v>39</v>
      </c>
      <c r="G851">
        <v>28</v>
      </c>
      <c r="H851" s="3">
        <v>106.88</v>
      </c>
      <c r="I851" s="3">
        <v>62.51</v>
      </c>
      <c r="J851" s="3">
        <f t="shared" si="39"/>
        <v>2992.64</v>
      </c>
      <c r="K851" s="3">
        <f t="shared" si="40"/>
        <v>1750.28</v>
      </c>
      <c r="L851" s="3">
        <f t="shared" si="41"/>
        <v>1242.3599999999999</v>
      </c>
    </row>
    <row r="852" spans="1:12" x14ac:dyDescent="0.3">
      <c r="A852">
        <v>1557</v>
      </c>
      <c r="B852" s="2">
        <v>45662</v>
      </c>
      <c r="C852" t="s">
        <v>16</v>
      </c>
      <c r="D852" t="s">
        <v>13</v>
      </c>
      <c r="E852" t="s">
        <v>14</v>
      </c>
      <c r="F852" t="s">
        <v>39</v>
      </c>
      <c r="G852">
        <v>18</v>
      </c>
      <c r="H852" s="3">
        <v>9.42</v>
      </c>
      <c r="I852" s="3">
        <v>6.86</v>
      </c>
      <c r="J852" s="3">
        <f t="shared" si="39"/>
        <v>169.56</v>
      </c>
      <c r="K852" s="3">
        <f t="shared" si="40"/>
        <v>123.48</v>
      </c>
      <c r="L852" s="3">
        <f t="shared" si="41"/>
        <v>46.08</v>
      </c>
    </row>
    <row r="853" spans="1:12" x14ac:dyDescent="0.3">
      <c r="A853">
        <v>1850</v>
      </c>
      <c r="B853" s="2">
        <v>45662</v>
      </c>
      <c r="C853" t="s">
        <v>16</v>
      </c>
      <c r="D853" t="s">
        <v>29</v>
      </c>
      <c r="E853" t="s">
        <v>37</v>
      </c>
      <c r="F853" t="s">
        <v>15</v>
      </c>
      <c r="G853">
        <v>14</v>
      </c>
      <c r="H853" s="3">
        <v>124.67</v>
      </c>
      <c r="I853" s="3">
        <v>81.09</v>
      </c>
      <c r="J853" s="3">
        <f t="shared" si="39"/>
        <v>1745.38</v>
      </c>
      <c r="K853" s="3">
        <f t="shared" si="40"/>
        <v>1135.26</v>
      </c>
      <c r="L853" s="3">
        <f t="shared" si="41"/>
        <v>610.12000000000012</v>
      </c>
    </row>
    <row r="854" spans="1:12" x14ac:dyDescent="0.3">
      <c r="A854">
        <v>1918</v>
      </c>
      <c r="B854" s="2">
        <v>45662</v>
      </c>
      <c r="C854" t="s">
        <v>12</v>
      </c>
      <c r="D854" t="s">
        <v>20</v>
      </c>
      <c r="E854" t="s">
        <v>42</v>
      </c>
      <c r="F854" t="s">
        <v>28</v>
      </c>
      <c r="G854">
        <v>2</v>
      </c>
      <c r="H854" s="3">
        <v>78.88</v>
      </c>
      <c r="I854" s="3">
        <v>47.72</v>
      </c>
      <c r="J854" s="3">
        <f t="shared" si="39"/>
        <v>157.76</v>
      </c>
      <c r="K854" s="3">
        <f t="shared" si="40"/>
        <v>95.44</v>
      </c>
      <c r="L854" s="3">
        <f t="shared" si="41"/>
        <v>62.319999999999993</v>
      </c>
    </row>
    <row r="855" spans="1:12" x14ac:dyDescent="0.3">
      <c r="A855">
        <v>2332</v>
      </c>
      <c r="B855" s="2">
        <v>45662</v>
      </c>
      <c r="C855" t="s">
        <v>16</v>
      </c>
      <c r="D855" t="s">
        <v>29</v>
      </c>
      <c r="E855" t="s">
        <v>37</v>
      </c>
      <c r="F855" t="s">
        <v>28</v>
      </c>
      <c r="G855">
        <v>38</v>
      </c>
      <c r="H855" s="3">
        <v>383.55</v>
      </c>
      <c r="I855" s="3">
        <v>215.46</v>
      </c>
      <c r="J855" s="3">
        <f t="shared" si="39"/>
        <v>14574.9</v>
      </c>
      <c r="K855" s="3">
        <f t="shared" si="40"/>
        <v>8187.4800000000005</v>
      </c>
      <c r="L855" s="3">
        <f t="shared" si="41"/>
        <v>6387.4199999999992</v>
      </c>
    </row>
    <row r="856" spans="1:12" x14ac:dyDescent="0.3">
      <c r="A856">
        <v>2709</v>
      </c>
      <c r="B856" s="2">
        <v>45662</v>
      </c>
      <c r="C856" t="s">
        <v>26</v>
      </c>
      <c r="D856" t="s">
        <v>29</v>
      </c>
      <c r="E856" t="s">
        <v>43</v>
      </c>
      <c r="F856" t="s">
        <v>15</v>
      </c>
      <c r="G856">
        <v>20</v>
      </c>
      <c r="H856" s="3">
        <v>261.22000000000003</v>
      </c>
      <c r="I856" s="3">
        <v>175.33</v>
      </c>
      <c r="J856" s="3">
        <f t="shared" si="39"/>
        <v>5224.4000000000005</v>
      </c>
      <c r="K856" s="3">
        <f t="shared" si="40"/>
        <v>3506.6000000000004</v>
      </c>
      <c r="L856" s="3">
        <f t="shared" si="41"/>
        <v>1717.8000000000002</v>
      </c>
    </row>
    <row r="857" spans="1:12" x14ac:dyDescent="0.3">
      <c r="A857">
        <v>1884</v>
      </c>
      <c r="B857" s="2">
        <v>45663</v>
      </c>
      <c r="C857" t="s">
        <v>16</v>
      </c>
      <c r="D857" t="s">
        <v>29</v>
      </c>
      <c r="E857" t="s">
        <v>30</v>
      </c>
      <c r="F857" t="s">
        <v>39</v>
      </c>
      <c r="G857">
        <v>19</v>
      </c>
      <c r="H857" s="3">
        <v>169</v>
      </c>
      <c r="I857" s="3">
        <v>122.93</v>
      </c>
      <c r="J857" s="3">
        <f t="shared" si="39"/>
        <v>3211</v>
      </c>
      <c r="K857" s="3">
        <f t="shared" si="40"/>
        <v>2335.67</v>
      </c>
      <c r="L857" s="3">
        <f t="shared" si="41"/>
        <v>875.32999999999993</v>
      </c>
    </row>
    <row r="858" spans="1:12" x14ac:dyDescent="0.3">
      <c r="A858">
        <v>1906</v>
      </c>
      <c r="B858" s="2">
        <v>45664</v>
      </c>
      <c r="C858" t="s">
        <v>26</v>
      </c>
      <c r="D858" t="s">
        <v>29</v>
      </c>
      <c r="E858" t="s">
        <v>43</v>
      </c>
      <c r="F858" t="s">
        <v>25</v>
      </c>
      <c r="G858">
        <v>32</v>
      </c>
      <c r="H858" s="3">
        <v>252.36</v>
      </c>
      <c r="I858" s="3">
        <v>160.4</v>
      </c>
      <c r="J858" s="3">
        <f t="shared" si="39"/>
        <v>8075.52</v>
      </c>
      <c r="K858" s="3">
        <f t="shared" si="40"/>
        <v>5132.8</v>
      </c>
      <c r="L858" s="3">
        <f t="shared" si="41"/>
        <v>2942.7200000000003</v>
      </c>
    </row>
    <row r="859" spans="1:12" x14ac:dyDescent="0.3">
      <c r="A859">
        <v>2736</v>
      </c>
      <c r="B859" s="2">
        <v>45664</v>
      </c>
      <c r="C859" t="s">
        <v>23</v>
      </c>
      <c r="D859" t="s">
        <v>13</v>
      </c>
      <c r="E859" t="s">
        <v>31</v>
      </c>
      <c r="F859" t="s">
        <v>39</v>
      </c>
      <c r="G859">
        <v>9</v>
      </c>
      <c r="H859" s="3">
        <v>27.33</v>
      </c>
      <c r="I859" s="3">
        <v>16.87</v>
      </c>
      <c r="J859" s="3">
        <f t="shared" si="39"/>
        <v>245.96999999999997</v>
      </c>
      <c r="K859" s="3">
        <f t="shared" si="40"/>
        <v>151.83000000000001</v>
      </c>
      <c r="L859" s="3">
        <f t="shared" si="41"/>
        <v>94.139999999999958</v>
      </c>
    </row>
    <row r="860" spans="1:12" x14ac:dyDescent="0.3">
      <c r="A860">
        <v>2560</v>
      </c>
      <c r="B860" s="2">
        <v>45667</v>
      </c>
      <c r="C860" t="s">
        <v>32</v>
      </c>
      <c r="D860" t="s">
        <v>20</v>
      </c>
      <c r="E860" t="s">
        <v>42</v>
      </c>
      <c r="F860" t="s">
        <v>22</v>
      </c>
      <c r="G860">
        <v>14</v>
      </c>
      <c r="H860" s="3">
        <v>238.18</v>
      </c>
      <c r="I860" s="3">
        <v>153.83000000000001</v>
      </c>
      <c r="J860" s="3">
        <f t="shared" si="39"/>
        <v>3334.52</v>
      </c>
      <c r="K860" s="3">
        <f t="shared" si="40"/>
        <v>2153.6200000000003</v>
      </c>
      <c r="L860" s="3">
        <f t="shared" si="41"/>
        <v>1180.8999999999996</v>
      </c>
    </row>
    <row r="861" spans="1:12" x14ac:dyDescent="0.3">
      <c r="A861">
        <v>2570</v>
      </c>
      <c r="B861" s="2">
        <v>45667</v>
      </c>
      <c r="C861" t="s">
        <v>23</v>
      </c>
      <c r="D861" t="s">
        <v>17</v>
      </c>
      <c r="E861" t="s">
        <v>44</v>
      </c>
      <c r="F861" t="s">
        <v>22</v>
      </c>
      <c r="G861">
        <v>7</v>
      </c>
      <c r="H861" s="3">
        <v>878.33</v>
      </c>
      <c r="I861" s="3">
        <v>448.49</v>
      </c>
      <c r="J861" s="3">
        <f t="shared" si="39"/>
        <v>6148.31</v>
      </c>
      <c r="K861" s="3">
        <f t="shared" si="40"/>
        <v>3139.4300000000003</v>
      </c>
      <c r="L861" s="3">
        <f t="shared" si="41"/>
        <v>3008.88</v>
      </c>
    </row>
    <row r="862" spans="1:12" x14ac:dyDescent="0.3">
      <c r="A862">
        <v>2777</v>
      </c>
      <c r="B862" s="2">
        <v>45667</v>
      </c>
      <c r="C862" t="s">
        <v>26</v>
      </c>
      <c r="D862" t="s">
        <v>13</v>
      </c>
      <c r="E862" t="s">
        <v>24</v>
      </c>
      <c r="F862" t="s">
        <v>15</v>
      </c>
      <c r="G862">
        <v>28</v>
      </c>
      <c r="H862" s="3">
        <v>13.33</v>
      </c>
      <c r="I862" s="3">
        <v>9.18</v>
      </c>
      <c r="J862" s="3">
        <f t="shared" si="39"/>
        <v>373.24</v>
      </c>
      <c r="K862" s="3">
        <f t="shared" si="40"/>
        <v>257.03999999999996</v>
      </c>
      <c r="L862" s="3">
        <f t="shared" si="41"/>
        <v>116.20000000000005</v>
      </c>
    </row>
    <row r="863" spans="1:12" x14ac:dyDescent="0.3">
      <c r="A863">
        <v>1101</v>
      </c>
      <c r="B863" s="2">
        <v>45668</v>
      </c>
      <c r="C863" t="s">
        <v>16</v>
      </c>
      <c r="D863" t="s">
        <v>29</v>
      </c>
      <c r="E863" t="s">
        <v>30</v>
      </c>
      <c r="F863" t="s">
        <v>36</v>
      </c>
      <c r="G863">
        <v>18</v>
      </c>
      <c r="H863" s="3">
        <v>436.17</v>
      </c>
      <c r="I863" s="3">
        <v>290.35000000000002</v>
      </c>
      <c r="J863" s="3">
        <f t="shared" si="39"/>
        <v>7851.06</v>
      </c>
      <c r="K863" s="3">
        <f t="shared" si="40"/>
        <v>5226.3</v>
      </c>
      <c r="L863" s="3">
        <f t="shared" si="41"/>
        <v>2624.76</v>
      </c>
    </row>
    <row r="864" spans="1:12" x14ac:dyDescent="0.3">
      <c r="A864">
        <v>2233</v>
      </c>
      <c r="B864" s="2">
        <v>45668</v>
      </c>
      <c r="C864" t="s">
        <v>26</v>
      </c>
      <c r="D864" t="s">
        <v>20</v>
      </c>
      <c r="E864" t="s">
        <v>38</v>
      </c>
      <c r="F864" t="s">
        <v>19</v>
      </c>
      <c r="G864">
        <v>3</v>
      </c>
      <c r="H864" s="3">
        <v>83.56</v>
      </c>
      <c r="I864" s="3">
        <v>50.18</v>
      </c>
      <c r="J864" s="3">
        <f t="shared" si="39"/>
        <v>250.68</v>
      </c>
      <c r="K864" s="3">
        <f t="shared" si="40"/>
        <v>150.54</v>
      </c>
      <c r="L864" s="3">
        <f t="shared" si="41"/>
        <v>100.14000000000001</v>
      </c>
    </row>
    <row r="865" spans="1:12" x14ac:dyDescent="0.3">
      <c r="A865">
        <v>2353</v>
      </c>
      <c r="B865" s="2">
        <v>45668</v>
      </c>
      <c r="C865" t="s">
        <v>16</v>
      </c>
      <c r="D865" t="s">
        <v>29</v>
      </c>
      <c r="E865" t="s">
        <v>41</v>
      </c>
      <c r="F865" t="s">
        <v>39</v>
      </c>
      <c r="G865">
        <v>30</v>
      </c>
      <c r="H865" s="3">
        <v>184.25</v>
      </c>
      <c r="I865" s="3">
        <v>126.88</v>
      </c>
      <c r="J865" s="3">
        <f t="shared" si="39"/>
        <v>5527.5</v>
      </c>
      <c r="K865" s="3">
        <f t="shared" si="40"/>
        <v>3806.3999999999996</v>
      </c>
      <c r="L865" s="3">
        <f t="shared" si="41"/>
        <v>1721.1000000000004</v>
      </c>
    </row>
    <row r="866" spans="1:12" x14ac:dyDescent="0.3">
      <c r="A866">
        <v>2722</v>
      </c>
      <c r="B866" s="2">
        <v>45668</v>
      </c>
      <c r="C866" t="s">
        <v>16</v>
      </c>
      <c r="D866" t="s">
        <v>17</v>
      </c>
      <c r="E866" t="s">
        <v>40</v>
      </c>
      <c r="F866" t="s">
        <v>19</v>
      </c>
      <c r="G866">
        <v>25</v>
      </c>
      <c r="H866" s="3">
        <v>162.93</v>
      </c>
      <c r="I866" s="3">
        <v>92.25</v>
      </c>
      <c r="J866" s="3">
        <f t="shared" si="39"/>
        <v>4073.25</v>
      </c>
      <c r="K866" s="3">
        <f t="shared" si="40"/>
        <v>2306.25</v>
      </c>
      <c r="L866" s="3">
        <f t="shared" si="41"/>
        <v>1767</v>
      </c>
    </row>
    <row r="867" spans="1:12" x14ac:dyDescent="0.3">
      <c r="A867">
        <v>2761</v>
      </c>
      <c r="B867" s="2">
        <v>45668</v>
      </c>
      <c r="C867" t="s">
        <v>32</v>
      </c>
      <c r="D867" t="s">
        <v>17</v>
      </c>
      <c r="E867" t="s">
        <v>44</v>
      </c>
      <c r="F867" t="s">
        <v>19</v>
      </c>
      <c r="G867">
        <v>30</v>
      </c>
      <c r="H867" s="3">
        <v>407.36</v>
      </c>
      <c r="I867" s="3">
        <v>290.58</v>
      </c>
      <c r="J867" s="3">
        <f t="shared" si="39"/>
        <v>12220.800000000001</v>
      </c>
      <c r="K867" s="3">
        <f t="shared" si="40"/>
        <v>8717.4</v>
      </c>
      <c r="L867" s="3">
        <f t="shared" si="41"/>
        <v>3503.4000000000015</v>
      </c>
    </row>
    <row r="868" spans="1:12" x14ac:dyDescent="0.3">
      <c r="A868">
        <v>1784</v>
      </c>
      <c r="B868" s="2">
        <v>45669</v>
      </c>
      <c r="C868" t="s">
        <v>26</v>
      </c>
      <c r="D868" t="s">
        <v>20</v>
      </c>
      <c r="E868" t="s">
        <v>21</v>
      </c>
      <c r="F868" t="s">
        <v>39</v>
      </c>
      <c r="G868">
        <v>16</v>
      </c>
      <c r="H868" s="3">
        <v>217.84</v>
      </c>
      <c r="I868" s="3">
        <v>110.46</v>
      </c>
      <c r="J868" s="3">
        <f t="shared" si="39"/>
        <v>3485.44</v>
      </c>
      <c r="K868" s="3">
        <f t="shared" si="40"/>
        <v>1767.36</v>
      </c>
      <c r="L868" s="3">
        <f t="shared" si="41"/>
        <v>1718.0800000000002</v>
      </c>
    </row>
    <row r="869" spans="1:12" x14ac:dyDescent="0.3">
      <c r="A869">
        <v>2010</v>
      </c>
      <c r="B869" s="2">
        <v>45669</v>
      </c>
      <c r="C869" t="s">
        <v>26</v>
      </c>
      <c r="D869" t="s">
        <v>29</v>
      </c>
      <c r="E869" t="s">
        <v>37</v>
      </c>
      <c r="F869" t="s">
        <v>22</v>
      </c>
      <c r="G869">
        <v>7</v>
      </c>
      <c r="H869" s="3">
        <v>294.52999999999997</v>
      </c>
      <c r="I869" s="3">
        <v>184.68</v>
      </c>
      <c r="J869" s="3">
        <f t="shared" si="39"/>
        <v>2061.71</v>
      </c>
      <c r="K869" s="3">
        <f t="shared" si="40"/>
        <v>1292.76</v>
      </c>
      <c r="L869" s="3">
        <f t="shared" si="41"/>
        <v>768.95</v>
      </c>
    </row>
    <row r="870" spans="1:12" x14ac:dyDescent="0.3">
      <c r="A870">
        <v>2650</v>
      </c>
      <c r="B870" s="2">
        <v>45669</v>
      </c>
      <c r="C870" t="s">
        <v>12</v>
      </c>
      <c r="D870" t="s">
        <v>17</v>
      </c>
      <c r="E870" t="s">
        <v>18</v>
      </c>
      <c r="F870" t="s">
        <v>33</v>
      </c>
      <c r="G870">
        <v>22</v>
      </c>
      <c r="H870" s="3">
        <v>488.82</v>
      </c>
      <c r="I870" s="3">
        <v>279.95</v>
      </c>
      <c r="J870" s="3">
        <f t="shared" si="39"/>
        <v>10754.039999999999</v>
      </c>
      <c r="K870" s="3">
        <f t="shared" si="40"/>
        <v>6158.9</v>
      </c>
      <c r="L870" s="3">
        <f t="shared" si="41"/>
        <v>4595.1399999999994</v>
      </c>
    </row>
    <row r="871" spans="1:12" x14ac:dyDescent="0.3">
      <c r="A871">
        <v>1520</v>
      </c>
      <c r="B871" s="2">
        <v>45670</v>
      </c>
      <c r="C871" t="s">
        <v>16</v>
      </c>
      <c r="D871" t="s">
        <v>17</v>
      </c>
      <c r="E871" t="s">
        <v>27</v>
      </c>
      <c r="F871" t="s">
        <v>33</v>
      </c>
      <c r="G871">
        <v>8</v>
      </c>
      <c r="H871" s="3">
        <v>783.45</v>
      </c>
      <c r="I871" s="3">
        <v>468.95</v>
      </c>
      <c r="J871" s="3">
        <f t="shared" si="39"/>
        <v>6267.6</v>
      </c>
      <c r="K871" s="3">
        <f t="shared" si="40"/>
        <v>3751.6</v>
      </c>
      <c r="L871" s="3">
        <f t="shared" si="41"/>
        <v>2516.0000000000005</v>
      </c>
    </row>
    <row r="872" spans="1:12" x14ac:dyDescent="0.3">
      <c r="A872">
        <v>1878</v>
      </c>
      <c r="B872" s="2">
        <v>45672</v>
      </c>
      <c r="C872" t="s">
        <v>26</v>
      </c>
      <c r="D872" t="s">
        <v>17</v>
      </c>
      <c r="E872" t="s">
        <v>35</v>
      </c>
      <c r="F872" t="s">
        <v>25</v>
      </c>
      <c r="G872">
        <v>31</v>
      </c>
      <c r="H872" s="3">
        <v>763.45</v>
      </c>
      <c r="I872" s="3">
        <v>396.8</v>
      </c>
      <c r="J872" s="3">
        <f t="shared" si="39"/>
        <v>23666.95</v>
      </c>
      <c r="K872" s="3">
        <f t="shared" si="40"/>
        <v>12300.800000000001</v>
      </c>
      <c r="L872" s="3">
        <f t="shared" si="41"/>
        <v>11366.15</v>
      </c>
    </row>
    <row r="873" spans="1:12" x14ac:dyDescent="0.3">
      <c r="A873">
        <v>1927</v>
      </c>
      <c r="B873" s="2">
        <v>45672</v>
      </c>
      <c r="C873" t="s">
        <v>32</v>
      </c>
      <c r="D873" t="s">
        <v>13</v>
      </c>
      <c r="E873" t="s">
        <v>31</v>
      </c>
      <c r="F873" t="s">
        <v>25</v>
      </c>
      <c r="G873">
        <v>1</v>
      </c>
      <c r="H873" s="3">
        <v>3.62</v>
      </c>
      <c r="I873" s="3">
        <v>2.5299999999999998</v>
      </c>
      <c r="J873" s="3">
        <f t="shared" si="39"/>
        <v>3.62</v>
      </c>
      <c r="K873" s="3">
        <f t="shared" si="40"/>
        <v>2.5299999999999998</v>
      </c>
      <c r="L873" s="3">
        <f t="shared" si="41"/>
        <v>1.0900000000000003</v>
      </c>
    </row>
    <row r="874" spans="1:12" x14ac:dyDescent="0.3">
      <c r="A874">
        <v>2300</v>
      </c>
      <c r="B874" s="2">
        <v>45672</v>
      </c>
      <c r="C874" t="s">
        <v>16</v>
      </c>
      <c r="D874" t="s">
        <v>13</v>
      </c>
      <c r="E874" t="s">
        <v>31</v>
      </c>
      <c r="F874" t="s">
        <v>33</v>
      </c>
      <c r="G874">
        <v>27</v>
      </c>
      <c r="H874" s="3">
        <v>25.9</v>
      </c>
      <c r="I874" s="3">
        <v>14.84</v>
      </c>
      <c r="J874" s="3">
        <f t="shared" si="39"/>
        <v>699.3</v>
      </c>
      <c r="K874" s="3">
        <f t="shared" si="40"/>
        <v>400.68</v>
      </c>
      <c r="L874" s="3">
        <f t="shared" si="41"/>
        <v>298.61999999999995</v>
      </c>
    </row>
    <row r="875" spans="1:12" x14ac:dyDescent="0.3">
      <c r="A875">
        <v>1689</v>
      </c>
      <c r="B875" s="2">
        <v>45673</v>
      </c>
      <c r="C875" t="s">
        <v>32</v>
      </c>
      <c r="D875" t="s">
        <v>29</v>
      </c>
      <c r="E875" t="s">
        <v>30</v>
      </c>
      <c r="F875" t="s">
        <v>22</v>
      </c>
      <c r="G875">
        <v>8</v>
      </c>
      <c r="H875" s="3">
        <v>82.19</v>
      </c>
      <c r="I875" s="3">
        <v>45.95</v>
      </c>
      <c r="J875" s="3">
        <f t="shared" si="39"/>
        <v>657.52</v>
      </c>
      <c r="K875" s="3">
        <f t="shared" si="40"/>
        <v>367.6</v>
      </c>
      <c r="L875" s="3">
        <f t="shared" si="41"/>
        <v>289.91999999999996</v>
      </c>
    </row>
    <row r="876" spans="1:12" x14ac:dyDescent="0.3">
      <c r="A876">
        <v>2385</v>
      </c>
      <c r="B876" s="2">
        <v>45673</v>
      </c>
      <c r="C876" t="s">
        <v>32</v>
      </c>
      <c r="D876" t="s">
        <v>17</v>
      </c>
      <c r="E876" t="s">
        <v>27</v>
      </c>
      <c r="F876" t="s">
        <v>28</v>
      </c>
      <c r="G876">
        <v>33</v>
      </c>
      <c r="H876" s="3">
        <v>229.44</v>
      </c>
      <c r="I876" s="3">
        <v>157.4</v>
      </c>
      <c r="J876" s="3">
        <f t="shared" si="39"/>
        <v>7571.5199999999995</v>
      </c>
      <c r="K876" s="3">
        <f t="shared" si="40"/>
        <v>5194.2</v>
      </c>
      <c r="L876" s="3">
        <f t="shared" si="41"/>
        <v>2377.3199999999997</v>
      </c>
    </row>
    <row r="877" spans="1:12" x14ac:dyDescent="0.3">
      <c r="A877">
        <v>2609</v>
      </c>
      <c r="B877" s="2">
        <v>45673</v>
      </c>
      <c r="C877" t="s">
        <v>16</v>
      </c>
      <c r="D877" t="s">
        <v>17</v>
      </c>
      <c r="E877" t="s">
        <v>18</v>
      </c>
      <c r="F877" t="s">
        <v>28</v>
      </c>
      <c r="G877">
        <v>1</v>
      </c>
      <c r="H877" s="3">
        <v>101.29</v>
      </c>
      <c r="I877" s="3">
        <v>54.09</v>
      </c>
      <c r="J877" s="3">
        <f t="shared" si="39"/>
        <v>101.29</v>
      </c>
      <c r="K877" s="3">
        <f t="shared" si="40"/>
        <v>54.09</v>
      </c>
      <c r="L877" s="3">
        <f t="shared" si="41"/>
        <v>47.2</v>
      </c>
    </row>
    <row r="878" spans="1:12" x14ac:dyDescent="0.3">
      <c r="A878">
        <v>1189</v>
      </c>
      <c r="B878" s="2">
        <v>45674</v>
      </c>
      <c r="C878" t="s">
        <v>23</v>
      </c>
      <c r="D878" t="s">
        <v>20</v>
      </c>
      <c r="E878" t="s">
        <v>34</v>
      </c>
      <c r="F878" t="s">
        <v>39</v>
      </c>
      <c r="G878">
        <v>39</v>
      </c>
      <c r="H878" s="3">
        <v>217.05</v>
      </c>
      <c r="I878" s="3">
        <v>112.76</v>
      </c>
      <c r="J878" s="3">
        <f t="shared" si="39"/>
        <v>8464.9500000000007</v>
      </c>
      <c r="K878" s="3">
        <f t="shared" si="40"/>
        <v>4397.6400000000003</v>
      </c>
      <c r="L878" s="3">
        <f t="shared" si="41"/>
        <v>4067.3100000000004</v>
      </c>
    </row>
    <row r="879" spans="1:12" x14ac:dyDescent="0.3">
      <c r="A879">
        <v>2269</v>
      </c>
      <c r="B879" s="2">
        <v>45674</v>
      </c>
      <c r="C879" t="s">
        <v>12</v>
      </c>
      <c r="D879" t="s">
        <v>29</v>
      </c>
      <c r="E879" t="s">
        <v>41</v>
      </c>
      <c r="F879" t="s">
        <v>25</v>
      </c>
      <c r="G879">
        <v>2</v>
      </c>
      <c r="H879" s="3">
        <v>167.97</v>
      </c>
      <c r="I879" s="3">
        <v>93.79</v>
      </c>
      <c r="J879" s="3">
        <f t="shared" si="39"/>
        <v>335.94</v>
      </c>
      <c r="K879" s="3">
        <f t="shared" si="40"/>
        <v>187.58</v>
      </c>
      <c r="L879" s="3">
        <f t="shared" si="41"/>
        <v>148.35999999999999</v>
      </c>
    </row>
    <row r="880" spans="1:12" x14ac:dyDescent="0.3">
      <c r="A880">
        <v>2681</v>
      </c>
      <c r="B880" s="2">
        <v>45674</v>
      </c>
      <c r="C880" t="s">
        <v>16</v>
      </c>
      <c r="D880" t="s">
        <v>29</v>
      </c>
      <c r="E880" t="s">
        <v>37</v>
      </c>
      <c r="F880" t="s">
        <v>22</v>
      </c>
      <c r="G880">
        <v>24</v>
      </c>
      <c r="H880" s="3">
        <v>251.17</v>
      </c>
      <c r="I880" s="3">
        <v>184.65</v>
      </c>
      <c r="J880" s="3">
        <f t="shared" si="39"/>
        <v>6028.08</v>
      </c>
      <c r="K880" s="3">
        <f t="shared" si="40"/>
        <v>4431.6000000000004</v>
      </c>
      <c r="L880" s="3">
        <f t="shared" si="41"/>
        <v>1596.4799999999996</v>
      </c>
    </row>
    <row r="881" spans="1:12" x14ac:dyDescent="0.3">
      <c r="A881">
        <v>2784</v>
      </c>
      <c r="B881" s="2">
        <v>45674</v>
      </c>
      <c r="C881" t="s">
        <v>26</v>
      </c>
      <c r="D881" t="s">
        <v>20</v>
      </c>
      <c r="E881" t="s">
        <v>21</v>
      </c>
      <c r="F881" t="s">
        <v>15</v>
      </c>
      <c r="G881">
        <v>35</v>
      </c>
      <c r="H881" s="3">
        <v>276.86</v>
      </c>
      <c r="I881" s="3">
        <v>182.88</v>
      </c>
      <c r="J881" s="3">
        <f t="shared" si="39"/>
        <v>9690.1</v>
      </c>
      <c r="K881" s="3">
        <f t="shared" si="40"/>
        <v>6400.8</v>
      </c>
      <c r="L881" s="3">
        <f t="shared" si="41"/>
        <v>3289.3</v>
      </c>
    </row>
    <row r="882" spans="1:12" x14ac:dyDescent="0.3">
      <c r="A882">
        <v>1088</v>
      </c>
      <c r="B882" s="2">
        <v>45675</v>
      </c>
      <c r="C882" t="s">
        <v>23</v>
      </c>
      <c r="D882" t="s">
        <v>13</v>
      </c>
      <c r="E882" t="s">
        <v>24</v>
      </c>
      <c r="F882" t="s">
        <v>36</v>
      </c>
      <c r="G882">
        <v>37</v>
      </c>
      <c r="H882" s="3">
        <v>13.26</v>
      </c>
      <c r="I882" s="3">
        <v>7.9</v>
      </c>
      <c r="J882" s="3">
        <f t="shared" si="39"/>
        <v>490.62</v>
      </c>
      <c r="K882" s="3">
        <f t="shared" si="40"/>
        <v>292.3</v>
      </c>
      <c r="L882" s="3">
        <f t="shared" si="41"/>
        <v>198.32</v>
      </c>
    </row>
    <row r="883" spans="1:12" x14ac:dyDescent="0.3">
      <c r="A883">
        <v>1766</v>
      </c>
      <c r="B883" s="2">
        <v>45675</v>
      </c>
      <c r="C883" t="s">
        <v>12</v>
      </c>
      <c r="D883" t="s">
        <v>13</v>
      </c>
      <c r="E883" t="s">
        <v>45</v>
      </c>
      <c r="F883" t="s">
        <v>22</v>
      </c>
      <c r="G883">
        <v>27</v>
      </c>
      <c r="H883" s="3">
        <v>3.83</v>
      </c>
      <c r="I883" s="3">
        <v>1.98</v>
      </c>
      <c r="J883" s="3">
        <f t="shared" si="39"/>
        <v>103.41</v>
      </c>
      <c r="K883" s="3">
        <f t="shared" si="40"/>
        <v>53.46</v>
      </c>
      <c r="L883" s="3">
        <f t="shared" si="41"/>
        <v>49.949999999999996</v>
      </c>
    </row>
    <row r="884" spans="1:12" x14ac:dyDescent="0.3">
      <c r="A884">
        <v>1055</v>
      </c>
      <c r="B884" s="2">
        <v>45676</v>
      </c>
      <c r="C884" t="s">
        <v>23</v>
      </c>
      <c r="D884" t="s">
        <v>13</v>
      </c>
      <c r="E884" t="s">
        <v>45</v>
      </c>
      <c r="F884" t="s">
        <v>39</v>
      </c>
      <c r="G884">
        <v>7</v>
      </c>
      <c r="H884" s="3">
        <v>20.190000000000001</v>
      </c>
      <c r="I884" s="3">
        <v>14.11</v>
      </c>
      <c r="J884" s="3">
        <f t="shared" si="39"/>
        <v>141.33000000000001</v>
      </c>
      <c r="K884" s="3">
        <f t="shared" si="40"/>
        <v>98.77</v>
      </c>
      <c r="L884" s="3">
        <f t="shared" si="41"/>
        <v>42.560000000000016</v>
      </c>
    </row>
    <row r="885" spans="1:12" x14ac:dyDescent="0.3">
      <c r="A885">
        <v>1300</v>
      </c>
      <c r="B885" s="2">
        <v>45676</v>
      </c>
      <c r="C885" t="s">
        <v>12</v>
      </c>
      <c r="D885" t="s">
        <v>17</v>
      </c>
      <c r="E885" t="s">
        <v>35</v>
      </c>
      <c r="F885" t="s">
        <v>25</v>
      </c>
      <c r="G885">
        <v>22</v>
      </c>
      <c r="H885" s="3">
        <v>558.99</v>
      </c>
      <c r="I885" s="3">
        <v>411.2</v>
      </c>
      <c r="J885" s="3">
        <f t="shared" si="39"/>
        <v>12297.78</v>
      </c>
      <c r="K885" s="3">
        <f t="shared" si="40"/>
        <v>9046.4</v>
      </c>
      <c r="L885" s="3">
        <f t="shared" si="41"/>
        <v>3251.380000000001</v>
      </c>
    </row>
    <row r="886" spans="1:12" x14ac:dyDescent="0.3">
      <c r="A886">
        <v>1589</v>
      </c>
      <c r="B886" s="2">
        <v>45676</v>
      </c>
      <c r="C886" t="s">
        <v>26</v>
      </c>
      <c r="D886" t="s">
        <v>17</v>
      </c>
      <c r="E886" t="s">
        <v>18</v>
      </c>
      <c r="F886" t="s">
        <v>15</v>
      </c>
      <c r="G886">
        <v>27</v>
      </c>
      <c r="H886" s="3">
        <v>206.91</v>
      </c>
      <c r="I886" s="3">
        <v>113.76</v>
      </c>
      <c r="J886" s="3">
        <f t="shared" si="39"/>
        <v>5586.57</v>
      </c>
      <c r="K886" s="3">
        <f t="shared" si="40"/>
        <v>3071.52</v>
      </c>
      <c r="L886" s="3">
        <f t="shared" si="41"/>
        <v>2515.0499999999997</v>
      </c>
    </row>
    <row r="887" spans="1:12" x14ac:dyDescent="0.3">
      <c r="A887">
        <v>2279</v>
      </c>
      <c r="B887" s="2">
        <v>45676</v>
      </c>
      <c r="C887" t="s">
        <v>16</v>
      </c>
      <c r="D887" t="s">
        <v>17</v>
      </c>
      <c r="E887" t="s">
        <v>18</v>
      </c>
      <c r="F887" t="s">
        <v>33</v>
      </c>
      <c r="G887">
        <v>26</v>
      </c>
      <c r="H887" s="3">
        <v>209.52</v>
      </c>
      <c r="I887" s="3">
        <v>121.73</v>
      </c>
      <c r="J887" s="3">
        <f t="shared" si="39"/>
        <v>5447.52</v>
      </c>
      <c r="K887" s="3">
        <f t="shared" si="40"/>
        <v>3164.98</v>
      </c>
      <c r="L887" s="3">
        <f t="shared" si="41"/>
        <v>2282.5400000000004</v>
      </c>
    </row>
    <row r="888" spans="1:12" x14ac:dyDescent="0.3">
      <c r="A888">
        <v>2697</v>
      </c>
      <c r="B888" s="2">
        <v>45676</v>
      </c>
      <c r="C888" t="s">
        <v>16</v>
      </c>
      <c r="D888" t="s">
        <v>13</v>
      </c>
      <c r="E888" t="s">
        <v>46</v>
      </c>
      <c r="F888" t="s">
        <v>28</v>
      </c>
      <c r="G888">
        <v>12</v>
      </c>
      <c r="H888" s="3">
        <v>18.739999999999998</v>
      </c>
      <c r="I888" s="3">
        <v>9.6199999999999992</v>
      </c>
      <c r="J888" s="3">
        <f t="shared" si="39"/>
        <v>224.88</v>
      </c>
      <c r="K888" s="3">
        <f t="shared" si="40"/>
        <v>115.44</v>
      </c>
      <c r="L888" s="3">
        <f t="shared" si="41"/>
        <v>109.44</v>
      </c>
    </row>
    <row r="889" spans="1:12" x14ac:dyDescent="0.3">
      <c r="A889">
        <v>2504</v>
      </c>
      <c r="B889" s="2">
        <v>45677</v>
      </c>
      <c r="C889" t="s">
        <v>16</v>
      </c>
      <c r="D889" t="s">
        <v>13</v>
      </c>
      <c r="E889" t="s">
        <v>45</v>
      </c>
      <c r="F889" t="s">
        <v>19</v>
      </c>
      <c r="G889">
        <v>12</v>
      </c>
      <c r="H889" s="3">
        <v>22.91</v>
      </c>
      <c r="I889" s="3">
        <v>13.71</v>
      </c>
      <c r="J889" s="3">
        <f t="shared" si="39"/>
        <v>274.92</v>
      </c>
      <c r="K889" s="3">
        <f t="shared" si="40"/>
        <v>164.52</v>
      </c>
      <c r="L889" s="3">
        <f t="shared" si="41"/>
        <v>110.4</v>
      </c>
    </row>
    <row r="890" spans="1:12" x14ac:dyDescent="0.3">
      <c r="A890">
        <v>1364</v>
      </c>
      <c r="B890" s="2">
        <v>45678</v>
      </c>
      <c r="C890" t="s">
        <v>26</v>
      </c>
      <c r="D890" t="s">
        <v>20</v>
      </c>
      <c r="E890" t="s">
        <v>38</v>
      </c>
      <c r="F890" t="s">
        <v>15</v>
      </c>
      <c r="G890">
        <v>9</v>
      </c>
      <c r="H890" s="3">
        <v>150.57</v>
      </c>
      <c r="I890" s="3">
        <v>110.57</v>
      </c>
      <c r="J890" s="3">
        <f t="shared" si="39"/>
        <v>1355.1299999999999</v>
      </c>
      <c r="K890" s="3">
        <f t="shared" si="40"/>
        <v>995.12999999999988</v>
      </c>
      <c r="L890" s="3">
        <f t="shared" si="41"/>
        <v>360</v>
      </c>
    </row>
    <row r="891" spans="1:12" x14ac:dyDescent="0.3">
      <c r="A891">
        <v>1828</v>
      </c>
      <c r="B891" s="2">
        <v>45679</v>
      </c>
      <c r="C891" t="s">
        <v>16</v>
      </c>
      <c r="D891" t="s">
        <v>29</v>
      </c>
      <c r="E891" t="s">
        <v>30</v>
      </c>
      <c r="F891" t="s">
        <v>33</v>
      </c>
      <c r="G891">
        <v>16</v>
      </c>
      <c r="H891" s="3">
        <v>272.27</v>
      </c>
      <c r="I891" s="3">
        <v>160.22999999999999</v>
      </c>
      <c r="J891" s="3">
        <f t="shared" si="39"/>
        <v>4356.32</v>
      </c>
      <c r="K891" s="3">
        <f t="shared" si="40"/>
        <v>2563.6799999999998</v>
      </c>
      <c r="L891" s="3">
        <f t="shared" si="41"/>
        <v>1792.6399999999999</v>
      </c>
    </row>
    <row r="892" spans="1:12" x14ac:dyDescent="0.3">
      <c r="A892">
        <v>1447</v>
      </c>
      <c r="B892" s="2">
        <v>45680</v>
      </c>
      <c r="C892" t="s">
        <v>12</v>
      </c>
      <c r="D892" t="s">
        <v>17</v>
      </c>
      <c r="E892" t="s">
        <v>35</v>
      </c>
      <c r="F892" t="s">
        <v>33</v>
      </c>
      <c r="G892">
        <v>40</v>
      </c>
      <c r="H892" s="3">
        <v>260.58</v>
      </c>
      <c r="I892" s="3">
        <v>155.53</v>
      </c>
      <c r="J892" s="3">
        <f t="shared" si="39"/>
        <v>10423.199999999999</v>
      </c>
      <c r="K892" s="3">
        <f t="shared" si="40"/>
        <v>6221.2</v>
      </c>
      <c r="L892" s="3">
        <f t="shared" si="41"/>
        <v>4201.9999999999991</v>
      </c>
    </row>
    <row r="893" spans="1:12" x14ac:dyDescent="0.3">
      <c r="A893">
        <v>2345</v>
      </c>
      <c r="B893" s="2">
        <v>45680</v>
      </c>
      <c r="C893" t="s">
        <v>16</v>
      </c>
      <c r="D893" t="s">
        <v>20</v>
      </c>
      <c r="E893" t="s">
        <v>42</v>
      </c>
      <c r="F893" t="s">
        <v>39</v>
      </c>
      <c r="G893">
        <v>5</v>
      </c>
      <c r="H893" s="3">
        <v>116.65</v>
      </c>
      <c r="I893" s="3">
        <v>69.44</v>
      </c>
      <c r="J893" s="3">
        <f t="shared" si="39"/>
        <v>583.25</v>
      </c>
      <c r="K893" s="3">
        <f t="shared" si="40"/>
        <v>347.2</v>
      </c>
      <c r="L893" s="3">
        <f t="shared" si="41"/>
        <v>236.05</v>
      </c>
    </row>
    <row r="894" spans="1:12" x14ac:dyDescent="0.3">
      <c r="A894">
        <v>1590</v>
      </c>
      <c r="B894" s="2">
        <v>45682</v>
      </c>
      <c r="C894" t="s">
        <v>32</v>
      </c>
      <c r="D894" t="s">
        <v>20</v>
      </c>
      <c r="E894" t="s">
        <v>42</v>
      </c>
      <c r="F894" t="s">
        <v>15</v>
      </c>
      <c r="G894">
        <v>38</v>
      </c>
      <c r="H894" s="3">
        <v>27.52</v>
      </c>
      <c r="I894" s="3">
        <v>13.78</v>
      </c>
      <c r="J894" s="3">
        <f t="shared" si="39"/>
        <v>1045.76</v>
      </c>
      <c r="K894" s="3">
        <f t="shared" si="40"/>
        <v>523.64</v>
      </c>
      <c r="L894" s="3">
        <f t="shared" si="41"/>
        <v>522.12</v>
      </c>
    </row>
    <row r="895" spans="1:12" x14ac:dyDescent="0.3">
      <c r="A895">
        <v>1802</v>
      </c>
      <c r="B895" s="2">
        <v>45682</v>
      </c>
      <c r="C895" t="s">
        <v>16</v>
      </c>
      <c r="D895" t="s">
        <v>20</v>
      </c>
      <c r="E895" t="s">
        <v>34</v>
      </c>
      <c r="F895" t="s">
        <v>39</v>
      </c>
      <c r="G895">
        <v>17</v>
      </c>
      <c r="H895" s="3">
        <v>227.36</v>
      </c>
      <c r="I895" s="3">
        <v>166.95</v>
      </c>
      <c r="J895" s="3">
        <f t="shared" si="39"/>
        <v>3865.1200000000003</v>
      </c>
      <c r="K895" s="3">
        <f t="shared" si="40"/>
        <v>2838.1499999999996</v>
      </c>
      <c r="L895" s="3">
        <f t="shared" si="41"/>
        <v>1026.9700000000007</v>
      </c>
    </row>
    <row r="896" spans="1:12" x14ac:dyDescent="0.3">
      <c r="A896">
        <v>2244</v>
      </c>
      <c r="B896" s="2">
        <v>45682</v>
      </c>
      <c r="C896" t="s">
        <v>23</v>
      </c>
      <c r="D896" t="s">
        <v>20</v>
      </c>
      <c r="E896" t="s">
        <v>21</v>
      </c>
      <c r="F896" t="s">
        <v>19</v>
      </c>
      <c r="G896">
        <v>2</v>
      </c>
      <c r="H896" s="3">
        <v>143.46</v>
      </c>
      <c r="I896" s="3">
        <v>92.24</v>
      </c>
      <c r="J896" s="3">
        <f t="shared" si="39"/>
        <v>286.92</v>
      </c>
      <c r="K896" s="3">
        <f t="shared" si="40"/>
        <v>184.48</v>
      </c>
      <c r="L896" s="3">
        <f t="shared" si="41"/>
        <v>102.44000000000003</v>
      </c>
    </row>
    <row r="897" spans="1:12" x14ac:dyDescent="0.3">
      <c r="A897">
        <v>2634</v>
      </c>
      <c r="B897" s="2">
        <v>45682</v>
      </c>
      <c r="C897" t="s">
        <v>32</v>
      </c>
      <c r="D897" t="s">
        <v>13</v>
      </c>
      <c r="E897" t="s">
        <v>31</v>
      </c>
      <c r="F897" t="s">
        <v>19</v>
      </c>
      <c r="G897">
        <v>14</v>
      </c>
      <c r="H897" s="3">
        <v>39.979999999999997</v>
      </c>
      <c r="I897" s="3">
        <v>22.34</v>
      </c>
      <c r="J897" s="3">
        <f t="shared" si="39"/>
        <v>559.71999999999991</v>
      </c>
      <c r="K897" s="3">
        <f t="shared" si="40"/>
        <v>312.76</v>
      </c>
      <c r="L897" s="3">
        <f t="shared" si="41"/>
        <v>246.95999999999992</v>
      </c>
    </row>
    <row r="898" spans="1:12" x14ac:dyDescent="0.3">
      <c r="A898">
        <v>2721</v>
      </c>
      <c r="B898" s="2">
        <v>45682</v>
      </c>
      <c r="C898" t="s">
        <v>23</v>
      </c>
      <c r="D898" t="s">
        <v>29</v>
      </c>
      <c r="E898" t="s">
        <v>41</v>
      </c>
      <c r="F898" t="s">
        <v>19</v>
      </c>
      <c r="G898">
        <v>8</v>
      </c>
      <c r="H898" s="3">
        <v>270.33999999999997</v>
      </c>
      <c r="I898" s="3">
        <v>144.41</v>
      </c>
      <c r="J898" s="3">
        <f t="shared" ref="J898:J961" si="42">G898*H898</f>
        <v>2162.7199999999998</v>
      </c>
      <c r="K898" s="3">
        <f t="shared" ref="K898:K961" si="43">G898*I898</f>
        <v>1155.28</v>
      </c>
      <c r="L898" s="3">
        <f t="shared" ref="L898:L961" si="44">J898-K898</f>
        <v>1007.4399999999998</v>
      </c>
    </row>
    <row r="899" spans="1:12" x14ac:dyDescent="0.3">
      <c r="A899">
        <v>2769</v>
      </c>
      <c r="B899" s="2">
        <v>45682</v>
      </c>
      <c r="C899" t="s">
        <v>26</v>
      </c>
      <c r="D899" t="s">
        <v>13</v>
      </c>
      <c r="E899" t="s">
        <v>46</v>
      </c>
      <c r="F899" t="s">
        <v>39</v>
      </c>
      <c r="G899">
        <v>37</v>
      </c>
      <c r="H899" s="3">
        <v>4.5599999999999996</v>
      </c>
      <c r="I899" s="3">
        <v>2.4</v>
      </c>
      <c r="J899" s="3">
        <f t="shared" si="42"/>
        <v>168.72</v>
      </c>
      <c r="K899" s="3">
        <f t="shared" si="43"/>
        <v>88.8</v>
      </c>
      <c r="L899" s="3">
        <f t="shared" si="44"/>
        <v>79.92</v>
      </c>
    </row>
    <row r="900" spans="1:12" x14ac:dyDescent="0.3">
      <c r="A900">
        <v>1194</v>
      </c>
      <c r="B900" s="2">
        <v>45683</v>
      </c>
      <c r="C900" t="s">
        <v>23</v>
      </c>
      <c r="D900" t="s">
        <v>20</v>
      </c>
      <c r="E900" t="s">
        <v>21</v>
      </c>
      <c r="F900" t="s">
        <v>25</v>
      </c>
      <c r="G900">
        <v>35</v>
      </c>
      <c r="H900" s="3">
        <v>298</v>
      </c>
      <c r="I900" s="3">
        <v>178.28</v>
      </c>
      <c r="J900" s="3">
        <f t="shared" si="42"/>
        <v>10430</v>
      </c>
      <c r="K900" s="3">
        <f t="shared" si="43"/>
        <v>6239.8</v>
      </c>
      <c r="L900" s="3">
        <f t="shared" si="44"/>
        <v>4190.2</v>
      </c>
    </row>
    <row r="901" spans="1:12" x14ac:dyDescent="0.3">
      <c r="A901">
        <v>1787</v>
      </c>
      <c r="B901" s="2">
        <v>45683</v>
      </c>
      <c r="C901" t="s">
        <v>16</v>
      </c>
      <c r="D901" t="s">
        <v>29</v>
      </c>
      <c r="E901" t="s">
        <v>41</v>
      </c>
      <c r="F901" t="s">
        <v>25</v>
      </c>
      <c r="G901">
        <v>7</v>
      </c>
      <c r="H901" s="3">
        <v>224.64</v>
      </c>
      <c r="I901" s="3">
        <v>154.37</v>
      </c>
      <c r="J901" s="3">
        <f t="shared" si="42"/>
        <v>1572.48</v>
      </c>
      <c r="K901" s="3">
        <f t="shared" si="43"/>
        <v>1080.5900000000001</v>
      </c>
      <c r="L901" s="3">
        <f t="shared" si="44"/>
        <v>491.88999999999987</v>
      </c>
    </row>
    <row r="902" spans="1:12" x14ac:dyDescent="0.3">
      <c r="A902">
        <v>2097</v>
      </c>
      <c r="B902" s="2">
        <v>45683</v>
      </c>
      <c r="C902" t="s">
        <v>16</v>
      </c>
      <c r="D902" t="s">
        <v>17</v>
      </c>
      <c r="E902" t="s">
        <v>40</v>
      </c>
      <c r="F902" t="s">
        <v>15</v>
      </c>
      <c r="G902">
        <v>28</v>
      </c>
      <c r="H902" s="3">
        <v>396.62</v>
      </c>
      <c r="I902" s="3">
        <v>271.95</v>
      </c>
      <c r="J902" s="3">
        <f t="shared" si="42"/>
        <v>11105.36</v>
      </c>
      <c r="K902" s="3">
        <f t="shared" si="43"/>
        <v>7614.5999999999995</v>
      </c>
      <c r="L902" s="3">
        <f t="shared" si="44"/>
        <v>3490.7600000000011</v>
      </c>
    </row>
    <row r="903" spans="1:12" x14ac:dyDescent="0.3">
      <c r="A903">
        <v>1242</v>
      </c>
      <c r="B903" s="2">
        <v>45685</v>
      </c>
      <c r="C903" t="s">
        <v>16</v>
      </c>
      <c r="D903" t="s">
        <v>20</v>
      </c>
      <c r="E903" t="s">
        <v>21</v>
      </c>
      <c r="F903" t="s">
        <v>28</v>
      </c>
      <c r="G903">
        <v>27</v>
      </c>
      <c r="H903" s="3">
        <v>178.31</v>
      </c>
      <c r="I903" s="3">
        <v>124.63</v>
      </c>
      <c r="J903" s="3">
        <f t="shared" si="42"/>
        <v>4814.37</v>
      </c>
      <c r="K903" s="3">
        <f t="shared" si="43"/>
        <v>3365.0099999999998</v>
      </c>
      <c r="L903" s="3">
        <f t="shared" si="44"/>
        <v>1449.3600000000001</v>
      </c>
    </row>
    <row r="904" spans="1:12" x14ac:dyDescent="0.3">
      <c r="A904">
        <v>1524</v>
      </c>
      <c r="B904" s="2">
        <v>45685</v>
      </c>
      <c r="C904" t="s">
        <v>32</v>
      </c>
      <c r="D904" t="s">
        <v>13</v>
      </c>
      <c r="E904" t="s">
        <v>24</v>
      </c>
      <c r="F904" t="s">
        <v>36</v>
      </c>
      <c r="G904">
        <v>39</v>
      </c>
      <c r="H904" s="3">
        <v>31.39</v>
      </c>
      <c r="I904" s="3">
        <v>17.809999999999999</v>
      </c>
      <c r="J904" s="3">
        <f t="shared" si="42"/>
        <v>1224.21</v>
      </c>
      <c r="K904" s="3">
        <f t="shared" si="43"/>
        <v>694.58999999999992</v>
      </c>
      <c r="L904" s="3">
        <f t="shared" si="44"/>
        <v>529.62000000000012</v>
      </c>
    </row>
    <row r="905" spans="1:12" x14ac:dyDescent="0.3">
      <c r="A905">
        <v>1869</v>
      </c>
      <c r="B905" s="2">
        <v>45685</v>
      </c>
      <c r="C905" t="s">
        <v>26</v>
      </c>
      <c r="D905" t="s">
        <v>20</v>
      </c>
      <c r="E905" t="s">
        <v>34</v>
      </c>
      <c r="F905" t="s">
        <v>25</v>
      </c>
      <c r="G905">
        <v>15</v>
      </c>
      <c r="H905" s="3">
        <v>192.4</v>
      </c>
      <c r="I905" s="3">
        <v>101.89</v>
      </c>
      <c r="J905" s="3">
        <f t="shared" si="42"/>
        <v>2886</v>
      </c>
      <c r="K905" s="3">
        <f t="shared" si="43"/>
        <v>1528.35</v>
      </c>
      <c r="L905" s="3">
        <f t="shared" si="44"/>
        <v>1357.65</v>
      </c>
    </row>
    <row r="906" spans="1:12" x14ac:dyDescent="0.3">
      <c r="A906">
        <v>1875</v>
      </c>
      <c r="B906" s="2">
        <v>45685</v>
      </c>
      <c r="C906" t="s">
        <v>26</v>
      </c>
      <c r="D906" t="s">
        <v>20</v>
      </c>
      <c r="E906" t="s">
        <v>34</v>
      </c>
      <c r="F906" t="s">
        <v>25</v>
      </c>
      <c r="G906">
        <v>16</v>
      </c>
      <c r="H906" s="3">
        <v>121.47</v>
      </c>
      <c r="I906" s="3">
        <v>75.13</v>
      </c>
      <c r="J906" s="3">
        <f t="shared" si="42"/>
        <v>1943.52</v>
      </c>
      <c r="K906" s="3">
        <f t="shared" si="43"/>
        <v>1202.08</v>
      </c>
      <c r="L906" s="3">
        <f t="shared" si="44"/>
        <v>741.44</v>
      </c>
    </row>
    <row r="907" spans="1:12" x14ac:dyDescent="0.3">
      <c r="A907">
        <v>2512</v>
      </c>
      <c r="B907" s="2">
        <v>45685</v>
      </c>
      <c r="C907" t="s">
        <v>16</v>
      </c>
      <c r="D907" t="s">
        <v>13</v>
      </c>
      <c r="E907" t="s">
        <v>46</v>
      </c>
      <c r="F907" t="s">
        <v>36</v>
      </c>
      <c r="G907">
        <v>33</v>
      </c>
      <c r="H907" s="3">
        <v>51.19</v>
      </c>
      <c r="I907" s="3">
        <v>32.200000000000003</v>
      </c>
      <c r="J907" s="3">
        <f t="shared" si="42"/>
        <v>1689.27</v>
      </c>
      <c r="K907" s="3">
        <f t="shared" si="43"/>
        <v>1062.6000000000001</v>
      </c>
      <c r="L907" s="3">
        <f t="shared" si="44"/>
        <v>626.66999999999985</v>
      </c>
    </row>
    <row r="908" spans="1:12" x14ac:dyDescent="0.3">
      <c r="A908">
        <v>1394</v>
      </c>
      <c r="B908" s="2">
        <v>45686</v>
      </c>
      <c r="C908" t="s">
        <v>12</v>
      </c>
      <c r="D908" t="s">
        <v>17</v>
      </c>
      <c r="E908" t="s">
        <v>27</v>
      </c>
      <c r="F908" t="s">
        <v>39</v>
      </c>
      <c r="G908">
        <v>34</v>
      </c>
      <c r="H908" s="3">
        <v>782.06</v>
      </c>
      <c r="I908" s="3">
        <v>409.86</v>
      </c>
      <c r="J908" s="3">
        <f t="shared" si="42"/>
        <v>26590.039999999997</v>
      </c>
      <c r="K908" s="3">
        <f t="shared" si="43"/>
        <v>13935.24</v>
      </c>
      <c r="L908" s="3">
        <f t="shared" si="44"/>
        <v>12654.799999999997</v>
      </c>
    </row>
    <row r="909" spans="1:12" x14ac:dyDescent="0.3">
      <c r="A909">
        <v>1783</v>
      </c>
      <c r="B909" s="2">
        <v>45686</v>
      </c>
      <c r="C909" t="s">
        <v>16</v>
      </c>
      <c r="D909" t="s">
        <v>13</v>
      </c>
      <c r="E909" t="s">
        <v>24</v>
      </c>
      <c r="F909" t="s">
        <v>36</v>
      </c>
      <c r="G909">
        <v>17</v>
      </c>
      <c r="H909" s="3">
        <v>45.84</v>
      </c>
      <c r="I909" s="3">
        <v>30.2</v>
      </c>
      <c r="J909" s="3">
        <f t="shared" si="42"/>
        <v>779.28000000000009</v>
      </c>
      <c r="K909" s="3">
        <f t="shared" si="43"/>
        <v>513.4</v>
      </c>
      <c r="L909" s="3">
        <f t="shared" si="44"/>
        <v>265.88000000000011</v>
      </c>
    </row>
    <row r="910" spans="1:12" x14ac:dyDescent="0.3">
      <c r="A910">
        <v>2115</v>
      </c>
      <c r="B910" s="2">
        <v>45686</v>
      </c>
      <c r="C910" t="s">
        <v>26</v>
      </c>
      <c r="D910" t="s">
        <v>20</v>
      </c>
      <c r="E910" t="s">
        <v>38</v>
      </c>
      <c r="F910" t="s">
        <v>25</v>
      </c>
      <c r="G910">
        <v>39</v>
      </c>
      <c r="H910" s="3">
        <v>154.63</v>
      </c>
      <c r="I910" s="3">
        <v>105.38</v>
      </c>
      <c r="J910" s="3">
        <f t="shared" si="42"/>
        <v>6030.57</v>
      </c>
      <c r="K910" s="3">
        <f t="shared" si="43"/>
        <v>4109.82</v>
      </c>
      <c r="L910" s="3">
        <f t="shared" si="44"/>
        <v>1920.75</v>
      </c>
    </row>
    <row r="911" spans="1:12" x14ac:dyDescent="0.3">
      <c r="A911">
        <v>2167</v>
      </c>
      <c r="B911" s="2">
        <v>45686</v>
      </c>
      <c r="C911" t="s">
        <v>26</v>
      </c>
      <c r="D911" t="s">
        <v>13</v>
      </c>
      <c r="E911" t="s">
        <v>24</v>
      </c>
      <c r="F911" t="s">
        <v>22</v>
      </c>
      <c r="G911">
        <v>10</v>
      </c>
      <c r="H911" s="3">
        <v>50.62</v>
      </c>
      <c r="I911" s="3">
        <v>25.46</v>
      </c>
      <c r="J911" s="3">
        <f t="shared" si="42"/>
        <v>506.2</v>
      </c>
      <c r="K911" s="3">
        <f t="shared" si="43"/>
        <v>254.60000000000002</v>
      </c>
      <c r="L911" s="3">
        <f t="shared" si="44"/>
        <v>251.59999999999997</v>
      </c>
    </row>
    <row r="912" spans="1:12" x14ac:dyDescent="0.3">
      <c r="A912">
        <v>1298</v>
      </c>
      <c r="B912" s="2">
        <v>45687</v>
      </c>
      <c r="C912" t="s">
        <v>23</v>
      </c>
      <c r="D912" t="s">
        <v>20</v>
      </c>
      <c r="E912" t="s">
        <v>34</v>
      </c>
      <c r="F912" t="s">
        <v>36</v>
      </c>
      <c r="G912">
        <v>32</v>
      </c>
      <c r="H912" s="3">
        <v>252.07</v>
      </c>
      <c r="I912" s="3">
        <v>175.74</v>
      </c>
      <c r="J912" s="3">
        <f t="shared" si="42"/>
        <v>8066.24</v>
      </c>
      <c r="K912" s="3">
        <f t="shared" si="43"/>
        <v>5623.68</v>
      </c>
      <c r="L912" s="3">
        <f t="shared" si="44"/>
        <v>2442.5599999999995</v>
      </c>
    </row>
    <row r="913" spans="1:12" x14ac:dyDescent="0.3">
      <c r="A913">
        <v>1753</v>
      </c>
      <c r="B913" s="2">
        <v>45687</v>
      </c>
      <c r="C913" t="s">
        <v>32</v>
      </c>
      <c r="D913" t="s">
        <v>13</v>
      </c>
      <c r="E913" t="s">
        <v>24</v>
      </c>
      <c r="F913" t="s">
        <v>15</v>
      </c>
      <c r="G913">
        <v>34</v>
      </c>
      <c r="H913" s="3">
        <v>6.27</v>
      </c>
      <c r="I913" s="3">
        <v>4.4800000000000004</v>
      </c>
      <c r="J913" s="3">
        <f t="shared" si="42"/>
        <v>213.17999999999998</v>
      </c>
      <c r="K913" s="3">
        <f t="shared" si="43"/>
        <v>152.32000000000002</v>
      </c>
      <c r="L913" s="3">
        <f t="shared" si="44"/>
        <v>60.859999999999957</v>
      </c>
    </row>
    <row r="914" spans="1:12" x14ac:dyDescent="0.3">
      <c r="A914">
        <v>2520</v>
      </c>
      <c r="B914" s="2">
        <v>45687</v>
      </c>
      <c r="C914" t="s">
        <v>16</v>
      </c>
      <c r="D914" t="s">
        <v>29</v>
      </c>
      <c r="E914" t="s">
        <v>30</v>
      </c>
      <c r="F914" t="s">
        <v>33</v>
      </c>
      <c r="G914">
        <v>32</v>
      </c>
      <c r="H914" s="3">
        <v>189.92</v>
      </c>
      <c r="I914" s="3">
        <v>109.52</v>
      </c>
      <c r="J914" s="3">
        <f t="shared" si="42"/>
        <v>6077.44</v>
      </c>
      <c r="K914" s="3">
        <f t="shared" si="43"/>
        <v>3504.64</v>
      </c>
      <c r="L914" s="3">
        <f t="shared" si="44"/>
        <v>2572.7999999999997</v>
      </c>
    </row>
    <row r="915" spans="1:12" x14ac:dyDescent="0.3">
      <c r="A915">
        <v>2621</v>
      </c>
      <c r="B915" s="2">
        <v>45687</v>
      </c>
      <c r="C915" t="s">
        <v>16</v>
      </c>
      <c r="D915" t="s">
        <v>17</v>
      </c>
      <c r="E915" t="s">
        <v>18</v>
      </c>
      <c r="F915" t="s">
        <v>33</v>
      </c>
      <c r="G915">
        <v>11</v>
      </c>
      <c r="H915" s="3">
        <v>369.54</v>
      </c>
      <c r="I915" s="3">
        <v>196.17</v>
      </c>
      <c r="J915" s="3">
        <f t="shared" si="42"/>
        <v>4064.94</v>
      </c>
      <c r="K915" s="3">
        <f t="shared" si="43"/>
        <v>2157.87</v>
      </c>
      <c r="L915" s="3">
        <f t="shared" si="44"/>
        <v>1907.0700000000002</v>
      </c>
    </row>
    <row r="916" spans="1:12" x14ac:dyDescent="0.3">
      <c r="A916">
        <v>2632</v>
      </c>
      <c r="B916" s="2">
        <v>45687</v>
      </c>
      <c r="C916" t="s">
        <v>16</v>
      </c>
      <c r="D916" t="s">
        <v>20</v>
      </c>
      <c r="E916" t="s">
        <v>34</v>
      </c>
      <c r="F916" t="s">
        <v>22</v>
      </c>
      <c r="G916">
        <v>20</v>
      </c>
      <c r="H916" s="3">
        <v>57.2</v>
      </c>
      <c r="I916" s="3">
        <v>35.450000000000003</v>
      </c>
      <c r="J916" s="3">
        <f t="shared" si="42"/>
        <v>1144</v>
      </c>
      <c r="K916" s="3">
        <f t="shared" si="43"/>
        <v>709</v>
      </c>
      <c r="L916" s="3">
        <f t="shared" si="44"/>
        <v>435</v>
      </c>
    </row>
    <row r="917" spans="1:12" x14ac:dyDescent="0.3">
      <c r="A917">
        <v>2786</v>
      </c>
      <c r="B917" s="2">
        <v>45687</v>
      </c>
      <c r="C917" t="s">
        <v>32</v>
      </c>
      <c r="D917" t="s">
        <v>13</v>
      </c>
      <c r="E917" t="s">
        <v>46</v>
      </c>
      <c r="F917" t="s">
        <v>28</v>
      </c>
      <c r="G917">
        <v>10</v>
      </c>
      <c r="H917" s="3">
        <v>29.74</v>
      </c>
      <c r="I917" s="3">
        <v>21.79</v>
      </c>
      <c r="J917" s="3">
        <f t="shared" si="42"/>
        <v>297.39999999999998</v>
      </c>
      <c r="K917" s="3">
        <f t="shared" si="43"/>
        <v>217.89999999999998</v>
      </c>
      <c r="L917" s="3">
        <f t="shared" si="44"/>
        <v>79.5</v>
      </c>
    </row>
    <row r="918" spans="1:12" x14ac:dyDescent="0.3">
      <c r="A918">
        <v>1562</v>
      </c>
      <c r="B918" s="2">
        <v>45688</v>
      </c>
      <c r="C918" t="s">
        <v>32</v>
      </c>
      <c r="D918" t="s">
        <v>13</v>
      </c>
      <c r="E918" t="s">
        <v>14</v>
      </c>
      <c r="F918" t="s">
        <v>39</v>
      </c>
      <c r="G918">
        <v>23</v>
      </c>
      <c r="H918" s="3">
        <v>14.53</v>
      </c>
      <c r="I918" s="3">
        <v>7.48</v>
      </c>
      <c r="J918" s="3">
        <f t="shared" si="42"/>
        <v>334.19</v>
      </c>
      <c r="K918" s="3">
        <f t="shared" si="43"/>
        <v>172.04000000000002</v>
      </c>
      <c r="L918" s="3">
        <f t="shared" si="44"/>
        <v>162.14999999999998</v>
      </c>
    </row>
    <row r="919" spans="1:12" x14ac:dyDescent="0.3">
      <c r="A919">
        <v>2336</v>
      </c>
      <c r="B919" s="2">
        <v>45688</v>
      </c>
      <c r="C919" t="s">
        <v>32</v>
      </c>
      <c r="D919" t="s">
        <v>17</v>
      </c>
      <c r="E919" t="s">
        <v>44</v>
      </c>
      <c r="F919" t="s">
        <v>19</v>
      </c>
      <c r="G919">
        <v>8</v>
      </c>
      <c r="H919" s="3">
        <v>363.52</v>
      </c>
      <c r="I919" s="3">
        <v>206.97</v>
      </c>
      <c r="J919" s="3">
        <f t="shared" si="42"/>
        <v>2908.16</v>
      </c>
      <c r="K919" s="3">
        <f t="shared" si="43"/>
        <v>1655.76</v>
      </c>
      <c r="L919" s="3">
        <f t="shared" si="44"/>
        <v>1252.3999999999999</v>
      </c>
    </row>
    <row r="920" spans="1:12" x14ac:dyDescent="0.3">
      <c r="A920">
        <v>1289</v>
      </c>
      <c r="B920" s="2">
        <v>45689</v>
      </c>
      <c r="C920" t="s">
        <v>32</v>
      </c>
      <c r="D920" t="s">
        <v>13</v>
      </c>
      <c r="E920" t="s">
        <v>24</v>
      </c>
      <c r="F920" t="s">
        <v>39</v>
      </c>
      <c r="G920">
        <v>38</v>
      </c>
      <c r="H920" s="3">
        <v>45.07</v>
      </c>
      <c r="I920" s="3">
        <v>30.46</v>
      </c>
      <c r="J920" s="3">
        <f t="shared" si="42"/>
        <v>1712.66</v>
      </c>
      <c r="K920" s="3">
        <f t="shared" si="43"/>
        <v>1157.48</v>
      </c>
      <c r="L920" s="3">
        <f t="shared" si="44"/>
        <v>555.18000000000006</v>
      </c>
    </row>
    <row r="921" spans="1:12" x14ac:dyDescent="0.3">
      <c r="A921">
        <v>1386</v>
      </c>
      <c r="B921" s="2">
        <v>45689</v>
      </c>
      <c r="C921" t="s">
        <v>23</v>
      </c>
      <c r="D921" t="s">
        <v>20</v>
      </c>
      <c r="E921" t="s">
        <v>42</v>
      </c>
      <c r="F921" t="s">
        <v>22</v>
      </c>
      <c r="G921">
        <v>21</v>
      </c>
      <c r="H921" s="3">
        <v>96.58</v>
      </c>
      <c r="I921" s="3">
        <v>66.2</v>
      </c>
      <c r="J921" s="3">
        <f t="shared" si="42"/>
        <v>2028.18</v>
      </c>
      <c r="K921" s="3">
        <f t="shared" si="43"/>
        <v>1390.2</v>
      </c>
      <c r="L921" s="3">
        <f t="shared" si="44"/>
        <v>637.98</v>
      </c>
    </row>
    <row r="922" spans="1:12" x14ac:dyDescent="0.3">
      <c r="A922">
        <v>2772</v>
      </c>
      <c r="B922" s="2">
        <v>45689</v>
      </c>
      <c r="C922" t="s">
        <v>12</v>
      </c>
      <c r="D922" t="s">
        <v>17</v>
      </c>
      <c r="E922" t="s">
        <v>27</v>
      </c>
      <c r="F922" t="s">
        <v>39</v>
      </c>
      <c r="G922">
        <v>35</v>
      </c>
      <c r="H922" s="3">
        <v>522.61</v>
      </c>
      <c r="I922" s="3">
        <v>286.19</v>
      </c>
      <c r="J922" s="3">
        <f t="shared" si="42"/>
        <v>18291.350000000002</v>
      </c>
      <c r="K922" s="3">
        <f t="shared" si="43"/>
        <v>10016.65</v>
      </c>
      <c r="L922" s="3">
        <f t="shared" si="44"/>
        <v>8274.7000000000025</v>
      </c>
    </row>
    <row r="923" spans="1:12" x14ac:dyDescent="0.3">
      <c r="A923">
        <v>1827</v>
      </c>
      <c r="B923" s="2">
        <v>45690</v>
      </c>
      <c r="C923" t="s">
        <v>12</v>
      </c>
      <c r="D923" t="s">
        <v>29</v>
      </c>
      <c r="E923" t="s">
        <v>41</v>
      </c>
      <c r="F923" t="s">
        <v>28</v>
      </c>
      <c r="G923">
        <v>38</v>
      </c>
      <c r="H923" s="3">
        <v>295.7</v>
      </c>
      <c r="I923" s="3">
        <v>157.19</v>
      </c>
      <c r="J923" s="3">
        <f t="shared" si="42"/>
        <v>11236.6</v>
      </c>
      <c r="K923" s="3">
        <f t="shared" si="43"/>
        <v>5973.22</v>
      </c>
      <c r="L923" s="3">
        <f t="shared" si="44"/>
        <v>5263.38</v>
      </c>
    </row>
    <row r="924" spans="1:12" x14ac:dyDescent="0.3">
      <c r="A924">
        <v>1842</v>
      </c>
      <c r="B924" s="2">
        <v>45690</v>
      </c>
      <c r="C924" t="s">
        <v>12</v>
      </c>
      <c r="D924" t="s">
        <v>17</v>
      </c>
      <c r="E924" t="s">
        <v>27</v>
      </c>
      <c r="F924" t="s">
        <v>22</v>
      </c>
      <c r="G924">
        <v>9</v>
      </c>
      <c r="H924" s="3">
        <v>190.66</v>
      </c>
      <c r="I924" s="3">
        <v>127.66</v>
      </c>
      <c r="J924" s="3">
        <f t="shared" si="42"/>
        <v>1715.94</v>
      </c>
      <c r="K924" s="3">
        <f t="shared" si="43"/>
        <v>1148.94</v>
      </c>
      <c r="L924" s="3">
        <f t="shared" si="44"/>
        <v>567</v>
      </c>
    </row>
    <row r="925" spans="1:12" x14ac:dyDescent="0.3">
      <c r="A925">
        <v>1534</v>
      </c>
      <c r="B925" s="2">
        <v>45691</v>
      </c>
      <c r="C925" t="s">
        <v>23</v>
      </c>
      <c r="D925" t="s">
        <v>29</v>
      </c>
      <c r="E925" t="s">
        <v>37</v>
      </c>
      <c r="F925" t="s">
        <v>36</v>
      </c>
      <c r="G925">
        <v>1</v>
      </c>
      <c r="H925" s="3">
        <v>240.44</v>
      </c>
      <c r="I925" s="3">
        <v>152.09</v>
      </c>
      <c r="J925" s="3">
        <f t="shared" si="42"/>
        <v>240.44</v>
      </c>
      <c r="K925" s="3">
        <f t="shared" si="43"/>
        <v>152.09</v>
      </c>
      <c r="L925" s="3">
        <f t="shared" si="44"/>
        <v>88.35</v>
      </c>
    </row>
    <row r="926" spans="1:12" x14ac:dyDescent="0.3">
      <c r="A926">
        <v>1675</v>
      </c>
      <c r="B926" s="2">
        <v>45691</v>
      </c>
      <c r="C926" t="s">
        <v>23</v>
      </c>
      <c r="D926" t="s">
        <v>29</v>
      </c>
      <c r="E926" t="s">
        <v>41</v>
      </c>
      <c r="F926" t="s">
        <v>19</v>
      </c>
      <c r="G926">
        <v>40</v>
      </c>
      <c r="H926" s="3">
        <v>116.2</v>
      </c>
      <c r="I926" s="3">
        <v>63.13</v>
      </c>
      <c r="J926" s="3">
        <f t="shared" si="42"/>
        <v>4648</v>
      </c>
      <c r="K926" s="3">
        <f t="shared" si="43"/>
        <v>2525.2000000000003</v>
      </c>
      <c r="L926" s="3">
        <f t="shared" si="44"/>
        <v>2122.7999999999997</v>
      </c>
    </row>
    <row r="927" spans="1:12" x14ac:dyDescent="0.3">
      <c r="A927">
        <v>2141</v>
      </c>
      <c r="B927" s="2">
        <v>45691</v>
      </c>
      <c r="C927" t="s">
        <v>23</v>
      </c>
      <c r="D927" t="s">
        <v>13</v>
      </c>
      <c r="E927" t="s">
        <v>31</v>
      </c>
      <c r="F927" t="s">
        <v>36</v>
      </c>
      <c r="G927">
        <v>4</v>
      </c>
      <c r="H927" s="3">
        <v>39.46</v>
      </c>
      <c r="I927" s="3">
        <v>28.84</v>
      </c>
      <c r="J927" s="3">
        <f t="shared" si="42"/>
        <v>157.84</v>
      </c>
      <c r="K927" s="3">
        <f t="shared" si="43"/>
        <v>115.36</v>
      </c>
      <c r="L927" s="3">
        <f t="shared" si="44"/>
        <v>42.480000000000004</v>
      </c>
    </row>
    <row r="928" spans="1:12" x14ac:dyDescent="0.3">
      <c r="A928">
        <v>2158</v>
      </c>
      <c r="B928" s="2">
        <v>45691</v>
      </c>
      <c r="C928" t="s">
        <v>23</v>
      </c>
      <c r="D928" t="s">
        <v>17</v>
      </c>
      <c r="E928" t="s">
        <v>40</v>
      </c>
      <c r="F928" t="s">
        <v>33</v>
      </c>
      <c r="G928">
        <v>3</v>
      </c>
      <c r="H928" s="3">
        <v>178.22</v>
      </c>
      <c r="I928" s="3">
        <v>96.05</v>
      </c>
      <c r="J928" s="3">
        <f t="shared" si="42"/>
        <v>534.66</v>
      </c>
      <c r="K928" s="3">
        <f t="shared" si="43"/>
        <v>288.14999999999998</v>
      </c>
      <c r="L928" s="3">
        <f t="shared" si="44"/>
        <v>246.51</v>
      </c>
    </row>
    <row r="929" spans="1:12" x14ac:dyDescent="0.3">
      <c r="A929">
        <v>2419</v>
      </c>
      <c r="B929" s="2">
        <v>45691</v>
      </c>
      <c r="C929" t="s">
        <v>32</v>
      </c>
      <c r="D929" t="s">
        <v>13</v>
      </c>
      <c r="E929" t="s">
        <v>14</v>
      </c>
      <c r="F929" t="s">
        <v>39</v>
      </c>
      <c r="G929">
        <v>29</v>
      </c>
      <c r="H929" s="3">
        <v>3.98</v>
      </c>
      <c r="I929" s="3">
        <v>2.21</v>
      </c>
      <c r="J929" s="3">
        <f t="shared" si="42"/>
        <v>115.42</v>
      </c>
      <c r="K929" s="3">
        <f t="shared" si="43"/>
        <v>64.09</v>
      </c>
      <c r="L929" s="3">
        <f t="shared" si="44"/>
        <v>51.33</v>
      </c>
    </row>
    <row r="930" spans="1:12" x14ac:dyDescent="0.3">
      <c r="A930">
        <v>2454</v>
      </c>
      <c r="B930" s="2">
        <v>45691</v>
      </c>
      <c r="C930" t="s">
        <v>12</v>
      </c>
      <c r="D930" t="s">
        <v>29</v>
      </c>
      <c r="E930" t="s">
        <v>43</v>
      </c>
      <c r="F930" t="s">
        <v>15</v>
      </c>
      <c r="G930">
        <v>3</v>
      </c>
      <c r="H930" s="3">
        <v>382.87</v>
      </c>
      <c r="I930" s="3">
        <v>243.45</v>
      </c>
      <c r="J930" s="3">
        <f t="shared" si="42"/>
        <v>1148.6100000000001</v>
      </c>
      <c r="K930" s="3">
        <f t="shared" si="43"/>
        <v>730.34999999999991</v>
      </c>
      <c r="L930" s="3">
        <f t="shared" si="44"/>
        <v>418.26000000000022</v>
      </c>
    </row>
    <row r="931" spans="1:12" x14ac:dyDescent="0.3">
      <c r="A931">
        <v>2717</v>
      </c>
      <c r="B931" s="2">
        <v>45691</v>
      </c>
      <c r="C931" t="s">
        <v>16</v>
      </c>
      <c r="D931" t="s">
        <v>29</v>
      </c>
      <c r="E931" t="s">
        <v>41</v>
      </c>
      <c r="F931" t="s">
        <v>33</v>
      </c>
      <c r="G931">
        <v>30</v>
      </c>
      <c r="H931" s="3">
        <v>382.63</v>
      </c>
      <c r="I931" s="3">
        <v>260.36</v>
      </c>
      <c r="J931" s="3">
        <f t="shared" si="42"/>
        <v>11478.9</v>
      </c>
      <c r="K931" s="3">
        <f t="shared" si="43"/>
        <v>7810.8</v>
      </c>
      <c r="L931" s="3">
        <f t="shared" si="44"/>
        <v>3668.0999999999995</v>
      </c>
    </row>
    <row r="932" spans="1:12" x14ac:dyDescent="0.3">
      <c r="A932">
        <v>1232</v>
      </c>
      <c r="B932" s="2">
        <v>45692</v>
      </c>
      <c r="C932" t="s">
        <v>23</v>
      </c>
      <c r="D932" t="s">
        <v>13</v>
      </c>
      <c r="E932" t="s">
        <v>31</v>
      </c>
      <c r="F932" t="s">
        <v>22</v>
      </c>
      <c r="G932">
        <v>31</v>
      </c>
      <c r="H932" s="3">
        <v>26.71</v>
      </c>
      <c r="I932" s="3">
        <v>19.64</v>
      </c>
      <c r="J932" s="3">
        <f t="shared" si="42"/>
        <v>828.01</v>
      </c>
      <c r="K932" s="3">
        <f t="shared" si="43"/>
        <v>608.84</v>
      </c>
      <c r="L932" s="3">
        <f t="shared" si="44"/>
        <v>219.16999999999996</v>
      </c>
    </row>
    <row r="933" spans="1:12" x14ac:dyDescent="0.3">
      <c r="A933">
        <v>1383</v>
      </c>
      <c r="B933" s="2">
        <v>45693</v>
      </c>
      <c r="C933" t="s">
        <v>12</v>
      </c>
      <c r="D933" t="s">
        <v>29</v>
      </c>
      <c r="E933" t="s">
        <v>37</v>
      </c>
      <c r="F933" t="s">
        <v>28</v>
      </c>
      <c r="G933">
        <v>33</v>
      </c>
      <c r="H933" s="3">
        <v>290.91000000000003</v>
      </c>
      <c r="I933" s="3">
        <v>207.13</v>
      </c>
      <c r="J933" s="3">
        <f t="shared" si="42"/>
        <v>9600.0300000000007</v>
      </c>
      <c r="K933" s="3">
        <f t="shared" si="43"/>
        <v>6835.29</v>
      </c>
      <c r="L933" s="3">
        <f t="shared" si="44"/>
        <v>2764.7400000000007</v>
      </c>
    </row>
    <row r="934" spans="1:12" x14ac:dyDescent="0.3">
      <c r="A934">
        <v>1510</v>
      </c>
      <c r="B934" s="2">
        <v>45693</v>
      </c>
      <c r="C934" t="s">
        <v>12</v>
      </c>
      <c r="D934" t="s">
        <v>20</v>
      </c>
      <c r="E934" t="s">
        <v>38</v>
      </c>
      <c r="F934" t="s">
        <v>15</v>
      </c>
      <c r="G934">
        <v>22</v>
      </c>
      <c r="H934" s="3">
        <v>169.38</v>
      </c>
      <c r="I934" s="3">
        <v>125.92</v>
      </c>
      <c r="J934" s="3">
        <f t="shared" si="42"/>
        <v>3726.3599999999997</v>
      </c>
      <c r="K934" s="3">
        <f t="shared" si="43"/>
        <v>2770.2400000000002</v>
      </c>
      <c r="L934" s="3">
        <f t="shared" si="44"/>
        <v>956.11999999999944</v>
      </c>
    </row>
    <row r="935" spans="1:12" x14ac:dyDescent="0.3">
      <c r="A935">
        <v>1808</v>
      </c>
      <c r="B935" s="2">
        <v>45693</v>
      </c>
      <c r="C935" t="s">
        <v>32</v>
      </c>
      <c r="D935" t="s">
        <v>20</v>
      </c>
      <c r="E935" t="s">
        <v>21</v>
      </c>
      <c r="F935" t="s">
        <v>33</v>
      </c>
      <c r="G935">
        <v>26</v>
      </c>
      <c r="H935" s="3">
        <v>214.99</v>
      </c>
      <c r="I935" s="3">
        <v>117.98</v>
      </c>
      <c r="J935" s="3">
        <f t="shared" si="42"/>
        <v>5589.74</v>
      </c>
      <c r="K935" s="3">
        <f t="shared" si="43"/>
        <v>3067.48</v>
      </c>
      <c r="L935" s="3">
        <f t="shared" si="44"/>
        <v>2522.2599999999998</v>
      </c>
    </row>
    <row r="936" spans="1:12" x14ac:dyDescent="0.3">
      <c r="A936">
        <v>1277</v>
      </c>
      <c r="B936" s="2">
        <v>45694</v>
      </c>
      <c r="C936" t="s">
        <v>32</v>
      </c>
      <c r="D936" t="s">
        <v>29</v>
      </c>
      <c r="E936" t="s">
        <v>41</v>
      </c>
      <c r="F936" t="s">
        <v>15</v>
      </c>
      <c r="G936">
        <v>15</v>
      </c>
      <c r="H936" s="3">
        <v>407.57</v>
      </c>
      <c r="I936" s="3">
        <v>219.62</v>
      </c>
      <c r="J936" s="3">
        <f t="shared" si="42"/>
        <v>6113.55</v>
      </c>
      <c r="K936" s="3">
        <f t="shared" si="43"/>
        <v>3294.3</v>
      </c>
      <c r="L936" s="3">
        <f t="shared" si="44"/>
        <v>2819.25</v>
      </c>
    </row>
    <row r="937" spans="1:12" x14ac:dyDescent="0.3">
      <c r="A937">
        <v>1472</v>
      </c>
      <c r="B937" s="2">
        <v>45694</v>
      </c>
      <c r="C937" t="s">
        <v>12</v>
      </c>
      <c r="D937" t="s">
        <v>17</v>
      </c>
      <c r="E937" t="s">
        <v>40</v>
      </c>
      <c r="F937" t="s">
        <v>33</v>
      </c>
      <c r="G937">
        <v>23</v>
      </c>
      <c r="H937" s="3">
        <v>585.19000000000005</v>
      </c>
      <c r="I937" s="3">
        <v>411.37</v>
      </c>
      <c r="J937" s="3">
        <f t="shared" si="42"/>
        <v>13459.37</v>
      </c>
      <c r="K937" s="3">
        <f t="shared" si="43"/>
        <v>9461.51</v>
      </c>
      <c r="L937" s="3">
        <f t="shared" si="44"/>
        <v>3997.8600000000006</v>
      </c>
    </row>
    <row r="938" spans="1:12" x14ac:dyDescent="0.3">
      <c r="A938">
        <v>1713</v>
      </c>
      <c r="B938" s="2">
        <v>45694</v>
      </c>
      <c r="C938" t="s">
        <v>16</v>
      </c>
      <c r="D938" t="s">
        <v>17</v>
      </c>
      <c r="E938" t="s">
        <v>27</v>
      </c>
      <c r="F938" t="s">
        <v>22</v>
      </c>
      <c r="G938">
        <v>29</v>
      </c>
      <c r="H938" s="3">
        <v>624.69000000000005</v>
      </c>
      <c r="I938" s="3">
        <v>368.25</v>
      </c>
      <c r="J938" s="3">
        <f t="shared" si="42"/>
        <v>18116.010000000002</v>
      </c>
      <c r="K938" s="3">
        <f t="shared" si="43"/>
        <v>10679.25</v>
      </c>
      <c r="L938" s="3">
        <f t="shared" si="44"/>
        <v>7436.760000000002</v>
      </c>
    </row>
    <row r="939" spans="1:12" x14ac:dyDescent="0.3">
      <c r="A939">
        <v>2305</v>
      </c>
      <c r="B939" s="2">
        <v>45694</v>
      </c>
      <c r="C939" t="s">
        <v>12</v>
      </c>
      <c r="D939" t="s">
        <v>29</v>
      </c>
      <c r="E939" t="s">
        <v>41</v>
      </c>
      <c r="F939" t="s">
        <v>25</v>
      </c>
      <c r="G939">
        <v>15</v>
      </c>
      <c r="H939" s="3">
        <v>430.43</v>
      </c>
      <c r="I939" s="3">
        <v>235.48</v>
      </c>
      <c r="J939" s="3">
        <f t="shared" si="42"/>
        <v>6456.45</v>
      </c>
      <c r="K939" s="3">
        <f t="shared" si="43"/>
        <v>3532.2</v>
      </c>
      <c r="L939" s="3">
        <f t="shared" si="44"/>
        <v>2924.25</v>
      </c>
    </row>
    <row r="940" spans="1:12" x14ac:dyDescent="0.3">
      <c r="A940">
        <v>1656</v>
      </c>
      <c r="B940" s="2">
        <v>45695</v>
      </c>
      <c r="C940" t="s">
        <v>32</v>
      </c>
      <c r="D940" t="s">
        <v>17</v>
      </c>
      <c r="E940" t="s">
        <v>40</v>
      </c>
      <c r="F940" t="s">
        <v>19</v>
      </c>
      <c r="G940">
        <v>2</v>
      </c>
      <c r="H940" s="3">
        <v>128.09</v>
      </c>
      <c r="I940" s="3">
        <v>94.63</v>
      </c>
      <c r="J940" s="3">
        <f t="shared" si="42"/>
        <v>256.18</v>
      </c>
      <c r="K940" s="3">
        <f t="shared" si="43"/>
        <v>189.26</v>
      </c>
      <c r="L940" s="3">
        <f t="shared" si="44"/>
        <v>66.920000000000016</v>
      </c>
    </row>
    <row r="941" spans="1:12" x14ac:dyDescent="0.3">
      <c r="A941">
        <v>1293</v>
      </c>
      <c r="B941" s="2">
        <v>45697</v>
      </c>
      <c r="C941" t="s">
        <v>16</v>
      </c>
      <c r="D941" t="s">
        <v>17</v>
      </c>
      <c r="E941" t="s">
        <v>40</v>
      </c>
      <c r="F941" t="s">
        <v>15</v>
      </c>
      <c r="G941">
        <v>21</v>
      </c>
      <c r="H941" s="3">
        <v>174.62</v>
      </c>
      <c r="I941" s="3">
        <v>129.25</v>
      </c>
      <c r="J941" s="3">
        <f t="shared" si="42"/>
        <v>3667.02</v>
      </c>
      <c r="K941" s="3">
        <f t="shared" si="43"/>
        <v>2714.25</v>
      </c>
      <c r="L941" s="3">
        <f t="shared" si="44"/>
        <v>952.77</v>
      </c>
    </row>
    <row r="942" spans="1:12" x14ac:dyDescent="0.3">
      <c r="A942">
        <v>1881</v>
      </c>
      <c r="B942" s="2">
        <v>45697</v>
      </c>
      <c r="C942" t="s">
        <v>23</v>
      </c>
      <c r="D942" t="s">
        <v>20</v>
      </c>
      <c r="E942" t="s">
        <v>38</v>
      </c>
      <c r="F942" t="s">
        <v>15</v>
      </c>
      <c r="G942">
        <v>15</v>
      </c>
      <c r="H942" s="3">
        <v>166.02</v>
      </c>
      <c r="I942" s="3">
        <v>123.6</v>
      </c>
      <c r="J942" s="3">
        <f t="shared" si="42"/>
        <v>2490.3000000000002</v>
      </c>
      <c r="K942" s="3">
        <f t="shared" si="43"/>
        <v>1854</v>
      </c>
      <c r="L942" s="3">
        <f t="shared" si="44"/>
        <v>636.30000000000018</v>
      </c>
    </row>
    <row r="943" spans="1:12" x14ac:dyDescent="0.3">
      <c r="A943">
        <v>2282</v>
      </c>
      <c r="B943" s="2">
        <v>45697</v>
      </c>
      <c r="C943" t="s">
        <v>12</v>
      </c>
      <c r="D943" t="s">
        <v>17</v>
      </c>
      <c r="E943" t="s">
        <v>44</v>
      </c>
      <c r="F943" t="s">
        <v>28</v>
      </c>
      <c r="G943">
        <v>11</v>
      </c>
      <c r="H943" s="3">
        <v>156.81</v>
      </c>
      <c r="I943" s="3">
        <v>103.68</v>
      </c>
      <c r="J943" s="3">
        <f t="shared" si="42"/>
        <v>1724.91</v>
      </c>
      <c r="K943" s="3">
        <f t="shared" si="43"/>
        <v>1140.48</v>
      </c>
      <c r="L943" s="3">
        <f t="shared" si="44"/>
        <v>584.43000000000006</v>
      </c>
    </row>
    <row r="944" spans="1:12" x14ac:dyDescent="0.3">
      <c r="A944">
        <v>2618</v>
      </c>
      <c r="B944" s="2">
        <v>45697</v>
      </c>
      <c r="C944" t="s">
        <v>23</v>
      </c>
      <c r="D944" t="s">
        <v>20</v>
      </c>
      <c r="E944" t="s">
        <v>34</v>
      </c>
      <c r="F944" t="s">
        <v>39</v>
      </c>
      <c r="G944">
        <v>6</v>
      </c>
      <c r="H944" s="3">
        <v>144.34</v>
      </c>
      <c r="I944" s="3">
        <v>100.52</v>
      </c>
      <c r="J944" s="3">
        <f t="shared" si="42"/>
        <v>866.04</v>
      </c>
      <c r="K944" s="3">
        <f t="shared" si="43"/>
        <v>603.12</v>
      </c>
      <c r="L944" s="3">
        <f t="shared" si="44"/>
        <v>262.91999999999996</v>
      </c>
    </row>
    <row r="945" spans="1:12" x14ac:dyDescent="0.3">
      <c r="A945">
        <v>2757</v>
      </c>
      <c r="B945" s="2">
        <v>45697</v>
      </c>
      <c r="C945" t="s">
        <v>32</v>
      </c>
      <c r="D945" t="s">
        <v>29</v>
      </c>
      <c r="E945" t="s">
        <v>41</v>
      </c>
      <c r="F945" t="s">
        <v>28</v>
      </c>
      <c r="G945">
        <v>26</v>
      </c>
      <c r="H945" s="3">
        <v>269.06</v>
      </c>
      <c r="I945" s="3">
        <v>197.83</v>
      </c>
      <c r="J945" s="3">
        <f t="shared" si="42"/>
        <v>6995.56</v>
      </c>
      <c r="K945" s="3">
        <f t="shared" si="43"/>
        <v>5143.58</v>
      </c>
      <c r="L945" s="3">
        <f t="shared" si="44"/>
        <v>1851.9800000000005</v>
      </c>
    </row>
    <row r="946" spans="1:12" x14ac:dyDescent="0.3">
      <c r="A946">
        <v>1205</v>
      </c>
      <c r="B946" s="2">
        <v>45698</v>
      </c>
      <c r="C946" t="s">
        <v>12</v>
      </c>
      <c r="D946" t="s">
        <v>29</v>
      </c>
      <c r="E946" t="s">
        <v>43</v>
      </c>
      <c r="F946" t="s">
        <v>36</v>
      </c>
      <c r="G946">
        <v>30</v>
      </c>
      <c r="H946" s="3">
        <v>189.86</v>
      </c>
      <c r="I946" s="3">
        <v>118.53</v>
      </c>
      <c r="J946" s="3">
        <f t="shared" si="42"/>
        <v>5695.8</v>
      </c>
      <c r="K946" s="3">
        <f t="shared" si="43"/>
        <v>3555.9</v>
      </c>
      <c r="L946" s="3">
        <f t="shared" si="44"/>
        <v>2139.9</v>
      </c>
    </row>
    <row r="947" spans="1:12" x14ac:dyDescent="0.3">
      <c r="A947">
        <v>1456</v>
      </c>
      <c r="B947" s="2">
        <v>45698</v>
      </c>
      <c r="C947" t="s">
        <v>26</v>
      </c>
      <c r="D947" t="s">
        <v>17</v>
      </c>
      <c r="E947" t="s">
        <v>40</v>
      </c>
      <c r="F947" t="s">
        <v>22</v>
      </c>
      <c r="G947">
        <v>34</v>
      </c>
      <c r="H947" s="3">
        <v>173.47</v>
      </c>
      <c r="I947" s="3">
        <v>96.05</v>
      </c>
      <c r="J947" s="3">
        <f t="shared" si="42"/>
        <v>5897.98</v>
      </c>
      <c r="K947" s="3">
        <f t="shared" si="43"/>
        <v>3265.7</v>
      </c>
      <c r="L947" s="3">
        <f t="shared" si="44"/>
        <v>2632.2799999999997</v>
      </c>
    </row>
    <row r="948" spans="1:12" x14ac:dyDescent="0.3">
      <c r="A948">
        <v>1897</v>
      </c>
      <c r="B948" s="2">
        <v>45698</v>
      </c>
      <c r="C948" t="s">
        <v>23</v>
      </c>
      <c r="D948" t="s">
        <v>13</v>
      </c>
      <c r="E948" t="s">
        <v>14</v>
      </c>
      <c r="F948" t="s">
        <v>33</v>
      </c>
      <c r="G948">
        <v>5</v>
      </c>
      <c r="H948" s="3">
        <v>59.8</v>
      </c>
      <c r="I948" s="3">
        <v>37.020000000000003</v>
      </c>
      <c r="J948" s="3">
        <f t="shared" si="42"/>
        <v>299</v>
      </c>
      <c r="K948" s="3">
        <f t="shared" si="43"/>
        <v>185.10000000000002</v>
      </c>
      <c r="L948" s="3">
        <f t="shared" si="44"/>
        <v>113.89999999999998</v>
      </c>
    </row>
    <row r="949" spans="1:12" x14ac:dyDescent="0.3">
      <c r="A949">
        <v>1788</v>
      </c>
      <c r="B949" s="2">
        <v>45699</v>
      </c>
      <c r="C949" t="s">
        <v>32</v>
      </c>
      <c r="D949" t="s">
        <v>17</v>
      </c>
      <c r="E949" t="s">
        <v>44</v>
      </c>
      <c r="F949" t="s">
        <v>28</v>
      </c>
      <c r="G949">
        <v>1</v>
      </c>
      <c r="H949" s="3">
        <v>141.37</v>
      </c>
      <c r="I949" s="3">
        <v>80.88</v>
      </c>
      <c r="J949" s="3">
        <f t="shared" si="42"/>
        <v>141.37</v>
      </c>
      <c r="K949" s="3">
        <f t="shared" si="43"/>
        <v>80.88</v>
      </c>
      <c r="L949" s="3">
        <f t="shared" si="44"/>
        <v>60.490000000000009</v>
      </c>
    </row>
    <row r="950" spans="1:12" x14ac:dyDescent="0.3">
      <c r="A950">
        <v>2064</v>
      </c>
      <c r="B950" s="2">
        <v>45699</v>
      </c>
      <c r="C950" t="s">
        <v>26</v>
      </c>
      <c r="D950" t="s">
        <v>29</v>
      </c>
      <c r="E950" t="s">
        <v>43</v>
      </c>
      <c r="F950" t="s">
        <v>22</v>
      </c>
      <c r="G950">
        <v>37</v>
      </c>
      <c r="H950" s="3">
        <v>469.58</v>
      </c>
      <c r="I950" s="3">
        <v>309.01</v>
      </c>
      <c r="J950" s="3">
        <f t="shared" si="42"/>
        <v>17374.46</v>
      </c>
      <c r="K950" s="3">
        <f t="shared" si="43"/>
        <v>11433.369999999999</v>
      </c>
      <c r="L950" s="3">
        <f t="shared" si="44"/>
        <v>5941.09</v>
      </c>
    </row>
    <row r="951" spans="1:12" x14ac:dyDescent="0.3">
      <c r="A951">
        <v>2554</v>
      </c>
      <c r="B951" s="2">
        <v>45699</v>
      </c>
      <c r="C951" t="s">
        <v>26</v>
      </c>
      <c r="D951" t="s">
        <v>13</v>
      </c>
      <c r="E951" t="s">
        <v>24</v>
      </c>
      <c r="F951" t="s">
        <v>25</v>
      </c>
      <c r="G951">
        <v>14</v>
      </c>
      <c r="H951" s="3">
        <v>52.4</v>
      </c>
      <c r="I951" s="3">
        <v>31.57</v>
      </c>
      <c r="J951" s="3">
        <f t="shared" si="42"/>
        <v>733.6</v>
      </c>
      <c r="K951" s="3">
        <f t="shared" si="43"/>
        <v>441.98</v>
      </c>
      <c r="L951" s="3">
        <f t="shared" si="44"/>
        <v>291.62</v>
      </c>
    </row>
    <row r="952" spans="1:12" x14ac:dyDescent="0.3">
      <c r="A952">
        <v>1010</v>
      </c>
      <c r="B952" s="2">
        <v>45700</v>
      </c>
      <c r="C952" t="s">
        <v>32</v>
      </c>
      <c r="D952" t="s">
        <v>13</v>
      </c>
      <c r="E952" t="s">
        <v>24</v>
      </c>
      <c r="F952" t="s">
        <v>28</v>
      </c>
      <c r="G952">
        <v>6</v>
      </c>
      <c r="H952" s="3">
        <v>52.08</v>
      </c>
      <c r="I952" s="3">
        <v>34.9</v>
      </c>
      <c r="J952" s="3">
        <f t="shared" si="42"/>
        <v>312.48</v>
      </c>
      <c r="K952" s="3">
        <f t="shared" si="43"/>
        <v>209.39999999999998</v>
      </c>
      <c r="L952" s="3">
        <f t="shared" si="44"/>
        <v>103.08000000000004</v>
      </c>
    </row>
    <row r="953" spans="1:12" x14ac:dyDescent="0.3">
      <c r="A953">
        <v>1659</v>
      </c>
      <c r="B953" s="2">
        <v>45700</v>
      </c>
      <c r="C953" t="s">
        <v>26</v>
      </c>
      <c r="D953" t="s">
        <v>17</v>
      </c>
      <c r="E953" t="s">
        <v>44</v>
      </c>
      <c r="F953" t="s">
        <v>19</v>
      </c>
      <c r="G953">
        <v>25</v>
      </c>
      <c r="H953" s="3">
        <v>714.77</v>
      </c>
      <c r="I953" s="3">
        <v>378.94</v>
      </c>
      <c r="J953" s="3">
        <f t="shared" si="42"/>
        <v>17869.25</v>
      </c>
      <c r="K953" s="3">
        <f t="shared" si="43"/>
        <v>9473.5</v>
      </c>
      <c r="L953" s="3">
        <f t="shared" si="44"/>
        <v>8395.75</v>
      </c>
    </row>
    <row r="954" spans="1:12" x14ac:dyDescent="0.3">
      <c r="A954">
        <v>2746</v>
      </c>
      <c r="B954" s="2">
        <v>45700</v>
      </c>
      <c r="C954" t="s">
        <v>12</v>
      </c>
      <c r="D954" t="s">
        <v>20</v>
      </c>
      <c r="E954" t="s">
        <v>38</v>
      </c>
      <c r="F954" t="s">
        <v>36</v>
      </c>
      <c r="G954">
        <v>5</v>
      </c>
      <c r="H954" s="3">
        <v>121.23</v>
      </c>
      <c r="I954" s="3">
        <v>68.239999999999995</v>
      </c>
      <c r="J954" s="3">
        <f t="shared" si="42"/>
        <v>606.15</v>
      </c>
      <c r="K954" s="3">
        <f t="shared" si="43"/>
        <v>341.2</v>
      </c>
      <c r="L954" s="3">
        <f t="shared" si="44"/>
        <v>264.95</v>
      </c>
    </row>
    <row r="955" spans="1:12" x14ac:dyDescent="0.3">
      <c r="A955">
        <v>1406</v>
      </c>
      <c r="B955" s="2">
        <v>45701</v>
      </c>
      <c r="C955" t="s">
        <v>32</v>
      </c>
      <c r="D955" t="s">
        <v>20</v>
      </c>
      <c r="E955" t="s">
        <v>21</v>
      </c>
      <c r="F955" t="s">
        <v>39</v>
      </c>
      <c r="G955">
        <v>34</v>
      </c>
      <c r="H955" s="3">
        <v>173.89</v>
      </c>
      <c r="I955" s="3">
        <v>118.51</v>
      </c>
      <c r="J955" s="3">
        <f t="shared" si="42"/>
        <v>5912.2599999999993</v>
      </c>
      <c r="K955" s="3">
        <f t="shared" si="43"/>
        <v>4029.34</v>
      </c>
      <c r="L955" s="3">
        <f t="shared" si="44"/>
        <v>1882.9199999999992</v>
      </c>
    </row>
    <row r="956" spans="1:12" x14ac:dyDescent="0.3">
      <c r="A956">
        <v>1733</v>
      </c>
      <c r="B956" s="2">
        <v>45701</v>
      </c>
      <c r="C956" t="s">
        <v>12</v>
      </c>
      <c r="D956" t="s">
        <v>17</v>
      </c>
      <c r="E956" t="s">
        <v>40</v>
      </c>
      <c r="F956" t="s">
        <v>22</v>
      </c>
      <c r="G956">
        <v>5</v>
      </c>
      <c r="H956" s="3">
        <v>360.62</v>
      </c>
      <c r="I956" s="3">
        <v>237.23</v>
      </c>
      <c r="J956" s="3">
        <f t="shared" si="42"/>
        <v>1803.1</v>
      </c>
      <c r="K956" s="3">
        <f t="shared" si="43"/>
        <v>1186.1499999999999</v>
      </c>
      <c r="L956" s="3">
        <f t="shared" si="44"/>
        <v>616.95000000000005</v>
      </c>
    </row>
    <row r="957" spans="1:12" x14ac:dyDescent="0.3">
      <c r="A957">
        <v>2109</v>
      </c>
      <c r="B957" s="2">
        <v>45701</v>
      </c>
      <c r="C957" t="s">
        <v>32</v>
      </c>
      <c r="D957" t="s">
        <v>17</v>
      </c>
      <c r="E957" t="s">
        <v>35</v>
      </c>
      <c r="F957" t="s">
        <v>33</v>
      </c>
      <c r="G957">
        <v>30</v>
      </c>
      <c r="H957" s="3">
        <v>611.20000000000005</v>
      </c>
      <c r="I957" s="3">
        <v>369.49</v>
      </c>
      <c r="J957" s="3">
        <f t="shared" si="42"/>
        <v>18336</v>
      </c>
      <c r="K957" s="3">
        <f t="shared" si="43"/>
        <v>11084.7</v>
      </c>
      <c r="L957" s="3">
        <f t="shared" si="44"/>
        <v>7251.2999999999993</v>
      </c>
    </row>
    <row r="958" spans="1:12" x14ac:dyDescent="0.3">
      <c r="A958">
        <v>1186</v>
      </c>
      <c r="B958" s="2">
        <v>45702</v>
      </c>
      <c r="C958" t="s">
        <v>26</v>
      </c>
      <c r="D958" t="s">
        <v>13</v>
      </c>
      <c r="E958" t="s">
        <v>24</v>
      </c>
      <c r="F958" t="s">
        <v>28</v>
      </c>
      <c r="G958">
        <v>21</v>
      </c>
      <c r="H958" s="3">
        <v>3.39</v>
      </c>
      <c r="I958" s="3">
        <v>1.92</v>
      </c>
      <c r="J958" s="3">
        <f t="shared" si="42"/>
        <v>71.19</v>
      </c>
      <c r="K958" s="3">
        <f t="shared" si="43"/>
        <v>40.32</v>
      </c>
      <c r="L958" s="3">
        <f t="shared" si="44"/>
        <v>30.869999999999997</v>
      </c>
    </row>
    <row r="959" spans="1:12" x14ac:dyDescent="0.3">
      <c r="A959">
        <v>2107</v>
      </c>
      <c r="B959" s="2">
        <v>45702</v>
      </c>
      <c r="C959" t="s">
        <v>16</v>
      </c>
      <c r="D959" t="s">
        <v>20</v>
      </c>
      <c r="E959" t="s">
        <v>38</v>
      </c>
      <c r="F959" t="s">
        <v>39</v>
      </c>
      <c r="G959">
        <v>27</v>
      </c>
      <c r="H959" s="3">
        <v>196.48</v>
      </c>
      <c r="I959" s="3">
        <v>130.87</v>
      </c>
      <c r="J959" s="3">
        <f t="shared" si="42"/>
        <v>5304.96</v>
      </c>
      <c r="K959" s="3">
        <f t="shared" si="43"/>
        <v>3533.4900000000002</v>
      </c>
      <c r="L959" s="3">
        <f t="shared" si="44"/>
        <v>1771.4699999999998</v>
      </c>
    </row>
    <row r="960" spans="1:12" x14ac:dyDescent="0.3">
      <c r="A960">
        <v>2494</v>
      </c>
      <c r="B960" s="2">
        <v>45702</v>
      </c>
      <c r="C960" t="s">
        <v>26</v>
      </c>
      <c r="D960" t="s">
        <v>20</v>
      </c>
      <c r="E960" t="s">
        <v>42</v>
      </c>
      <c r="F960" t="s">
        <v>28</v>
      </c>
      <c r="G960">
        <v>1</v>
      </c>
      <c r="H960" s="3">
        <v>209.85</v>
      </c>
      <c r="I960" s="3">
        <v>109.05</v>
      </c>
      <c r="J960" s="3">
        <f t="shared" si="42"/>
        <v>209.85</v>
      </c>
      <c r="K960" s="3">
        <f t="shared" si="43"/>
        <v>109.05</v>
      </c>
      <c r="L960" s="3">
        <f t="shared" si="44"/>
        <v>100.8</v>
      </c>
    </row>
    <row r="961" spans="1:12" x14ac:dyDescent="0.3">
      <c r="A961">
        <v>2090</v>
      </c>
      <c r="B961" s="2">
        <v>45703</v>
      </c>
      <c r="C961" t="s">
        <v>23</v>
      </c>
      <c r="D961" t="s">
        <v>17</v>
      </c>
      <c r="E961" t="s">
        <v>40</v>
      </c>
      <c r="F961" t="s">
        <v>36</v>
      </c>
      <c r="G961">
        <v>17</v>
      </c>
      <c r="H961" s="3">
        <v>683.33</v>
      </c>
      <c r="I961" s="3">
        <v>427.43</v>
      </c>
      <c r="J961" s="3">
        <f t="shared" si="42"/>
        <v>11616.61</v>
      </c>
      <c r="K961" s="3">
        <f t="shared" si="43"/>
        <v>7266.31</v>
      </c>
      <c r="L961" s="3">
        <f t="shared" si="44"/>
        <v>4350.3</v>
      </c>
    </row>
    <row r="962" spans="1:12" x14ac:dyDescent="0.3">
      <c r="A962">
        <v>2178</v>
      </c>
      <c r="B962" s="2">
        <v>45703</v>
      </c>
      <c r="C962" t="s">
        <v>26</v>
      </c>
      <c r="D962" t="s">
        <v>13</v>
      </c>
      <c r="E962" t="s">
        <v>24</v>
      </c>
      <c r="F962" t="s">
        <v>28</v>
      </c>
      <c r="G962">
        <v>10</v>
      </c>
      <c r="H962" s="3">
        <v>46.35</v>
      </c>
      <c r="I962" s="3">
        <v>26.78</v>
      </c>
      <c r="J962" s="3">
        <f t="shared" ref="J962:J1025" si="45">G962*H962</f>
        <v>463.5</v>
      </c>
      <c r="K962" s="3">
        <f t="shared" ref="K962:K1025" si="46">G962*I962</f>
        <v>267.8</v>
      </c>
      <c r="L962" s="3">
        <f t="shared" ref="L962:L1025" si="47">J962-K962</f>
        <v>195.7</v>
      </c>
    </row>
    <row r="963" spans="1:12" x14ac:dyDescent="0.3">
      <c r="A963">
        <v>2424</v>
      </c>
      <c r="B963" s="2">
        <v>45703</v>
      </c>
      <c r="C963" t="s">
        <v>16</v>
      </c>
      <c r="D963" t="s">
        <v>29</v>
      </c>
      <c r="E963" t="s">
        <v>30</v>
      </c>
      <c r="F963" t="s">
        <v>36</v>
      </c>
      <c r="G963">
        <v>31</v>
      </c>
      <c r="H963" s="3">
        <v>216.38</v>
      </c>
      <c r="I963" s="3">
        <v>127.5</v>
      </c>
      <c r="J963" s="3">
        <f t="shared" si="45"/>
        <v>6707.78</v>
      </c>
      <c r="K963" s="3">
        <f t="shared" si="46"/>
        <v>3952.5</v>
      </c>
      <c r="L963" s="3">
        <f t="shared" si="47"/>
        <v>2755.2799999999997</v>
      </c>
    </row>
    <row r="964" spans="1:12" x14ac:dyDescent="0.3">
      <c r="A964">
        <v>2068</v>
      </c>
      <c r="B964" s="2">
        <v>45704</v>
      </c>
      <c r="C964" t="s">
        <v>23</v>
      </c>
      <c r="D964" t="s">
        <v>17</v>
      </c>
      <c r="E964" t="s">
        <v>27</v>
      </c>
      <c r="F964" t="s">
        <v>39</v>
      </c>
      <c r="G964">
        <v>33</v>
      </c>
      <c r="H964" s="3">
        <v>183.91</v>
      </c>
      <c r="I964" s="3">
        <v>119.93</v>
      </c>
      <c r="J964" s="3">
        <f t="shared" si="45"/>
        <v>6069.03</v>
      </c>
      <c r="K964" s="3">
        <f t="shared" si="46"/>
        <v>3957.69</v>
      </c>
      <c r="L964" s="3">
        <f t="shared" si="47"/>
        <v>2111.3399999999997</v>
      </c>
    </row>
    <row r="965" spans="1:12" x14ac:dyDescent="0.3">
      <c r="A965">
        <v>1334</v>
      </c>
      <c r="B965" s="2">
        <v>45705</v>
      </c>
      <c r="C965" t="s">
        <v>26</v>
      </c>
      <c r="D965" t="s">
        <v>13</v>
      </c>
      <c r="E965" t="s">
        <v>24</v>
      </c>
      <c r="F965" t="s">
        <v>19</v>
      </c>
      <c r="G965">
        <v>14</v>
      </c>
      <c r="H965" s="3">
        <v>36.61</v>
      </c>
      <c r="I965" s="3">
        <v>24.26</v>
      </c>
      <c r="J965" s="3">
        <f t="shared" si="45"/>
        <v>512.54</v>
      </c>
      <c r="K965" s="3">
        <f t="shared" si="46"/>
        <v>339.64000000000004</v>
      </c>
      <c r="L965" s="3">
        <f t="shared" si="47"/>
        <v>172.89999999999992</v>
      </c>
    </row>
    <row r="966" spans="1:12" x14ac:dyDescent="0.3">
      <c r="A966">
        <v>2421</v>
      </c>
      <c r="B966" s="2">
        <v>45705</v>
      </c>
      <c r="C966" t="s">
        <v>26</v>
      </c>
      <c r="D966" t="s">
        <v>17</v>
      </c>
      <c r="E966" t="s">
        <v>35</v>
      </c>
      <c r="F966" t="s">
        <v>25</v>
      </c>
      <c r="G966">
        <v>16</v>
      </c>
      <c r="H966" s="3">
        <v>814.97</v>
      </c>
      <c r="I966" s="3">
        <v>597.24</v>
      </c>
      <c r="J966" s="3">
        <f t="shared" si="45"/>
        <v>13039.52</v>
      </c>
      <c r="K966" s="3">
        <f t="shared" si="46"/>
        <v>9555.84</v>
      </c>
      <c r="L966" s="3">
        <f t="shared" si="47"/>
        <v>3483.6800000000003</v>
      </c>
    </row>
    <row r="967" spans="1:12" x14ac:dyDescent="0.3">
      <c r="A967">
        <v>2193</v>
      </c>
      <c r="B967" s="2">
        <v>45706</v>
      </c>
      <c r="C967" t="s">
        <v>32</v>
      </c>
      <c r="D967" t="s">
        <v>13</v>
      </c>
      <c r="E967" t="s">
        <v>31</v>
      </c>
      <c r="F967" t="s">
        <v>33</v>
      </c>
      <c r="G967">
        <v>26</v>
      </c>
      <c r="H967" s="3">
        <v>24.96</v>
      </c>
      <c r="I967" s="3">
        <v>17.95</v>
      </c>
      <c r="J967" s="3">
        <f t="shared" si="45"/>
        <v>648.96</v>
      </c>
      <c r="K967" s="3">
        <f t="shared" si="46"/>
        <v>466.7</v>
      </c>
      <c r="L967" s="3">
        <f t="shared" si="47"/>
        <v>182.26000000000005</v>
      </c>
    </row>
    <row r="968" spans="1:12" x14ac:dyDescent="0.3">
      <c r="A968">
        <v>2122</v>
      </c>
      <c r="B968" s="2">
        <v>45707</v>
      </c>
      <c r="C968" t="s">
        <v>23</v>
      </c>
      <c r="D968" t="s">
        <v>13</v>
      </c>
      <c r="E968" t="s">
        <v>31</v>
      </c>
      <c r="F968" t="s">
        <v>19</v>
      </c>
      <c r="G968">
        <v>38</v>
      </c>
      <c r="H968" s="3">
        <v>20.91</v>
      </c>
      <c r="I968" s="3">
        <v>12.99</v>
      </c>
      <c r="J968" s="3">
        <f t="shared" si="45"/>
        <v>794.58</v>
      </c>
      <c r="K968" s="3">
        <f t="shared" si="46"/>
        <v>493.62</v>
      </c>
      <c r="L968" s="3">
        <f t="shared" si="47"/>
        <v>300.96000000000004</v>
      </c>
    </row>
    <row r="969" spans="1:12" x14ac:dyDescent="0.3">
      <c r="A969">
        <v>1408</v>
      </c>
      <c r="B969" s="2">
        <v>45708</v>
      </c>
      <c r="C969" t="s">
        <v>16</v>
      </c>
      <c r="D969" t="s">
        <v>17</v>
      </c>
      <c r="E969" t="s">
        <v>35</v>
      </c>
      <c r="F969" t="s">
        <v>25</v>
      </c>
      <c r="G969">
        <v>33</v>
      </c>
      <c r="H969" s="3">
        <v>307.17</v>
      </c>
      <c r="I969" s="3">
        <v>220.86</v>
      </c>
      <c r="J969" s="3">
        <f t="shared" si="45"/>
        <v>10136.61</v>
      </c>
      <c r="K969" s="3">
        <f t="shared" si="46"/>
        <v>7288.38</v>
      </c>
      <c r="L969" s="3">
        <f t="shared" si="47"/>
        <v>2848.2300000000005</v>
      </c>
    </row>
    <row r="970" spans="1:12" x14ac:dyDescent="0.3">
      <c r="A970">
        <v>2044</v>
      </c>
      <c r="B970" s="2">
        <v>45708</v>
      </c>
      <c r="C970" t="s">
        <v>16</v>
      </c>
      <c r="D970" t="s">
        <v>29</v>
      </c>
      <c r="E970" t="s">
        <v>41</v>
      </c>
      <c r="F970" t="s">
        <v>15</v>
      </c>
      <c r="G970">
        <v>35</v>
      </c>
      <c r="H970" s="3">
        <v>497.12</v>
      </c>
      <c r="I970" s="3">
        <v>366.81</v>
      </c>
      <c r="J970" s="3">
        <f t="shared" si="45"/>
        <v>17399.2</v>
      </c>
      <c r="K970" s="3">
        <f t="shared" si="46"/>
        <v>12838.35</v>
      </c>
      <c r="L970" s="3">
        <f t="shared" si="47"/>
        <v>4560.8500000000004</v>
      </c>
    </row>
    <row r="971" spans="1:12" x14ac:dyDescent="0.3">
      <c r="A971">
        <v>1704</v>
      </c>
      <c r="B971" s="2">
        <v>45709</v>
      </c>
      <c r="C971" t="s">
        <v>12</v>
      </c>
      <c r="D971" t="s">
        <v>17</v>
      </c>
      <c r="E971" t="s">
        <v>35</v>
      </c>
      <c r="F971" t="s">
        <v>33</v>
      </c>
      <c r="G971">
        <v>12</v>
      </c>
      <c r="H971" s="3">
        <v>82.82</v>
      </c>
      <c r="I971" s="3">
        <v>49.96</v>
      </c>
      <c r="J971" s="3">
        <f t="shared" si="45"/>
        <v>993.83999999999992</v>
      </c>
      <c r="K971" s="3">
        <f t="shared" si="46"/>
        <v>599.52</v>
      </c>
      <c r="L971" s="3">
        <f t="shared" si="47"/>
        <v>394.31999999999994</v>
      </c>
    </row>
    <row r="972" spans="1:12" x14ac:dyDescent="0.3">
      <c r="A972">
        <v>2205</v>
      </c>
      <c r="B972" s="2">
        <v>45709</v>
      </c>
      <c r="C972" t="s">
        <v>23</v>
      </c>
      <c r="D972" t="s">
        <v>20</v>
      </c>
      <c r="E972" t="s">
        <v>34</v>
      </c>
      <c r="F972" t="s">
        <v>33</v>
      </c>
      <c r="G972">
        <v>12</v>
      </c>
      <c r="H972" s="3">
        <v>266.14</v>
      </c>
      <c r="I972" s="3">
        <v>166.32</v>
      </c>
      <c r="J972" s="3">
        <f t="shared" si="45"/>
        <v>3193.68</v>
      </c>
      <c r="K972" s="3">
        <f t="shared" si="46"/>
        <v>1995.84</v>
      </c>
      <c r="L972" s="3">
        <f t="shared" si="47"/>
        <v>1197.8399999999999</v>
      </c>
    </row>
    <row r="973" spans="1:12" x14ac:dyDescent="0.3">
      <c r="A973">
        <v>2466</v>
      </c>
      <c r="B973" s="2">
        <v>45709</v>
      </c>
      <c r="C973" t="s">
        <v>12</v>
      </c>
      <c r="D973" t="s">
        <v>13</v>
      </c>
      <c r="E973" t="s">
        <v>24</v>
      </c>
      <c r="F973" t="s">
        <v>39</v>
      </c>
      <c r="G973">
        <v>39</v>
      </c>
      <c r="H973" s="3">
        <v>11.43</v>
      </c>
      <c r="I973" s="3">
        <v>6.68</v>
      </c>
      <c r="J973" s="3">
        <f t="shared" si="45"/>
        <v>445.77</v>
      </c>
      <c r="K973" s="3">
        <f t="shared" si="46"/>
        <v>260.52</v>
      </c>
      <c r="L973" s="3">
        <f t="shared" si="47"/>
        <v>185.25</v>
      </c>
    </row>
    <row r="974" spans="1:12" x14ac:dyDescent="0.3">
      <c r="A974">
        <v>2482</v>
      </c>
      <c r="B974" s="2">
        <v>45709</v>
      </c>
      <c r="C974" t="s">
        <v>26</v>
      </c>
      <c r="D974" t="s">
        <v>13</v>
      </c>
      <c r="E974" t="s">
        <v>46</v>
      </c>
      <c r="F974" t="s">
        <v>36</v>
      </c>
      <c r="G974">
        <v>22</v>
      </c>
      <c r="H974" s="3">
        <v>48.86</v>
      </c>
      <c r="I974" s="3">
        <v>33.75</v>
      </c>
      <c r="J974" s="3">
        <f t="shared" si="45"/>
        <v>1074.92</v>
      </c>
      <c r="K974" s="3">
        <f t="shared" si="46"/>
        <v>742.5</v>
      </c>
      <c r="L974" s="3">
        <f t="shared" si="47"/>
        <v>332.42000000000007</v>
      </c>
    </row>
    <row r="975" spans="1:12" x14ac:dyDescent="0.3">
      <c r="A975">
        <v>2773</v>
      </c>
      <c r="B975" s="2">
        <v>45709</v>
      </c>
      <c r="C975" t="s">
        <v>12</v>
      </c>
      <c r="D975" t="s">
        <v>13</v>
      </c>
      <c r="E975" t="s">
        <v>45</v>
      </c>
      <c r="F975" t="s">
        <v>39</v>
      </c>
      <c r="G975">
        <v>13</v>
      </c>
      <c r="H975" s="3">
        <v>19.690000000000001</v>
      </c>
      <c r="I975" s="3">
        <v>10.38</v>
      </c>
      <c r="J975" s="3">
        <f t="shared" si="45"/>
        <v>255.97000000000003</v>
      </c>
      <c r="K975" s="3">
        <f t="shared" si="46"/>
        <v>134.94</v>
      </c>
      <c r="L975" s="3">
        <f t="shared" si="47"/>
        <v>121.03000000000003</v>
      </c>
    </row>
    <row r="976" spans="1:12" x14ac:dyDescent="0.3">
      <c r="A976">
        <v>1398</v>
      </c>
      <c r="B976" s="2">
        <v>45710</v>
      </c>
      <c r="C976" t="s">
        <v>32</v>
      </c>
      <c r="D976" t="s">
        <v>13</v>
      </c>
      <c r="E976" t="s">
        <v>45</v>
      </c>
      <c r="F976" t="s">
        <v>22</v>
      </c>
      <c r="G976">
        <v>37</v>
      </c>
      <c r="H976" s="3">
        <v>32.630000000000003</v>
      </c>
      <c r="I976" s="3">
        <v>22.88</v>
      </c>
      <c r="J976" s="3">
        <f t="shared" si="45"/>
        <v>1207.3100000000002</v>
      </c>
      <c r="K976" s="3">
        <f t="shared" si="46"/>
        <v>846.56</v>
      </c>
      <c r="L976" s="3">
        <f t="shared" si="47"/>
        <v>360.75000000000023</v>
      </c>
    </row>
    <row r="977" spans="1:12" x14ac:dyDescent="0.3">
      <c r="A977">
        <v>1399</v>
      </c>
      <c r="B977" s="2">
        <v>45710</v>
      </c>
      <c r="C977" t="s">
        <v>32</v>
      </c>
      <c r="D977" t="s">
        <v>17</v>
      </c>
      <c r="E977" t="s">
        <v>44</v>
      </c>
      <c r="F977" t="s">
        <v>36</v>
      </c>
      <c r="G977">
        <v>38</v>
      </c>
      <c r="H977" s="3">
        <v>273.05</v>
      </c>
      <c r="I977" s="3">
        <v>155.34</v>
      </c>
      <c r="J977" s="3">
        <f t="shared" si="45"/>
        <v>10375.9</v>
      </c>
      <c r="K977" s="3">
        <f t="shared" si="46"/>
        <v>5902.92</v>
      </c>
      <c r="L977" s="3">
        <f t="shared" si="47"/>
        <v>4472.9799999999996</v>
      </c>
    </row>
    <row r="978" spans="1:12" x14ac:dyDescent="0.3">
      <c r="A978">
        <v>1695</v>
      </c>
      <c r="B978" s="2">
        <v>45710</v>
      </c>
      <c r="C978" t="s">
        <v>26</v>
      </c>
      <c r="D978" t="s">
        <v>17</v>
      </c>
      <c r="E978" t="s">
        <v>40</v>
      </c>
      <c r="F978" t="s">
        <v>15</v>
      </c>
      <c r="G978">
        <v>3</v>
      </c>
      <c r="H978" s="3">
        <v>499.13</v>
      </c>
      <c r="I978" s="3">
        <v>286.25</v>
      </c>
      <c r="J978" s="3">
        <f t="shared" si="45"/>
        <v>1497.3899999999999</v>
      </c>
      <c r="K978" s="3">
        <f t="shared" si="46"/>
        <v>858.75</v>
      </c>
      <c r="L978" s="3">
        <f t="shared" si="47"/>
        <v>638.63999999999987</v>
      </c>
    </row>
    <row r="979" spans="1:12" x14ac:dyDescent="0.3">
      <c r="A979">
        <v>2138</v>
      </c>
      <c r="B979" s="2">
        <v>45710</v>
      </c>
      <c r="C979" t="s">
        <v>32</v>
      </c>
      <c r="D979" t="s">
        <v>13</v>
      </c>
      <c r="E979" t="s">
        <v>14</v>
      </c>
      <c r="F979" t="s">
        <v>15</v>
      </c>
      <c r="G979">
        <v>2</v>
      </c>
      <c r="H979" s="3">
        <v>14.53</v>
      </c>
      <c r="I979" s="3">
        <v>10.29</v>
      </c>
      <c r="J979" s="3">
        <f t="shared" si="45"/>
        <v>29.06</v>
      </c>
      <c r="K979" s="3">
        <f t="shared" si="46"/>
        <v>20.58</v>
      </c>
      <c r="L979" s="3">
        <f t="shared" si="47"/>
        <v>8.48</v>
      </c>
    </row>
    <row r="980" spans="1:12" x14ac:dyDescent="0.3">
      <c r="A980">
        <v>2014</v>
      </c>
      <c r="B980" s="2">
        <v>45711</v>
      </c>
      <c r="C980" t="s">
        <v>32</v>
      </c>
      <c r="D980" t="s">
        <v>17</v>
      </c>
      <c r="E980" t="s">
        <v>40</v>
      </c>
      <c r="F980" t="s">
        <v>25</v>
      </c>
      <c r="G980">
        <v>24</v>
      </c>
      <c r="H980" s="3">
        <v>608.79999999999995</v>
      </c>
      <c r="I980" s="3">
        <v>391.05</v>
      </c>
      <c r="J980" s="3">
        <f t="shared" si="45"/>
        <v>14611.199999999999</v>
      </c>
      <c r="K980" s="3">
        <f t="shared" si="46"/>
        <v>9385.2000000000007</v>
      </c>
      <c r="L980" s="3">
        <f t="shared" si="47"/>
        <v>5225.9999999999982</v>
      </c>
    </row>
    <row r="981" spans="1:12" x14ac:dyDescent="0.3">
      <c r="A981">
        <v>2243</v>
      </c>
      <c r="B981" s="2">
        <v>45711</v>
      </c>
      <c r="C981" t="s">
        <v>12</v>
      </c>
      <c r="D981" t="s">
        <v>20</v>
      </c>
      <c r="E981" t="s">
        <v>38</v>
      </c>
      <c r="F981" t="s">
        <v>39</v>
      </c>
      <c r="G981">
        <v>8</v>
      </c>
      <c r="H981" s="3">
        <v>231.59</v>
      </c>
      <c r="I981" s="3">
        <v>123.65</v>
      </c>
      <c r="J981" s="3">
        <f t="shared" si="45"/>
        <v>1852.72</v>
      </c>
      <c r="K981" s="3">
        <f t="shared" si="46"/>
        <v>989.2</v>
      </c>
      <c r="L981" s="3">
        <f t="shared" si="47"/>
        <v>863.52</v>
      </c>
    </row>
    <row r="982" spans="1:12" x14ac:dyDescent="0.3">
      <c r="A982">
        <v>2349</v>
      </c>
      <c r="B982" s="2">
        <v>45711</v>
      </c>
      <c r="C982" t="s">
        <v>32</v>
      </c>
      <c r="D982" t="s">
        <v>13</v>
      </c>
      <c r="E982" t="s">
        <v>46</v>
      </c>
      <c r="F982" t="s">
        <v>25</v>
      </c>
      <c r="G982">
        <v>15</v>
      </c>
      <c r="H982" s="3">
        <v>38.39</v>
      </c>
      <c r="I982" s="3">
        <v>27.56</v>
      </c>
      <c r="J982" s="3">
        <f t="shared" si="45"/>
        <v>575.85</v>
      </c>
      <c r="K982" s="3">
        <f t="shared" si="46"/>
        <v>413.4</v>
      </c>
      <c r="L982" s="3">
        <f t="shared" si="47"/>
        <v>162.45000000000005</v>
      </c>
    </row>
    <row r="983" spans="1:12" x14ac:dyDescent="0.3">
      <c r="A983">
        <v>1135</v>
      </c>
      <c r="B983" s="2">
        <v>45712</v>
      </c>
      <c r="C983" t="s">
        <v>32</v>
      </c>
      <c r="D983" t="s">
        <v>13</v>
      </c>
      <c r="E983" t="s">
        <v>14</v>
      </c>
      <c r="F983" t="s">
        <v>15</v>
      </c>
      <c r="G983">
        <v>29</v>
      </c>
      <c r="H983" s="3">
        <v>16.63</v>
      </c>
      <c r="I983" s="3">
        <v>12.07</v>
      </c>
      <c r="J983" s="3">
        <f t="shared" si="45"/>
        <v>482.27</v>
      </c>
      <c r="K983" s="3">
        <f t="shared" si="46"/>
        <v>350.03000000000003</v>
      </c>
      <c r="L983" s="3">
        <f t="shared" si="47"/>
        <v>132.23999999999995</v>
      </c>
    </row>
    <row r="984" spans="1:12" x14ac:dyDescent="0.3">
      <c r="A984">
        <v>1626</v>
      </c>
      <c r="B984" s="2">
        <v>45712</v>
      </c>
      <c r="C984" t="s">
        <v>32</v>
      </c>
      <c r="D984" t="s">
        <v>17</v>
      </c>
      <c r="E984" t="s">
        <v>44</v>
      </c>
      <c r="F984" t="s">
        <v>36</v>
      </c>
      <c r="G984">
        <v>18</v>
      </c>
      <c r="H984" s="3">
        <v>751.92</v>
      </c>
      <c r="I984" s="3">
        <v>452.25</v>
      </c>
      <c r="J984" s="3">
        <f t="shared" si="45"/>
        <v>13534.56</v>
      </c>
      <c r="K984" s="3">
        <f t="shared" si="46"/>
        <v>8140.5</v>
      </c>
      <c r="L984" s="3">
        <f t="shared" si="47"/>
        <v>5394.0599999999995</v>
      </c>
    </row>
    <row r="985" spans="1:12" x14ac:dyDescent="0.3">
      <c r="A985">
        <v>1754</v>
      </c>
      <c r="B985" s="2">
        <v>45712</v>
      </c>
      <c r="C985" t="s">
        <v>23</v>
      </c>
      <c r="D985" t="s">
        <v>13</v>
      </c>
      <c r="E985" t="s">
        <v>45</v>
      </c>
      <c r="F985" t="s">
        <v>19</v>
      </c>
      <c r="G985">
        <v>35</v>
      </c>
      <c r="H985" s="3">
        <v>45.36</v>
      </c>
      <c r="I985" s="3">
        <v>25.02</v>
      </c>
      <c r="J985" s="3">
        <f t="shared" si="45"/>
        <v>1587.6</v>
      </c>
      <c r="K985" s="3">
        <f t="shared" si="46"/>
        <v>875.69999999999993</v>
      </c>
      <c r="L985" s="3">
        <f t="shared" si="47"/>
        <v>711.9</v>
      </c>
    </row>
    <row r="986" spans="1:12" x14ac:dyDescent="0.3">
      <c r="A986">
        <v>2426</v>
      </c>
      <c r="B986" s="2">
        <v>45712</v>
      </c>
      <c r="C986" t="s">
        <v>26</v>
      </c>
      <c r="D986" t="s">
        <v>13</v>
      </c>
      <c r="E986" t="s">
        <v>14</v>
      </c>
      <c r="F986" t="s">
        <v>36</v>
      </c>
      <c r="G986">
        <v>35</v>
      </c>
      <c r="H986" s="3">
        <v>7.14</v>
      </c>
      <c r="I986" s="3">
        <v>4.3600000000000003</v>
      </c>
      <c r="J986" s="3">
        <f t="shared" si="45"/>
        <v>249.89999999999998</v>
      </c>
      <c r="K986" s="3">
        <f t="shared" si="46"/>
        <v>152.60000000000002</v>
      </c>
      <c r="L986" s="3">
        <f t="shared" si="47"/>
        <v>97.299999999999955</v>
      </c>
    </row>
    <row r="987" spans="1:12" x14ac:dyDescent="0.3">
      <c r="A987">
        <v>2331</v>
      </c>
      <c r="B987" s="2">
        <v>45713</v>
      </c>
      <c r="C987" t="s">
        <v>32</v>
      </c>
      <c r="D987" t="s">
        <v>29</v>
      </c>
      <c r="E987" t="s">
        <v>41</v>
      </c>
      <c r="F987" t="s">
        <v>39</v>
      </c>
      <c r="G987">
        <v>40</v>
      </c>
      <c r="H987" s="3">
        <v>403.36</v>
      </c>
      <c r="I987" s="3">
        <v>270.97000000000003</v>
      </c>
      <c r="J987" s="3">
        <f t="shared" si="45"/>
        <v>16134.400000000001</v>
      </c>
      <c r="K987" s="3">
        <f t="shared" si="46"/>
        <v>10838.800000000001</v>
      </c>
      <c r="L987" s="3">
        <f t="shared" si="47"/>
        <v>5295.6</v>
      </c>
    </row>
    <row r="988" spans="1:12" x14ac:dyDescent="0.3">
      <c r="A988">
        <v>1532</v>
      </c>
      <c r="B988" s="2">
        <v>45714</v>
      </c>
      <c r="C988" t="s">
        <v>23</v>
      </c>
      <c r="D988" t="s">
        <v>13</v>
      </c>
      <c r="E988" t="s">
        <v>14</v>
      </c>
      <c r="F988" t="s">
        <v>19</v>
      </c>
      <c r="G988">
        <v>14</v>
      </c>
      <c r="H988" s="3">
        <v>50.98</v>
      </c>
      <c r="I988" s="3">
        <v>35.93</v>
      </c>
      <c r="J988" s="3">
        <f t="shared" si="45"/>
        <v>713.71999999999991</v>
      </c>
      <c r="K988" s="3">
        <f t="shared" si="46"/>
        <v>503.02</v>
      </c>
      <c r="L988" s="3">
        <f t="shared" si="47"/>
        <v>210.69999999999993</v>
      </c>
    </row>
    <row r="989" spans="1:12" x14ac:dyDescent="0.3">
      <c r="A989">
        <v>1664</v>
      </c>
      <c r="B989" s="2">
        <v>45714</v>
      </c>
      <c r="C989" t="s">
        <v>26</v>
      </c>
      <c r="D989" t="s">
        <v>20</v>
      </c>
      <c r="E989" t="s">
        <v>38</v>
      </c>
      <c r="F989" t="s">
        <v>33</v>
      </c>
      <c r="G989">
        <v>17</v>
      </c>
      <c r="H989" s="3">
        <v>227.34</v>
      </c>
      <c r="I989" s="3">
        <v>139.97999999999999</v>
      </c>
      <c r="J989" s="3">
        <f t="shared" si="45"/>
        <v>3864.78</v>
      </c>
      <c r="K989" s="3">
        <f t="shared" si="46"/>
        <v>2379.66</v>
      </c>
      <c r="L989" s="3">
        <f t="shared" si="47"/>
        <v>1485.1200000000003</v>
      </c>
    </row>
    <row r="990" spans="1:12" x14ac:dyDescent="0.3">
      <c r="A990">
        <v>2297</v>
      </c>
      <c r="B990" s="2">
        <v>45714</v>
      </c>
      <c r="C990" t="s">
        <v>12</v>
      </c>
      <c r="D990" t="s">
        <v>17</v>
      </c>
      <c r="E990" t="s">
        <v>35</v>
      </c>
      <c r="F990" t="s">
        <v>22</v>
      </c>
      <c r="G990">
        <v>5</v>
      </c>
      <c r="H990" s="3">
        <v>865.92</v>
      </c>
      <c r="I990" s="3">
        <v>476.84</v>
      </c>
      <c r="J990" s="3">
        <f t="shared" si="45"/>
        <v>4329.5999999999995</v>
      </c>
      <c r="K990" s="3">
        <f t="shared" si="46"/>
        <v>2384.1999999999998</v>
      </c>
      <c r="L990" s="3">
        <f t="shared" si="47"/>
        <v>1945.3999999999996</v>
      </c>
    </row>
    <row r="991" spans="1:12" x14ac:dyDescent="0.3">
      <c r="A991">
        <v>2768</v>
      </c>
      <c r="B991" s="2">
        <v>45714</v>
      </c>
      <c r="C991" t="s">
        <v>32</v>
      </c>
      <c r="D991" t="s">
        <v>29</v>
      </c>
      <c r="E991" t="s">
        <v>41</v>
      </c>
      <c r="F991" t="s">
        <v>19</v>
      </c>
      <c r="G991">
        <v>9</v>
      </c>
      <c r="H991" s="3">
        <v>206.74</v>
      </c>
      <c r="I991" s="3">
        <v>147.21</v>
      </c>
      <c r="J991" s="3">
        <f t="shared" si="45"/>
        <v>1860.66</v>
      </c>
      <c r="K991" s="3">
        <f t="shared" si="46"/>
        <v>1324.89</v>
      </c>
      <c r="L991" s="3">
        <f t="shared" si="47"/>
        <v>535.77</v>
      </c>
    </row>
    <row r="992" spans="1:12" x14ac:dyDescent="0.3">
      <c r="A992">
        <v>1477</v>
      </c>
      <c r="B992" s="2">
        <v>45715</v>
      </c>
      <c r="C992" t="s">
        <v>23</v>
      </c>
      <c r="D992" t="s">
        <v>29</v>
      </c>
      <c r="E992" t="s">
        <v>41</v>
      </c>
      <c r="F992" t="s">
        <v>15</v>
      </c>
      <c r="G992">
        <v>10</v>
      </c>
      <c r="H992" s="3">
        <v>157.59</v>
      </c>
      <c r="I992" s="3">
        <v>102.91</v>
      </c>
      <c r="J992" s="3">
        <f t="shared" si="45"/>
        <v>1575.9</v>
      </c>
      <c r="K992" s="3">
        <f t="shared" si="46"/>
        <v>1029.0999999999999</v>
      </c>
      <c r="L992" s="3">
        <f t="shared" si="47"/>
        <v>546.80000000000018</v>
      </c>
    </row>
    <row r="993" spans="1:12" x14ac:dyDescent="0.3">
      <c r="A993">
        <v>1874</v>
      </c>
      <c r="B993" s="2">
        <v>45715</v>
      </c>
      <c r="C993" t="s">
        <v>16</v>
      </c>
      <c r="D993" t="s">
        <v>29</v>
      </c>
      <c r="E993" t="s">
        <v>37</v>
      </c>
      <c r="F993" t="s">
        <v>39</v>
      </c>
      <c r="G993">
        <v>25</v>
      </c>
      <c r="H993" s="3">
        <v>304.18</v>
      </c>
      <c r="I993" s="3">
        <v>214.55</v>
      </c>
      <c r="J993" s="3">
        <f t="shared" si="45"/>
        <v>7604.5</v>
      </c>
      <c r="K993" s="3">
        <f t="shared" si="46"/>
        <v>5363.75</v>
      </c>
      <c r="L993" s="3">
        <f t="shared" si="47"/>
        <v>2240.75</v>
      </c>
    </row>
    <row r="994" spans="1:12" x14ac:dyDescent="0.3">
      <c r="A994">
        <v>1937</v>
      </c>
      <c r="B994" s="2">
        <v>45715</v>
      </c>
      <c r="C994" t="s">
        <v>23</v>
      </c>
      <c r="D994" t="s">
        <v>17</v>
      </c>
      <c r="E994" t="s">
        <v>35</v>
      </c>
      <c r="F994" t="s">
        <v>39</v>
      </c>
      <c r="G994">
        <v>37</v>
      </c>
      <c r="H994" s="3">
        <v>461.46</v>
      </c>
      <c r="I994" s="3">
        <v>286.42</v>
      </c>
      <c r="J994" s="3">
        <f t="shared" si="45"/>
        <v>17074.02</v>
      </c>
      <c r="K994" s="3">
        <f t="shared" si="46"/>
        <v>10597.54</v>
      </c>
      <c r="L994" s="3">
        <f t="shared" si="47"/>
        <v>6476.48</v>
      </c>
    </row>
    <row r="995" spans="1:12" x14ac:dyDescent="0.3">
      <c r="A995">
        <v>1641</v>
      </c>
      <c r="B995" s="2">
        <v>45716</v>
      </c>
      <c r="C995" t="s">
        <v>32</v>
      </c>
      <c r="D995" t="s">
        <v>13</v>
      </c>
      <c r="E995" t="s">
        <v>14</v>
      </c>
      <c r="F995" t="s">
        <v>36</v>
      </c>
      <c r="G995">
        <v>37</v>
      </c>
      <c r="H995" s="3">
        <v>57.04</v>
      </c>
      <c r="I995" s="3">
        <v>37.46</v>
      </c>
      <c r="J995" s="3">
        <f t="shared" si="45"/>
        <v>2110.48</v>
      </c>
      <c r="K995" s="3">
        <f t="shared" si="46"/>
        <v>1386.02</v>
      </c>
      <c r="L995" s="3">
        <f t="shared" si="47"/>
        <v>724.46</v>
      </c>
    </row>
    <row r="996" spans="1:12" x14ac:dyDescent="0.3">
      <c r="A996">
        <v>1681</v>
      </c>
      <c r="B996" s="2">
        <v>45717</v>
      </c>
      <c r="C996" t="s">
        <v>26</v>
      </c>
      <c r="D996" t="s">
        <v>13</v>
      </c>
      <c r="E996" t="s">
        <v>14</v>
      </c>
      <c r="F996" t="s">
        <v>33</v>
      </c>
      <c r="G996">
        <v>19</v>
      </c>
      <c r="H996" s="3">
        <v>7.86</v>
      </c>
      <c r="I996" s="3">
        <v>4.6399999999999997</v>
      </c>
      <c r="J996" s="3">
        <f t="shared" si="45"/>
        <v>149.34</v>
      </c>
      <c r="K996" s="3">
        <f t="shared" si="46"/>
        <v>88.16</v>
      </c>
      <c r="L996" s="3">
        <f t="shared" si="47"/>
        <v>61.180000000000007</v>
      </c>
    </row>
    <row r="997" spans="1:12" x14ac:dyDescent="0.3">
      <c r="A997">
        <v>1782</v>
      </c>
      <c r="B997" s="2">
        <v>45717</v>
      </c>
      <c r="C997" t="s">
        <v>23</v>
      </c>
      <c r="D997" t="s">
        <v>29</v>
      </c>
      <c r="E997" t="s">
        <v>41</v>
      </c>
      <c r="F997" t="s">
        <v>28</v>
      </c>
      <c r="G997">
        <v>20</v>
      </c>
      <c r="H997" s="3">
        <v>251.69</v>
      </c>
      <c r="I997" s="3">
        <v>183.83</v>
      </c>
      <c r="J997" s="3">
        <f t="shared" si="45"/>
        <v>5033.8</v>
      </c>
      <c r="K997" s="3">
        <f t="shared" si="46"/>
        <v>3676.6000000000004</v>
      </c>
      <c r="L997" s="3">
        <f t="shared" si="47"/>
        <v>1357.1999999999998</v>
      </c>
    </row>
    <row r="998" spans="1:12" x14ac:dyDescent="0.3">
      <c r="A998">
        <v>1868</v>
      </c>
      <c r="B998" s="2">
        <v>45717</v>
      </c>
      <c r="C998" t="s">
        <v>12</v>
      </c>
      <c r="D998" t="s">
        <v>17</v>
      </c>
      <c r="E998" t="s">
        <v>44</v>
      </c>
      <c r="F998" t="s">
        <v>22</v>
      </c>
      <c r="G998">
        <v>15</v>
      </c>
      <c r="H998" s="3">
        <v>418.79</v>
      </c>
      <c r="I998" s="3">
        <v>301.42</v>
      </c>
      <c r="J998" s="3">
        <f t="shared" si="45"/>
        <v>6281.85</v>
      </c>
      <c r="K998" s="3">
        <f t="shared" si="46"/>
        <v>4521.3</v>
      </c>
      <c r="L998" s="3">
        <f t="shared" si="47"/>
        <v>1760.5500000000002</v>
      </c>
    </row>
    <row r="999" spans="1:12" x14ac:dyDescent="0.3">
      <c r="A999">
        <v>1988</v>
      </c>
      <c r="B999" s="2">
        <v>45718</v>
      </c>
      <c r="C999" t="s">
        <v>16</v>
      </c>
      <c r="D999" t="s">
        <v>17</v>
      </c>
      <c r="E999" t="s">
        <v>35</v>
      </c>
      <c r="F999" t="s">
        <v>28</v>
      </c>
      <c r="G999">
        <v>9</v>
      </c>
      <c r="H999" s="3">
        <v>287.23</v>
      </c>
      <c r="I999" s="3">
        <v>190.31</v>
      </c>
      <c r="J999" s="3">
        <f t="shared" si="45"/>
        <v>2585.0700000000002</v>
      </c>
      <c r="K999" s="3">
        <f t="shared" si="46"/>
        <v>1712.79</v>
      </c>
      <c r="L999" s="3">
        <f t="shared" si="47"/>
        <v>872.2800000000002</v>
      </c>
    </row>
    <row r="1000" spans="1:12" x14ac:dyDescent="0.3">
      <c r="A1000">
        <v>1566</v>
      </c>
      <c r="B1000" s="2">
        <v>45719</v>
      </c>
      <c r="C1000" t="s">
        <v>26</v>
      </c>
      <c r="D1000" t="s">
        <v>17</v>
      </c>
      <c r="E1000" t="s">
        <v>18</v>
      </c>
      <c r="F1000" t="s">
        <v>22</v>
      </c>
      <c r="G1000">
        <v>28</v>
      </c>
      <c r="H1000" s="3">
        <v>506.14</v>
      </c>
      <c r="I1000" s="3">
        <v>310.32</v>
      </c>
      <c r="J1000" s="3">
        <f t="shared" si="45"/>
        <v>14171.92</v>
      </c>
      <c r="K1000" s="3">
        <f t="shared" si="46"/>
        <v>8688.9599999999991</v>
      </c>
      <c r="L1000" s="3">
        <f t="shared" si="47"/>
        <v>5482.9600000000009</v>
      </c>
    </row>
    <row r="1001" spans="1:12" x14ac:dyDescent="0.3">
      <c r="A1001">
        <v>1673</v>
      </c>
      <c r="B1001" s="2">
        <v>45719</v>
      </c>
      <c r="C1001" t="s">
        <v>23</v>
      </c>
      <c r="D1001" t="s">
        <v>17</v>
      </c>
      <c r="E1001" t="s">
        <v>18</v>
      </c>
      <c r="F1001" t="s">
        <v>33</v>
      </c>
      <c r="G1001">
        <v>29</v>
      </c>
      <c r="H1001" s="3">
        <v>645.91</v>
      </c>
      <c r="I1001" s="3">
        <v>378.48</v>
      </c>
      <c r="J1001" s="3">
        <f t="shared" si="45"/>
        <v>18731.39</v>
      </c>
      <c r="K1001" s="3">
        <f t="shared" si="46"/>
        <v>10975.92</v>
      </c>
      <c r="L1001" s="3">
        <f t="shared" si="47"/>
        <v>7755.4699999999993</v>
      </c>
    </row>
    <row r="1002" spans="1:12" x14ac:dyDescent="0.3">
      <c r="A1002">
        <v>2365</v>
      </c>
      <c r="B1002" s="2">
        <v>45719</v>
      </c>
      <c r="C1002" t="s">
        <v>12</v>
      </c>
      <c r="D1002" t="s">
        <v>20</v>
      </c>
      <c r="E1002" t="s">
        <v>38</v>
      </c>
      <c r="F1002" t="s">
        <v>39</v>
      </c>
      <c r="G1002">
        <v>1</v>
      </c>
      <c r="H1002" s="3">
        <v>223.63</v>
      </c>
      <c r="I1002" s="3">
        <v>155.81</v>
      </c>
      <c r="J1002" s="3">
        <f t="shared" si="45"/>
        <v>223.63</v>
      </c>
      <c r="K1002" s="3">
        <f t="shared" si="46"/>
        <v>155.81</v>
      </c>
      <c r="L1002" s="3">
        <f t="shared" si="47"/>
        <v>67.819999999999993</v>
      </c>
    </row>
    <row r="1003" spans="1:12" x14ac:dyDescent="0.3">
      <c r="A1003">
        <v>2708</v>
      </c>
      <c r="B1003" s="2">
        <v>45719</v>
      </c>
      <c r="C1003" t="s">
        <v>23</v>
      </c>
      <c r="D1003" t="s">
        <v>20</v>
      </c>
      <c r="E1003" t="s">
        <v>42</v>
      </c>
      <c r="F1003" t="s">
        <v>36</v>
      </c>
      <c r="G1003">
        <v>15</v>
      </c>
      <c r="H1003" s="3">
        <v>163.4</v>
      </c>
      <c r="I1003" s="3">
        <v>97.78</v>
      </c>
      <c r="J1003" s="3">
        <f t="shared" si="45"/>
        <v>2451</v>
      </c>
      <c r="K1003" s="3">
        <f t="shared" si="46"/>
        <v>1466.7</v>
      </c>
      <c r="L1003" s="3">
        <f t="shared" si="47"/>
        <v>984.3</v>
      </c>
    </row>
    <row r="1004" spans="1:12" x14ac:dyDescent="0.3">
      <c r="A1004">
        <v>1356</v>
      </c>
      <c r="B1004" s="2">
        <v>45720</v>
      </c>
      <c r="C1004" t="s">
        <v>16</v>
      </c>
      <c r="D1004" t="s">
        <v>13</v>
      </c>
      <c r="E1004" t="s">
        <v>31</v>
      </c>
      <c r="F1004" t="s">
        <v>36</v>
      </c>
      <c r="G1004">
        <v>22</v>
      </c>
      <c r="H1004" s="3">
        <v>28.81</v>
      </c>
      <c r="I1004" s="3">
        <v>19.45</v>
      </c>
      <c r="J1004" s="3">
        <f t="shared" si="45"/>
        <v>633.81999999999994</v>
      </c>
      <c r="K1004" s="3">
        <f t="shared" si="46"/>
        <v>427.9</v>
      </c>
      <c r="L1004" s="3">
        <f t="shared" si="47"/>
        <v>205.91999999999996</v>
      </c>
    </row>
    <row r="1005" spans="1:12" x14ac:dyDescent="0.3">
      <c r="A1005">
        <v>1645</v>
      </c>
      <c r="B1005" s="2">
        <v>45720</v>
      </c>
      <c r="C1005" t="s">
        <v>12</v>
      </c>
      <c r="D1005" t="s">
        <v>20</v>
      </c>
      <c r="E1005" t="s">
        <v>34</v>
      </c>
      <c r="F1005" t="s">
        <v>22</v>
      </c>
      <c r="G1005">
        <v>19</v>
      </c>
      <c r="H1005" s="3">
        <v>89.53</v>
      </c>
      <c r="I1005" s="3">
        <v>57.81</v>
      </c>
      <c r="J1005" s="3">
        <f t="shared" si="45"/>
        <v>1701.07</v>
      </c>
      <c r="K1005" s="3">
        <f t="shared" si="46"/>
        <v>1098.3900000000001</v>
      </c>
      <c r="L1005" s="3">
        <f t="shared" si="47"/>
        <v>602.67999999999984</v>
      </c>
    </row>
    <row r="1006" spans="1:12" x14ac:dyDescent="0.3">
      <c r="A1006">
        <v>2110</v>
      </c>
      <c r="B1006" s="2">
        <v>45720</v>
      </c>
      <c r="C1006" t="s">
        <v>23</v>
      </c>
      <c r="D1006" t="s">
        <v>13</v>
      </c>
      <c r="E1006" t="s">
        <v>45</v>
      </c>
      <c r="F1006" t="s">
        <v>39</v>
      </c>
      <c r="G1006">
        <v>9</v>
      </c>
      <c r="H1006" s="3">
        <v>31.69</v>
      </c>
      <c r="I1006" s="3">
        <v>19.079999999999998</v>
      </c>
      <c r="J1006" s="3">
        <f t="shared" si="45"/>
        <v>285.21000000000004</v>
      </c>
      <c r="K1006" s="3">
        <f t="shared" si="46"/>
        <v>171.71999999999997</v>
      </c>
      <c r="L1006" s="3">
        <f t="shared" si="47"/>
        <v>113.49000000000007</v>
      </c>
    </row>
    <row r="1007" spans="1:12" x14ac:dyDescent="0.3">
      <c r="A1007">
        <v>1049</v>
      </c>
      <c r="B1007" s="2">
        <v>45721</v>
      </c>
      <c r="C1007" t="s">
        <v>16</v>
      </c>
      <c r="D1007" t="s">
        <v>13</v>
      </c>
      <c r="E1007" t="s">
        <v>14</v>
      </c>
      <c r="F1007" t="s">
        <v>39</v>
      </c>
      <c r="G1007">
        <v>18</v>
      </c>
      <c r="H1007" s="3">
        <v>4.6500000000000004</v>
      </c>
      <c r="I1007" s="3">
        <v>2.8</v>
      </c>
      <c r="J1007" s="3">
        <f t="shared" si="45"/>
        <v>83.7</v>
      </c>
      <c r="K1007" s="3">
        <f t="shared" si="46"/>
        <v>50.4</v>
      </c>
      <c r="L1007" s="3">
        <f t="shared" si="47"/>
        <v>33.300000000000004</v>
      </c>
    </row>
    <row r="1008" spans="1:12" x14ac:dyDescent="0.3">
      <c r="A1008">
        <v>1594</v>
      </c>
      <c r="B1008" s="2">
        <v>45721</v>
      </c>
      <c r="C1008" t="s">
        <v>32</v>
      </c>
      <c r="D1008" t="s">
        <v>17</v>
      </c>
      <c r="E1008" t="s">
        <v>40</v>
      </c>
      <c r="F1008" t="s">
        <v>15</v>
      </c>
      <c r="G1008">
        <v>34</v>
      </c>
      <c r="H1008" s="3">
        <v>596.72</v>
      </c>
      <c r="I1008" s="3">
        <v>412.44</v>
      </c>
      <c r="J1008" s="3">
        <f t="shared" si="45"/>
        <v>20288.48</v>
      </c>
      <c r="K1008" s="3">
        <f t="shared" si="46"/>
        <v>14022.96</v>
      </c>
      <c r="L1008" s="3">
        <f t="shared" si="47"/>
        <v>6265.52</v>
      </c>
    </row>
    <row r="1009" spans="1:12" x14ac:dyDescent="0.3">
      <c r="A1009">
        <v>1750</v>
      </c>
      <c r="B1009" s="2">
        <v>45721</v>
      </c>
      <c r="C1009" t="s">
        <v>23</v>
      </c>
      <c r="D1009" t="s">
        <v>20</v>
      </c>
      <c r="E1009" t="s">
        <v>38</v>
      </c>
      <c r="F1009" t="s">
        <v>33</v>
      </c>
      <c r="G1009">
        <v>38</v>
      </c>
      <c r="H1009" s="3">
        <v>63.03</v>
      </c>
      <c r="I1009" s="3">
        <v>46.53</v>
      </c>
      <c r="J1009" s="3">
        <f t="shared" si="45"/>
        <v>2395.14</v>
      </c>
      <c r="K1009" s="3">
        <f t="shared" si="46"/>
        <v>1768.14</v>
      </c>
      <c r="L1009" s="3">
        <f t="shared" si="47"/>
        <v>626.99999999999977</v>
      </c>
    </row>
    <row r="1010" spans="1:12" x14ac:dyDescent="0.3">
      <c r="A1010">
        <v>2758</v>
      </c>
      <c r="B1010" s="2">
        <v>45721</v>
      </c>
      <c r="C1010" t="s">
        <v>12</v>
      </c>
      <c r="D1010" t="s">
        <v>20</v>
      </c>
      <c r="E1010" t="s">
        <v>38</v>
      </c>
      <c r="F1010" t="s">
        <v>36</v>
      </c>
      <c r="G1010">
        <v>3</v>
      </c>
      <c r="H1010" s="3">
        <v>88.39</v>
      </c>
      <c r="I1010" s="3">
        <v>51.15</v>
      </c>
      <c r="J1010" s="3">
        <f t="shared" si="45"/>
        <v>265.17</v>
      </c>
      <c r="K1010" s="3">
        <f t="shared" si="46"/>
        <v>153.44999999999999</v>
      </c>
      <c r="L1010" s="3">
        <f t="shared" si="47"/>
        <v>111.72000000000003</v>
      </c>
    </row>
    <row r="1011" spans="1:12" x14ac:dyDescent="0.3">
      <c r="A1011">
        <v>1048</v>
      </c>
      <c r="B1011" s="2">
        <v>45722</v>
      </c>
      <c r="C1011" t="s">
        <v>23</v>
      </c>
      <c r="D1011" t="s">
        <v>17</v>
      </c>
      <c r="E1011" t="s">
        <v>35</v>
      </c>
      <c r="F1011" t="s">
        <v>36</v>
      </c>
      <c r="G1011">
        <v>31</v>
      </c>
      <c r="H1011" s="3">
        <v>64.95</v>
      </c>
      <c r="I1011" s="3">
        <v>47.96</v>
      </c>
      <c r="J1011" s="3">
        <f t="shared" si="45"/>
        <v>2013.45</v>
      </c>
      <c r="K1011" s="3">
        <f t="shared" si="46"/>
        <v>1486.76</v>
      </c>
      <c r="L1011" s="3">
        <f t="shared" si="47"/>
        <v>526.69000000000005</v>
      </c>
    </row>
    <row r="1012" spans="1:12" x14ac:dyDescent="0.3">
      <c r="A1012">
        <v>2407</v>
      </c>
      <c r="B1012" s="2">
        <v>45722</v>
      </c>
      <c r="C1012" t="s">
        <v>26</v>
      </c>
      <c r="D1012" t="s">
        <v>29</v>
      </c>
      <c r="E1012" t="s">
        <v>43</v>
      </c>
      <c r="F1012" t="s">
        <v>22</v>
      </c>
      <c r="G1012">
        <v>9</v>
      </c>
      <c r="H1012" s="3">
        <v>327.08999999999997</v>
      </c>
      <c r="I1012" s="3">
        <v>202.55</v>
      </c>
      <c r="J1012" s="3">
        <f t="shared" si="45"/>
        <v>2943.81</v>
      </c>
      <c r="K1012" s="3">
        <f t="shared" si="46"/>
        <v>1822.95</v>
      </c>
      <c r="L1012" s="3">
        <f t="shared" si="47"/>
        <v>1120.8599999999999</v>
      </c>
    </row>
    <row r="1013" spans="1:12" x14ac:dyDescent="0.3">
      <c r="A1013">
        <v>2434</v>
      </c>
      <c r="B1013" s="2">
        <v>45722</v>
      </c>
      <c r="C1013" t="s">
        <v>26</v>
      </c>
      <c r="D1013" t="s">
        <v>17</v>
      </c>
      <c r="E1013" t="s">
        <v>44</v>
      </c>
      <c r="F1013" t="s">
        <v>39</v>
      </c>
      <c r="G1013">
        <v>5</v>
      </c>
      <c r="H1013" s="3">
        <v>189.14</v>
      </c>
      <c r="I1013" s="3">
        <v>107.15</v>
      </c>
      <c r="J1013" s="3">
        <f t="shared" si="45"/>
        <v>945.69999999999993</v>
      </c>
      <c r="K1013" s="3">
        <f t="shared" si="46"/>
        <v>535.75</v>
      </c>
      <c r="L1013" s="3">
        <f t="shared" si="47"/>
        <v>409.94999999999993</v>
      </c>
    </row>
    <row r="1014" spans="1:12" x14ac:dyDescent="0.3">
      <c r="A1014">
        <v>1052</v>
      </c>
      <c r="B1014" s="2">
        <v>45723</v>
      </c>
      <c r="C1014" t="s">
        <v>32</v>
      </c>
      <c r="D1014" t="s">
        <v>17</v>
      </c>
      <c r="E1014" t="s">
        <v>18</v>
      </c>
      <c r="F1014" t="s">
        <v>22</v>
      </c>
      <c r="G1014">
        <v>35</v>
      </c>
      <c r="H1014" s="3">
        <v>103.75</v>
      </c>
      <c r="I1014" s="3">
        <v>76.7</v>
      </c>
      <c r="J1014" s="3">
        <f t="shared" si="45"/>
        <v>3631.25</v>
      </c>
      <c r="K1014" s="3">
        <f t="shared" si="46"/>
        <v>2684.5</v>
      </c>
      <c r="L1014" s="3">
        <f t="shared" si="47"/>
        <v>946.75</v>
      </c>
    </row>
    <row r="1015" spans="1:12" x14ac:dyDescent="0.3">
      <c r="A1015">
        <v>1105</v>
      </c>
      <c r="B1015" s="2">
        <v>45723</v>
      </c>
      <c r="C1015" t="s">
        <v>16</v>
      </c>
      <c r="D1015" t="s">
        <v>17</v>
      </c>
      <c r="E1015" t="s">
        <v>27</v>
      </c>
      <c r="F1015" t="s">
        <v>28</v>
      </c>
      <c r="G1015">
        <v>29</v>
      </c>
      <c r="H1015" s="3">
        <v>713.53</v>
      </c>
      <c r="I1015" s="3">
        <v>525.41</v>
      </c>
      <c r="J1015" s="3">
        <f t="shared" si="45"/>
        <v>20692.37</v>
      </c>
      <c r="K1015" s="3">
        <f t="shared" si="46"/>
        <v>15236.89</v>
      </c>
      <c r="L1015" s="3">
        <f t="shared" si="47"/>
        <v>5455.48</v>
      </c>
    </row>
    <row r="1016" spans="1:12" x14ac:dyDescent="0.3">
      <c r="A1016">
        <v>1619</v>
      </c>
      <c r="B1016" s="2">
        <v>45723</v>
      </c>
      <c r="C1016" t="s">
        <v>32</v>
      </c>
      <c r="D1016" t="s">
        <v>17</v>
      </c>
      <c r="E1016" t="s">
        <v>18</v>
      </c>
      <c r="F1016" t="s">
        <v>22</v>
      </c>
      <c r="G1016">
        <v>21</v>
      </c>
      <c r="H1016" s="3">
        <v>377.3</v>
      </c>
      <c r="I1016" s="3">
        <v>198.09</v>
      </c>
      <c r="J1016" s="3">
        <f t="shared" si="45"/>
        <v>7923.3</v>
      </c>
      <c r="K1016" s="3">
        <f t="shared" si="46"/>
        <v>4159.8900000000003</v>
      </c>
      <c r="L1016" s="3">
        <f t="shared" si="47"/>
        <v>3763.41</v>
      </c>
    </row>
    <row r="1017" spans="1:12" x14ac:dyDescent="0.3">
      <c r="A1017">
        <v>2175</v>
      </c>
      <c r="B1017" s="2">
        <v>45723</v>
      </c>
      <c r="C1017" t="s">
        <v>23</v>
      </c>
      <c r="D1017" t="s">
        <v>20</v>
      </c>
      <c r="E1017" t="s">
        <v>38</v>
      </c>
      <c r="F1017" t="s">
        <v>19</v>
      </c>
      <c r="G1017">
        <v>20</v>
      </c>
      <c r="H1017" s="3">
        <v>107.25</v>
      </c>
      <c r="I1017" s="3">
        <v>78.37</v>
      </c>
      <c r="J1017" s="3">
        <f t="shared" si="45"/>
        <v>2145</v>
      </c>
      <c r="K1017" s="3">
        <f t="shared" si="46"/>
        <v>1567.4</v>
      </c>
      <c r="L1017" s="3">
        <f t="shared" si="47"/>
        <v>577.59999999999991</v>
      </c>
    </row>
    <row r="1018" spans="1:12" x14ac:dyDescent="0.3">
      <c r="A1018">
        <v>2563</v>
      </c>
      <c r="B1018" s="2">
        <v>45724</v>
      </c>
      <c r="C1018" t="s">
        <v>26</v>
      </c>
      <c r="D1018" t="s">
        <v>29</v>
      </c>
      <c r="E1018" t="s">
        <v>37</v>
      </c>
      <c r="F1018" t="s">
        <v>28</v>
      </c>
      <c r="G1018">
        <v>15</v>
      </c>
      <c r="H1018" s="3">
        <v>149.87</v>
      </c>
      <c r="I1018" s="3">
        <v>91.54</v>
      </c>
      <c r="J1018" s="3">
        <f t="shared" si="45"/>
        <v>2248.0500000000002</v>
      </c>
      <c r="K1018" s="3">
        <f t="shared" si="46"/>
        <v>1373.1000000000001</v>
      </c>
      <c r="L1018" s="3">
        <f t="shared" si="47"/>
        <v>874.95</v>
      </c>
    </row>
    <row r="1019" spans="1:12" x14ac:dyDescent="0.3">
      <c r="A1019">
        <v>1023</v>
      </c>
      <c r="B1019" s="2">
        <v>45725</v>
      </c>
      <c r="C1019" t="s">
        <v>16</v>
      </c>
      <c r="D1019" t="s">
        <v>20</v>
      </c>
      <c r="E1019" t="s">
        <v>34</v>
      </c>
      <c r="F1019" t="s">
        <v>39</v>
      </c>
      <c r="G1019">
        <v>19</v>
      </c>
      <c r="H1019" s="3">
        <v>37.07</v>
      </c>
      <c r="I1019" s="3">
        <v>21.44</v>
      </c>
      <c r="J1019" s="3">
        <f t="shared" si="45"/>
        <v>704.33</v>
      </c>
      <c r="K1019" s="3">
        <f t="shared" si="46"/>
        <v>407.36</v>
      </c>
      <c r="L1019" s="3">
        <f t="shared" si="47"/>
        <v>296.97000000000003</v>
      </c>
    </row>
    <row r="1020" spans="1:12" x14ac:dyDescent="0.3">
      <c r="A1020">
        <v>1141</v>
      </c>
      <c r="B1020" s="2">
        <v>45725</v>
      </c>
      <c r="C1020" t="s">
        <v>26</v>
      </c>
      <c r="D1020" t="s">
        <v>29</v>
      </c>
      <c r="E1020" t="s">
        <v>37</v>
      </c>
      <c r="F1020" t="s">
        <v>15</v>
      </c>
      <c r="G1020">
        <v>8</v>
      </c>
      <c r="H1020" s="3">
        <v>413.44</v>
      </c>
      <c r="I1020" s="3">
        <v>218.18</v>
      </c>
      <c r="J1020" s="3">
        <f t="shared" si="45"/>
        <v>3307.52</v>
      </c>
      <c r="K1020" s="3">
        <f t="shared" si="46"/>
        <v>1745.44</v>
      </c>
      <c r="L1020" s="3">
        <f t="shared" si="47"/>
        <v>1562.08</v>
      </c>
    </row>
    <row r="1021" spans="1:12" x14ac:dyDescent="0.3">
      <c r="A1021">
        <v>1647</v>
      </c>
      <c r="B1021" s="2">
        <v>45725</v>
      </c>
      <c r="C1021" t="s">
        <v>16</v>
      </c>
      <c r="D1021" t="s">
        <v>29</v>
      </c>
      <c r="E1021" t="s">
        <v>30</v>
      </c>
      <c r="F1021" t="s">
        <v>25</v>
      </c>
      <c r="G1021">
        <v>36</v>
      </c>
      <c r="H1021" s="3">
        <v>178.63</v>
      </c>
      <c r="I1021" s="3">
        <v>133.83000000000001</v>
      </c>
      <c r="J1021" s="3">
        <f t="shared" si="45"/>
        <v>6430.68</v>
      </c>
      <c r="K1021" s="3">
        <f t="shared" si="46"/>
        <v>4817.88</v>
      </c>
      <c r="L1021" s="3">
        <f t="shared" si="47"/>
        <v>1612.8000000000002</v>
      </c>
    </row>
    <row r="1022" spans="1:12" x14ac:dyDescent="0.3">
      <c r="A1022">
        <v>1804</v>
      </c>
      <c r="B1022" s="2">
        <v>45725</v>
      </c>
      <c r="C1022" t="s">
        <v>32</v>
      </c>
      <c r="D1022" t="s">
        <v>29</v>
      </c>
      <c r="E1022" t="s">
        <v>37</v>
      </c>
      <c r="F1022" t="s">
        <v>39</v>
      </c>
      <c r="G1022">
        <v>7</v>
      </c>
      <c r="H1022" s="3">
        <v>273.45</v>
      </c>
      <c r="I1022" s="3">
        <v>201.18</v>
      </c>
      <c r="J1022" s="3">
        <f t="shared" si="45"/>
        <v>1914.1499999999999</v>
      </c>
      <c r="K1022" s="3">
        <f t="shared" si="46"/>
        <v>1408.26</v>
      </c>
      <c r="L1022" s="3">
        <f t="shared" si="47"/>
        <v>505.88999999999987</v>
      </c>
    </row>
    <row r="1023" spans="1:12" x14ac:dyDescent="0.3">
      <c r="A1023">
        <v>1609</v>
      </c>
      <c r="B1023" s="2">
        <v>45726</v>
      </c>
      <c r="C1023" t="s">
        <v>23</v>
      </c>
      <c r="D1023" t="s">
        <v>29</v>
      </c>
      <c r="E1023" t="s">
        <v>43</v>
      </c>
      <c r="F1023" t="s">
        <v>36</v>
      </c>
      <c r="G1023">
        <v>23</v>
      </c>
      <c r="H1023" s="3">
        <v>249.87</v>
      </c>
      <c r="I1023" s="3">
        <v>142.36000000000001</v>
      </c>
      <c r="J1023" s="3">
        <f t="shared" si="45"/>
        <v>5747.01</v>
      </c>
      <c r="K1023" s="3">
        <f t="shared" si="46"/>
        <v>3274.28</v>
      </c>
      <c r="L1023" s="3">
        <f t="shared" si="47"/>
        <v>2472.73</v>
      </c>
    </row>
    <row r="1024" spans="1:12" x14ac:dyDescent="0.3">
      <c r="A1024">
        <v>2062</v>
      </c>
      <c r="B1024" s="2">
        <v>45726</v>
      </c>
      <c r="C1024" t="s">
        <v>12</v>
      </c>
      <c r="D1024" t="s">
        <v>13</v>
      </c>
      <c r="E1024" t="s">
        <v>14</v>
      </c>
      <c r="F1024" t="s">
        <v>33</v>
      </c>
      <c r="G1024">
        <v>12</v>
      </c>
      <c r="H1024" s="3">
        <v>59.74</v>
      </c>
      <c r="I1024" s="3">
        <v>32.78</v>
      </c>
      <c r="J1024" s="3">
        <f t="shared" si="45"/>
        <v>716.88</v>
      </c>
      <c r="K1024" s="3">
        <f t="shared" si="46"/>
        <v>393.36</v>
      </c>
      <c r="L1024" s="3">
        <f t="shared" si="47"/>
        <v>323.52</v>
      </c>
    </row>
    <row r="1025" spans="1:12" x14ac:dyDescent="0.3">
      <c r="A1025">
        <v>1284</v>
      </c>
      <c r="B1025" s="2">
        <v>45728</v>
      </c>
      <c r="C1025" t="s">
        <v>12</v>
      </c>
      <c r="D1025" t="s">
        <v>29</v>
      </c>
      <c r="E1025" t="s">
        <v>37</v>
      </c>
      <c r="F1025" t="s">
        <v>19</v>
      </c>
      <c r="G1025">
        <v>18</v>
      </c>
      <c r="H1025" s="3">
        <v>94.55</v>
      </c>
      <c r="I1025" s="3">
        <v>53.08</v>
      </c>
      <c r="J1025" s="3">
        <f t="shared" si="45"/>
        <v>1701.8999999999999</v>
      </c>
      <c r="K1025" s="3">
        <f t="shared" si="46"/>
        <v>955.43999999999994</v>
      </c>
      <c r="L1025" s="3">
        <f t="shared" si="47"/>
        <v>746.45999999999992</v>
      </c>
    </row>
    <row r="1026" spans="1:12" x14ac:dyDescent="0.3">
      <c r="A1026">
        <v>2022</v>
      </c>
      <c r="B1026" s="2">
        <v>45728</v>
      </c>
      <c r="C1026" t="s">
        <v>32</v>
      </c>
      <c r="D1026" t="s">
        <v>29</v>
      </c>
      <c r="E1026" t="s">
        <v>41</v>
      </c>
      <c r="F1026" t="s">
        <v>33</v>
      </c>
      <c r="G1026">
        <v>12</v>
      </c>
      <c r="H1026" s="3">
        <v>476.92</v>
      </c>
      <c r="I1026" s="3">
        <v>325.62</v>
      </c>
      <c r="J1026" s="3">
        <f t="shared" ref="J1026:J1089" si="48">G1026*H1026</f>
        <v>5723.04</v>
      </c>
      <c r="K1026" s="3">
        <f t="shared" ref="K1026:K1089" si="49">G1026*I1026</f>
        <v>3907.44</v>
      </c>
      <c r="L1026" s="3">
        <f t="shared" ref="L1026:L1089" si="50">J1026-K1026</f>
        <v>1815.6</v>
      </c>
    </row>
    <row r="1027" spans="1:12" x14ac:dyDescent="0.3">
      <c r="A1027">
        <v>2469</v>
      </c>
      <c r="B1027" s="2">
        <v>45728</v>
      </c>
      <c r="C1027" t="s">
        <v>26</v>
      </c>
      <c r="D1027" t="s">
        <v>17</v>
      </c>
      <c r="E1027" t="s">
        <v>44</v>
      </c>
      <c r="F1027" t="s">
        <v>22</v>
      </c>
      <c r="G1027">
        <v>34</v>
      </c>
      <c r="H1027" s="3">
        <v>803.35</v>
      </c>
      <c r="I1027" s="3">
        <v>565.99</v>
      </c>
      <c r="J1027" s="3">
        <f t="shared" si="48"/>
        <v>27313.9</v>
      </c>
      <c r="K1027" s="3">
        <f t="shared" si="49"/>
        <v>19243.66</v>
      </c>
      <c r="L1027" s="3">
        <f t="shared" si="50"/>
        <v>8070.2400000000016</v>
      </c>
    </row>
    <row r="1028" spans="1:12" x14ac:dyDescent="0.3">
      <c r="A1028">
        <v>1303</v>
      </c>
      <c r="B1028" s="2">
        <v>45729</v>
      </c>
      <c r="C1028" t="s">
        <v>26</v>
      </c>
      <c r="D1028" t="s">
        <v>29</v>
      </c>
      <c r="E1028" t="s">
        <v>41</v>
      </c>
      <c r="F1028" t="s">
        <v>39</v>
      </c>
      <c r="G1028">
        <v>7</v>
      </c>
      <c r="H1028" s="3">
        <v>202.56</v>
      </c>
      <c r="I1028" s="3">
        <v>144.01</v>
      </c>
      <c r="J1028" s="3">
        <f t="shared" si="48"/>
        <v>1417.92</v>
      </c>
      <c r="K1028" s="3">
        <f t="shared" si="49"/>
        <v>1008.0699999999999</v>
      </c>
      <c r="L1028" s="3">
        <f t="shared" si="50"/>
        <v>409.85000000000014</v>
      </c>
    </row>
    <row r="1029" spans="1:12" x14ac:dyDescent="0.3">
      <c r="A1029">
        <v>1873</v>
      </c>
      <c r="B1029" s="2">
        <v>45729</v>
      </c>
      <c r="C1029" t="s">
        <v>32</v>
      </c>
      <c r="D1029" t="s">
        <v>13</v>
      </c>
      <c r="E1029" t="s">
        <v>45</v>
      </c>
      <c r="F1029" t="s">
        <v>33</v>
      </c>
      <c r="G1029">
        <v>9</v>
      </c>
      <c r="H1029" s="3">
        <v>24.95</v>
      </c>
      <c r="I1029" s="3">
        <v>16.8</v>
      </c>
      <c r="J1029" s="3">
        <f t="shared" si="48"/>
        <v>224.54999999999998</v>
      </c>
      <c r="K1029" s="3">
        <f t="shared" si="49"/>
        <v>151.20000000000002</v>
      </c>
      <c r="L1029" s="3">
        <f t="shared" si="50"/>
        <v>73.349999999999966</v>
      </c>
    </row>
    <row r="1030" spans="1:12" x14ac:dyDescent="0.3">
      <c r="A1030">
        <v>2797</v>
      </c>
      <c r="B1030" s="2">
        <v>45729</v>
      </c>
      <c r="C1030" t="s">
        <v>12</v>
      </c>
      <c r="D1030" t="s">
        <v>13</v>
      </c>
      <c r="E1030" t="s">
        <v>46</v>
      </c>
      <c r="F1030" t="s">
        <v>33</v>
      </c>
      <c r="G1030">
        <v>27</v>
      </c>
      <c r="H1030" s="3">
        <v>13.54</v>
      </c>
      <c r="I1030" s="3">
        <v>9.4600000000000009</v>
      </c>
      <c r="J1030" s="3">
        <f t="shared" si="48"/>
        <v>365.58</v>
      </c>
      <c r="K1030" s="3">
        <f t="shared" si="49"/>
        <v>255.42000000000002</v>
      </c>
      <c r="L1030" s="3">
        <f t="shared" si="50"/>
        <v>110.15999999999997</v>
      </c>
    </row>
    <row r="1031" spans="1:12" x14ac:dyDescent="0.3">
      <c r="A1031">
        <v>1565</v>
      </c>
      <c r="B1031" s="2">
        <v>45730</v>
      </c>
      <c r="C1031" t="s">
        <v>12</v>
      </c>
      <c r="D1031" t="s">
        <v>13</v>
      </c>
      <c r="E1031" t="s">
        <v>31</v>
      </c>
      <c r="F1031" t="s">
        <v>36</v>
      </c>
      <c r="G1031">
        <v>38</v>
      </c>
      <c r="H1031" s="3">
        <v>55.87</v>
      </c>
      <c r="I1031" s="3">
        <v>40.479999999999997</v>
      </c>
      <c r="J1031" s="3">
        <f t="shared" si="48"/>
        <v>2123.06</v>
      </c>
      <c r="K1031" s="3">
        <f t="shared" si="49"/>
        <v>1538.2399999999998</v>
      </c>
      <c r="L1031" s="3">
        <f t="shared" si="50"/>
        <v>584.82000000000016</v>
      </c>
    </row>
    <row r="1032" spans="1:12" x14ac:dyDescent="0.3">
      <c r="A1032">
        <v>1726</v>
      </c>
      <c r="B1032" s="2">
        <v>45730</v>
      </c>
      <c r="C1032" t="s">
        <v>16</v>
      </c>
      <c r="D1032" t="s">
        <v>17</v>
      </c>
      <c r="E1032" t="s">
        <v>40</v>
      </c>
      <c r="F1032" t="s">
        <v>22</v>
      </c>
      <c r="G1032">
        <v>30</v>
      </c>
      <c r="H1032" s="3">
        <v>494.46</v>
      </c>
      <c r="I1032" s="3">
        <v>335.4</v>
      </c>
      <c r="J1032" s="3">
        <f t="shared" si="48"/>
        <v>14833.8</v>
      </c>
      <c r="K1032" s="3">
        <f t="shared" si="49"/>
        <v>10062</v>
      </c>
      <c r="L1032" s="3">
        <f t="shared" si="50"/>
        <v>4771.7999999999993</v>
      </c>
    </row>
    <row r="1033" spans="1:12" x14ac:dyDescent="0.3">
      <c r="A1033">
        <v>1259</v>
      </c>
      <c r="B1033" s="2">
        <v>45731</v>
      </c>
      <c r="C1033" t="s">
        <v>32</v>
      </c>
      <c r="D1033" t="s">
        <v>13</v>
      </c>
      <c r="E1033" t="s">
        <v>24</v>
      </c>
      <c r="F1033" t="s">
        <v>15</v>
      </c>
      <c r="G1033">
        <v>6</v>
      </c>
      <c r="H1033" s="3">
        <v>37.26</v>
      </c>
      <c r="I1033" s="3">
        <v>27.4</v>
      </c>
      <c r="J1033" s="3">
        <f t="shared" si="48"/>
        <v>223.56</v>
      </c>
      <c r="K1033" s="3">
        <f t="shared" si="49"/>
        <v>164.39999999999998</v>
      </c>
      <c r="L1033" s="3">
        <f t="shared" si="50"/>
        <v>59.160000000000025</v>
      </c>
    </row>
    <row r="1034" spans="1:12" x14ac:dyDescent="0.3">
      <c r="A1034">
        <v>1231</v>
      </c>
      <c r="B1034" s="2">
        <v>45732</v>
      </c>
      <c r="C1034" t="s">
        <v>26</v>
      </c>
      <c r="D1034" t="s">
        <v>17</v>
      </c>
      <c r="E1034" t="s">
        <v>27</v>
      </c>
      <c r="F1034" t="s">
        <v>15</v>
      </c>
      <c r="G1034">
        <v>15</v>
      </c>
      <c r="H1034" s="3">
        <v>488.97</v>
      </c>
      <c r="I1034" s="3">
        <v>298.98</v>
      </c>
      <c r="J1034" s="3">
        <f t="shared" si="48"/>
        <v>7334.55</v>
      </c>
      <c r="K1034" s="3">
        <f t="shared" si="49"/>
        <v>4484.7000000000007</v>
      </c>
      <c r="L1034" s="3">
        <f t="shared" si="50"/>
        <v>2849.8499999999995</v>
      </c>
    </row>
    <row r="1035" spans="1:12" x14ac:dyDescent="0.3">
      <c r="A1035">
        <v>1651</v>
      </c>
      <c r="B1035" s="2">
        <v>45732</v>
      </c>
      <c r="C1035" t="s">
        <v>32</v>
      </c>
      <c r="D1035" t="s">
        <v>29</v>
      </c>
      <c r="E1035" t="s">
        <v>43</v>
      </c>
      <c r="F1035" t="s">
        <v>33</v>
      </c>
      <c r="G1035">
        <v>28</v>
      </c>
      <c r="H1035" s="3">
        <v>497.72</v>
      </c>
      <c r="I1035" s="3">
        <v>267.68</v>
      </c>
      <c r="J1035" s="3">
        <f t="shared" si="48"/>
        <v>13936.16</v>
      </c>
      <c r="K1035" s="3">
        <f t="shared" si="49"/>
        <v>7495.04</v>
      </c>
      <c r="L1035" s="3">
        <f t="shared" si="50"/>
        <v>6441.12</v>
      </c>
    </row>
    <row r="1036" spans="1:12" x14ac:dyDescent="0.3">
      <c r="A1036">
        <v>2023</v>
      </c>
      <c r="B1036" s="2">
        <v>45732</v>
      </c>
      <c r="C1036" t="s">
        <v>16</v>
      </c>
      <c r="D1036" t="s">
        <v>29</v>
      </c>
      <c r="E1036" t="s">
        <v>43</v>
      </c>
      <c r="F1036" t="s">
        <v>25</v>
      </c>
      <c r="G1036">
        <v>23</v>
      </c>
      <c r="H1036" s="3">
        <v>195.02</v>
      </c>
      <c r="I1036" s="3">
        <v>140.68</v>
      </c>
      <c r="J1036" s="3">
        <f t="shared" si="48"/>
        <v>4485.46</v>
      </c>
      <c r="K1036" s="3">
        <f t="shared" si="49"/>
        <v>3235.6400000000003</v>
      </c>
      <c r="L1036" s="3">
        <f t="shared" si="50"/>
        <v>1249.8199999999997</v>
      </c>
    </row>
    <row r="1037" spans="1:12" x14ac:dyDescent="0.3">
      <c r="A1037">
        <v>2479</v>
      </c>
      <c r="B1037" s="2">
        <v>45732</v>
      </c>
      <c r="C1037" t="s">
        <v>23</v>
      </c>
      <c r="D1037" t="s">
        <v>17</v>
      </c>
      <c r="E1037" t="s">
        <v>18</v>
      </c>
      <c r="F1037" t="s">
        <v>22</v>
      </c>
      <c r="G1037">
        <v>36</v>
      </c>
      <c r="H1037" s="3">
        <v>457.3</v>
      </c>
      <c r="I1037" s="3">
        <v>339.81</v>
      </c>
      <c r="J1037" s="3">
        <f t="shared" si="48"/>
        <v>16462.8</v>
      </c>
      <c r="K1037" s="3">
        <f t="shared" si="49"/>
        <v>12233.16</v>
      </c>
      <c r="L1037" s="3">
        <f t="shared" si="50"/>
        <v>4229.6399999999994</v>
      </c>
    </row>
    <row r="1038" spans="1:12" x14ac:dyDescent="0.3">
      <c r="A1038">
        <v>1789</v>
      </c>
      <c r="B1038" s="2">
        <v>45733</v>
      </c>
      <c r="C1038" t="s">
        <v>12</v>
      </c>
      <c r="D1038" t="s">
        <v>13</v>
      </c>
      <c r="E1038" t="s">
        <v>31</v>
      </c>
      <c r="F1038" t="s">
        <v>19</v>
      </c>
      <c r="G1038">
        <v>9</v>
      </c>
      <c r="H1038" s="3">
        <v>13.37</v>
      </c>
      <c r="I1038" s="3">
        <v>9.41</v>
      </c>
      <c r="J1038" s="3">
        <f t="shared" si="48"/>
        <v>120.33</v>
      </c>
      <c r="K1038" s="3">
        <f t="shared" si="49"/>
        <v>84.69</v>
      </c>
      <c r="L1038" s="3">
        <f t="shared" si="50"/>
        <v>35.64</v>
      </c>
    </row>
    <row r="1039" spans="1:12" x14ac:dyDescent="0.3">
      <c r="A1039">
        <v>1954</v>
      </c>
      <c r="B1039" s="2">
        <v>45733</v>
      </c>
      <c r="C1039" t="s">
        <v>32</v>
      </c>
      <c r="D1039" t="s">
        <v>13</v>
      </c>
      <c r="E1039" t="s">
        <v>45</v>
      </c>
      <c r="F1039" t="s">
        <v>39</v>
      </c>
      <c r="G1039">
        <v>25</v>
      </c>
      <c r="H1039" s="3">
        <v>58.03</v>
      </c>
      <c r="I1039" s="3">
        <v>42.06</v>
      </c>
      <c r="J1039" s="3">
        <f t="shared" si="48"/>
        <v>1450.75</v>
      </c>
      <c r="K1039" s="3">
        <f t="shared" si="49"/>
        <v>1051.5</v>
      </c>
      <c r="L1039" s="3">
        <f t="shared" si="50"/>
        <v>399.25</v>
      </c>
    </row>
    <row r="1040" spans="1:12" x14ac:dyDescent="0.3">
      <c r="A1040">
        <v>1989</v>
      </c>
      <c r="B1040" s="2">
        <v>45733</v>
      </c>
      <c r="C1040" t="s">
        <v>23</v>
      </c>
      <c r="D1040" t="s">
        <v>29</v>
      </c>
      <c r="E1040" t="s">
        <v>37</v>
      </c>
      <c r="F1040" t="s">
        <v>22</v>
      </c>
      <c r="G1040">
        <v>4</v>
      </c>
      <c r="H1040" s="3">
        <v>162.38999999999999</v>
      </c>
      <c r="I1040" s="3">
        <v>96.6</v>
      </c>
      <c r="J1040" s="3">
        <f t="shared" si="48"/>
        <v>649.55999999999995</v>
      </c>
      <c r="K1040" s="3">
        <f t="shared" si="49"/>
        <v>386.4</v>
      </c>
      <c r="L1040" s="3">
        <f t="shared" si="50"/>
        <v>263.15999999999997</v>
      </c>
    </row>
    <row r="1041" spans="1:12" x14ac:dyDescent="0.3">
      <c r="A1041">
        <v>2557</v>
      </c>
      <c r="B1041" s="2">
        <v>45733</v>
      </c>
      <c r="C1041" t="s">
        <v>23</v>
      </c>
      <c r="D1041" t="s">
        <v>29</v>
      </c>
      <c r="E1041" t="s">
        <v>37</v>
      </c>
      <c r="F1041" t="s">
        <v>22</v>
      </c>
      <c r="G1041">
        <v>12</v>
      </c>
      <c r="H1041" s="3">
        <v>420.73</v>
      </c>
      <c r="I1041" s="3">
        <v>221.27</v>
      </c>
      <c r="J1041" s="3">
        <f t="shared" si="48"/>
        <v>5048.76</v>
      </c>
      <c r="K1041" s="3">
        <f t="shared" si="49"/>
        <v>2655.2400000000002</v>
      </c>
      <c r="L1041" s="3">
        <f t="shared" si="50"/>
        <v>2393.52</v>
      </c>
    </row>
    <row r="1042" spans="1:12" x14ac:dyDescent="0.3">
      <c r="A1042">
        <v>1711</v>
      </c>
      <c r="B1042" s="2">
        <v>45734</v>
      </c>
      <c r="C1042" t="s">
        <v>12</v>
      </c>
      <c r="D1042" t="s">
        <v>29</v>
      </c>
      <c r="E1042" t="s">
        <v>43</v>
      </c>
      <c r="F1042" t="s">
        <v>15</v>
      </c>
      <c r="G1042">
        <v>29</v>
      </c>
      <c r="H1042" s="3">
        <v>215.09</v>
      </c>
      <c r="I1042" s="3">
        <v>159.11000000000001</v>
      </c>
      <c r="J1042" s="3">
        <f t="shared" si="48"/>
        <v>6237.61</v>
      </c>
      <c r="K1042" s="3">
        <f t="shared" si="49"/>
        <v>4614.1900000000005</v>
      </c>
      <c r="L1042" s="3">
        <f t="shared" si="50"/>
        <v>1623.4199999999992</v>
      </c>
    </row>
    <row r="1043" spans="1:12" x14ac:dyDescent="0.3">
      <c r="A1043">
        <v>1355</v>
      </c>
      <c r="B1043" s="2">
        <v>45735</v>
      </c>
      <c r="C1043" t="s">
        <v>16</v>
      </c>
      <c r="D1043" t="s">
        <v>20</v>
      </c>
      <c r="E1043" t="s">
        <v>34</v>
      </c>
      <c r="F1043" t="s">
        <v>19</v>
      </c>
      <c r="G1043">
        <v>9</v>
      </c>
      <c r="H1043" s="3">
        <v>110.12</v>
      </c>
      <c r="I1043" s="3">
        <v>79.319999999999993</v>
      </c>
      <c r="J1043" s="3">
        <f t="shared" si="48"/>
        <v>991.08</v>
      </c>
      <c r="K1043" s="3">
        <f t="shared" si="49"/>
        <v>713.87999999999988</v>
      </c>
      <c r="L1043" s="3">
        <f t="shared" si="50"/>
        <v>277.20000000000016</v>
      </c>
    </row>
    <row r="1044" spans="1:12" x14ac:dyDescent="0.3">
      <c r="A1044">
        <v>1650</v>
      </c>
      <c r="B1044" s="2">
        <v>45735</v>
      </c>
      <c r="C1044" t="s">
        <v>12</v>
      </c>
      <c r="D1044" t="s">
        <v>29</v>
      </c>
      <c r="E1044" t="s">
        <v>30</v>
      </c>
      <c r="F1044" t="s">
        <v>33</v>
      </c>
      <c r="G1044">
        <v>3</v>
      </c>
      <c r="H1044" s="3">
        <v>488.82</v>
      </c>
      <c r="I1044" s="3">
        <v>288.48</v>
      </c>
      <c r="J1044" s="3">
        <f t="shared" si="48"/>
        <v>1466.46</v>
      </c>
      <c r="K1044" s="3">
        <f t="shared" si="49"/>
        <v>865.44</v>
      </c>
      <c r="L1044" s="3">
        <f t="shared" si="50"/>
        <v>601.02</v>
      </c>
    </row>
    <row r="1045" spans="1:12" x14ac:dyDescent="0.3">
      <c r="A1045">
        <v>2255</v>
      </c>
      <c r="B1045" s="2">
        <v>45735</v>
      </c>
      <c r="C1045" t="s">
        <v>12</v>
      </c>
      <c r="D1045" t="s">
        <v>13</v>
      </c>
      <c r="E1045" t="s">
        <v>45</v>
      </c>
      <c r="F1045" t="s">
        <v>25</v>
      </c>
      <c r="G1045">
        <v>25</v>
      </c>
      <c r="H1045" s="3">
        <v>33.17</v>
      </c>
      <c r="I1045" s="3">
        <v>24.78</v>
      </c>
      <c r="J1045" s="3">
        <f t="shared" si="48"/>
        <v>829.25</v>
      </c>
      <c r="K1045" s="3">
        <f t="shared" si="49"/>
        <v>619.5</v>
      </c>
      <c r="L1045" s="3">
        <f t="shared" si="50"/>
        <v>209.75</v>
      </c>
    </row>
    <row r="1046" spans="1:12" x14ac:dyDescent="0.3">
      <c r="A1046">
        <v>1214</v>
      </c>
      <c r="B1046" s="2">
        <v>45736</v>
      </c>
      <c r="C1046" t="s">
        <v>32</v>
      </c>
      <c r="D1046" t="s">
        <v>17</v>
      </c>
      <c r="E1046" t="s">
        <v>35</v>
      </c>
      <c r="F1046" t="s">
        <v>22</v>
      </c>
      <c r="G1046">
        <v>15</v>
      </c>
      <c r="H1046" s="3">
        <v>237.59</v>
      </c>
      <c r="I1046" s="3">
        <v>121.56</v>
      </c>
      <c r="J1046" s="3">
        <f t="shared" si="48"/>
        <v>3563.85</v>
      </c>
      <c r="K1046" s="3">
        <f t="shared" si="49"/>
        <v>1823.4</v>
      </c>
      <c r="L1046" s="3">
        <f t="shared" si="50"/>
        <v>1740.4499999999998</v>
      </c>
    </row>
    <row r="1047" spans="1:12" x14ac:dyDescent="0.3">
      <c r="A1047">
        <v>1265</v>
      </c>
      <c r="B1047" s="2">
        <v>45736</v>
      </c>
      <c r="C1047" t="s">
        <v>26</v>
      </c>
      <c r="D1047" t="s">
        <v>20</v>
      </c>
      <c r="E1047" t="s">
        <v>42</v>
      </c>
      <c r="F1047" t="s">
        <v>15</v>
      </c>
      <c r="G1047">
        <v>12</v>
      </c>
      <c r="H1047" s="3">
        <v>65.87</v>
      </c>
      <c r="I1047" s="3">
        <v>48.63</v>
      </c>
      <c r="J1047" s="3">
        <f t="shared" si="48"/>
        <v>790.44</v>
      </c>
      <c r="K1047" s="3">
        <f t="shared" si="49"/>
        <v>583.56000000000006</v>
      </c>
      <c r="L1047" s="3">
        <f t="shared" si="50"/>
        <v>206.88</v>
      </c>
    </row>
    <row r="1048" spans="1:12" x14ac:dyDescent="0.3">
      <c r="A1048">
        <v>1862</v>
      </c>
      <c r="B1048" s="2">
        <v>45736</v>
      </c>
      <c r="C1048" t="s">
        <v>32</v>
      </c>
      <c r="D1048" t="s">
        <v>13</v>
      </c>
      <c r="E1048" t="s">
        <v>14</v>
      </c>
      <c r="F1048" t="s">
        <v>25</v>
      </c>
      <c r="G1048">
        <v>32</v>
      </c>
      <c r="H1048" s="3">
        <v>13.55</v>
      </c>
      <c r="I1048" s="3">
        <v>8.44</v>
      </c>
      <c r="J1048" s="3">
        <f t="shared" si="48"/>
        <v>433.6</v>
      </c>
      <c r="K1048" s="3">
        <f t="shared" si="49"/>
        <v>270.08</v>
      </c>
      <c r="L1048" s="3">
        <f t="shared" si="50"/>
        <v>163.52000000000004</v>
      </c>
    </row>
    <row r="1049" spans="1:12" x14ac:dyDescent="0.3">
      <c r="A1049">
        <v>2184</v>
      </c>
      <c r="B1049" s="2">
        <v>45736</v>
      </c>
      <c r="C1049" t="s">
        <v>32</v>
      </c>
      <c r="D1049" t="s">
        <v>17</v>
      </c>
      <c r="E1049" t="s">
        <v>18</v>
      </c>
      <c r="F1049" t="s">
        <v>36</v>
      </c>
      <c r="G1049">
        <v>39</v>
      </c>
      <c r="H1049" s="3">
        <v>495.93</v>
      </c>
      <c r="I1049" s="3">
        <v>321.16000000000003</v>
      </c>
      <c r="J1049" s="3">
        <f t="shared" si="48"/>
        <v>19341.27</v>
      </c>
      <c r="K1049" s="3">
        <f t="shared" si="49"/>
        <v>12525.240000000002</v>
      </c>
      <c r="L1049" s="3">
        <f t="shared" si="50"/>
        <v>6816.0299999999988</v>
      </c>
    </row>
    <row r="1050" spans="1:12" x14ac:dyDescent="0.3">
      <c r="A1050">
        <v>1371</v>
      </c>
      <c r="B1050" s="2">
        <v>45737</v>
      </c>
      <c r="C1050" t="s">
        <v>26</v>
      </c>
      <c r="D1050" t="s">
        <v>13</v>
      </c>
      <c r="E1050" t="s">
        <v>45</v>
      </c>
      <c r="F1050" t="s">
        <v>28</v>
      </c>
      <c r="G1050">
        <v>22</v>
      </c>
      <c r="H1050" s="3">
        <v>7.18</v>
      </c>
      <c r="I1050" s="3">
        <v>3.72</v>
      </c>
      <c r="J1050" s="3">
        <f t="shared" si="48"/>
        <v>157.95999999999998</v>
      </c>
      <c r="K1050" s="3">
        <f t="shared" si="49"/>
        <v>81.84</v>
      </c>
      <c r="L1050" s="3">
        <f t="shared" si="50"/>
        <v>76.119999999999976</v>
      </c>
    </row>
    <row r="1051" spans="1:12" x14ac:dyDescent="0.3">
      <c r="A1051">
        <v>1058</v>
      </c>
      <c r="B1051" s="2">
        <v>45738</v>
      </c>
      <c r="C1051" t="s">
        <v>16</v>
      </c>
      <c r="D1051" t="s">
        <v>29</v>
      </c>
      <c r="E1051" t="s">
        <v>43</v>
      </c>
      <c r="F1051" t="s">
        <v>39</v>
      </c>
      <c r="G1051">
        <v>6</v>
      </c>
      <c r="H1051" s="3">
        <v>395.2</v>
      </c>
      <c r="I1051" s="3">
        <v>263.62</v>
      </c>
      <c r="J1051" s="3">
        <f t="shared" si="48"/>
        <v>2371.1999999999998</v>
      </c>
      <c r="K1051" s="3">
        <f t="shared" si="49"/>
        <v>1581.72</v>
      </c>
      <c r="L1051" s="3">
        <f t="shared" si="50"/>
        <v>789.47999999999979</v>
      </c>
    </row>
    <row r="1052" spans="1:12" x14ac:dyDescent="0.3">
      <c r="A1052">
        <v>1374</v>
      </c>
      <c r="B1052" s="2">
        <v>45740</v>
      </c>
      <c r="C1052" t="s">
        <v>23</v>
      </c>
      <c r="D1052" t="s">
        <v>20</v>
      </c>
      <c r="E1052" t="s">
        <v>42</v>
      </c>
      <c r="F1052" t="s">
        <v>28</v>
      </c>
      <c r="G1052">
        <v>11</v>
      </c>
      <c r="H1052" s="3">
        <v>243.3</v>
      </c>
      <c r="I1052" s="3">
        <v>154.84</v>
      </c>
      <c r="J1052" s="3">
        <f t="shared" si="48"/>
        <v>2676.3</v>
      </c>
      <c r="K1052" s="3">
        <f t="shared" si="49"/>
        <v>1703.24</v>
      </c>
      <c r="L1052" s="3">
        <f t="shared" si="50"/>
        <v>973.06000000000017</v>
      </c>
    </row>
    <row r="1053" spans="1:12" x14ac:dyDescent="0.3">
      <c r="A1053">
        <v>1679</v>
      </c>
      <c r="B1053" s="2">
        <v>45740</v>
      </c>
      <c r="C1053" t="s">
        <v>23</v>
      </c>
      <c r="D1053" t="s">
        <v>17</v>
      </c>
      <c r="E1053" t="s">
        <v>27</v>
      </c>
      <c r="F1053" t="s">
        <v>25</v>
      </c>
      <c r="G1053">
        <v>36</v>
      </c>
      <c r="H1053" s="3">
        <v>95.25</v>
      </c>
      <c r="I1053" s="3">
        <v>69.319999999999993</v>
      </c>
      <c r="J1053" s="3">
        <f t="shared" si="48"/>
        <v>3429</v>
      </c>
      <c r="K1053" s="3">
        <f t="shared" si="49"/>
        <v>2495.5199999999995</v>
      </c>
      <c r="L1053" s="3">
        <f t="shared" si="50"/>
        <v>933.48000000000047</v>
      </c>
    </row>
    <row r="1054" spans="1:12" x14ac:dyDescent="0.3">
      <c r="A1054">
        <v>1980</v>
      </c>
      <c r="B1054" s="2">
        <v>45740</v>
      </c>
      <c r="C1054" t="s">
        <v>32</v>
      </c>
      <c r="D1054" t="s">
        <v>13</v>
      </c>
      <c r="E1054" t="s">
        <v>24</v>
      </c>
      <c r="F1054" t="s">
        <v>19</v>
      </c>
      <c r="G1054">
        <v>28</v>
      </c>
      <c r="H1054" s="3">
        <v>49.09</v>
      </c>
      <c r="I1054" s="3">
        <v>32.270000000000003</v>
      </c>
      <c r="J1054" s="3">
        <f t="shared" si="48"/>
        <v>1374.52</v>
      </c>
      <c r="K1054" s="3">
        <f t="shared" si="49"/>
        <v>903.56000000000006</v>
      </c>
      <c r="L1054" s="3">
        <f t="shared" si="50"/>
        <v>470.95999999999992</v>
      </c>
    </row>
    <row r="1055" spans="1:12" x14ac:dyDescent="0.3">
      <c r="A1055">
        <v>2050</v>
      </c>
      <c r="B1055" s="2">
        <v>45740</v>
      </c>
      <c r="C1055" t="s">
        <v>26</v>
      </c>
      <c r="D1055" t="s">
        <v>17</v>
      </c>
      <c r="E1055" t="s">
        <v>18</v>
      </c>
      <c r="F1055" t="s">
        <v>28</v>
      </c>
      <c r="G1055">
        <v>11</v>
      </c>
      <c r="H1055" s="3">
        <v>585.98</v>
      </c>
      <c r="I1055" s="3">
        <v>354.25</v>
      </c>
      <c r="J1055" s="3">
        <f t="shared" si="48"/>
        <v>6445.7800000000007</v>
      </c>
      <c r="K1055" s="3">
        <f t="shared" si="49"/>
        <v>3896.75</v>
      </c>
      <c r="L1055" s="3">
        <f t="shared" si="50"/>
        <v>2549.0300000000007</v>
      </c>
    </row>
    <row r="1056" spans="1:12" x14ac:dyDescent="0.3">
      <c r="A1056">
        <v>2143</v>
      </c>
      <c r="B1056" s="2">
        <v>45740</v>
      </c>
      <c r="C1056" t="s">
        <v>12</v>
      </c>
      <c r="D1056" t="s">
        <v>29</v>
      </c>
      <c r="E1056" t="s">
        <v>43</v>
      </c>
      <c r="F1056" t="s">
        <v>15</v>
      </c>
      <c r="G1056">
        <v>2</v>
      </c>
      <c r="H1056" s="3">
        <v>445.7</v>
      </c>
      <c r="I1056" s="3">
        <v>305.2</v>
      </c>
      <c r="J1056" s="3">
        <f t="shared" si="48"/>
        <v>891.4</v>
      </c>
      <c r="K1056" s="3">
        <f t="shared" si="49"/>
        <v>610.4</v>
      </c>
      <c r="L1056" s="3">
        <f t="shared" si="50"/>
        <v>281</v>
      </c>
    </row>
    <row r="1057" spans="1:12" x14ac:dyDescent="0.3">
      <c r="A1057">
        <v>2501</v>
      </c>
      <c r="B1057" s="2">
        <v>45740</v>
      </c>
      <c r="C1057" t="s">
        <v>12</v>
      </c>
      <c r="D1057" t="s">
        <v>20</v>
      </c>
      <c r="E1057" t="s">
        <v>34</v>
      </c>
      <c r="F1057" t="s">
        <v>39</v>
      </c>
      <c r="G1057">
        <v>8</v>
      </c>
      <c r="H1057" s="3">
        <v>109.16</v>
      </c>
      <c r="I1057" s="3">
        <v>55.38</v>
      </c>
      <c r="J1057" s="3">
        <f t="shared" si="48"/>
        <v>873.28</v>
      </c>
      <c r="K1057" s="3">
        <f t="shared" si="49"/>
        <v>443.04</v>
      </c>
      <c r="L1057" s="3">
        <f t="shared" si="50"/>
        <v>430.23999999999995</v>
      </c>
    </row>
    <row r="1058" spans="1:12" x14ac:dyDescent="0.3">
      <c r="A1058">
        <v>2642</v>
      </c>
      <c r="B1058" s="2">
        <v>45740</v>
      </c>
      <c r="C1058" t="s">
        <v>26</v>
      </c>
      <c r="D1058" t="s">
        <v>29</v>
      </c>
      <c r="E1058" t="s">
        <v>30</v>
      </c>
      <c r="F1058" t="s">
        <v>22</v>
      </c>
      <c r="G1058">
        <v>28</v>
      </c>
      <c r="H1058" s="3">
        <v>243.77</v>
      </c>
      <c r="I1058" s="3">
        <v>126.38</v>
      </c>
      <c r="J1058" s="3">
        <f t="shared" si="48"/>
        <v>6825.56</v>
      </c>
      <c r="K1058" s="3">
        <f t="shared" si="49"/>
        <v>3538.64</v>
      </c>
      <c r="L1058" s="3">
        <f t="shared" si="50"/>
        <v>3286.9200000000005</v>
      </c>
    </row>
    <row r="1059" spans="1:12" x14ac:dyDescent="0.3">
      <c r="A1059">
        <v>1072</v>
      </c>
      <c r="B1059" s="2">
        <v>45741</v>
      </c>
      <c r="C1059" t="s">
        <v>26</v>
      </c>
      <c r="D1059" t="s">
        <v>20</v>
      </c>
      <c r="E1059" t="s">
        <v>38</v>
      </c>
      <c r="F1059" t="s">
        <v>36</v>
      </c>
      <c r="G1059">
        <v>18</v>
      </c>
      <c r="H1059" s="3">
        <v>31.16</v>
      </c>
      <c r="I1059" s="3">
        <v>18.95</v>
      </c>
      <c r="J1059" s="3">
        <f t="shared" si="48"/>
        <v>560.88</v>
      </c>
      <c r="K1059" s="3">
        <f t="shared" si="49"/>
        <v>341.09999999999997</v>
      </c>
      <c r="L1059" s="3">
        <f t="shared" si="50"/>
        <v>219.78000000000003</v>
      </c>
    </row>
    <row r="1060" spans="1:12" x14ac:dyDescent="0.3">
      <c r="A1060">
        <v>2196</v>
      </c>
      <c r="B1060" s="2">
        <v>45741</v>
      </c>
      <c r="C1060" t="s">
        <v>23</v>
      </c>
      <c r="D1060" t="s">
        <v>13</v>
      </c>
      <c r="E1060" t="s">
        <v>14</v>
      </c>
      <c r="F1060" t="s">
        <v>19</v>
      </c>
      <c r="G1060">
        <v>34</v>
      </c>
      <c r="H1060" s="3">
        <v>38.75</v>
      </c>
      <c r="I1060" s="3">
        <v>26.61</v>
      </c>
      <c r="J1060" s="3">
        <f t="shared" si="48"/>
        <v>1317.5</v>
      </c>
      <c r="K1060" s="3">
        <f t="shared" si="49"/>
        <v>904.74</v>
      </c>
      <c r="L1060" s="3">
        <f t="shared" si="50"/>
        <v>412.76</v>
      </c>
    </row>
    <row r="1061" spans="1:12" x14ac:dyDescent="0.3">
      <c r="A1061">
        <v>2730</v>
      </c>
      <c r="B1061" s="2">
        <v>45741</v>
      </c>
      <c r="C1061" t="s">
        <v>16</v>
      </c>
      <c r="D1061" t="s">
        <v>17</v>
      </c>
      <c r="E1061" t="s">
        <v>27</v>
      </c>
      <c r="F1061" t="s">
        <v>33</v>
      </c>
      <c r="G1061">
        <v>21</v>
      </c>
      <c r="H1061" s="3">
        <v>605.22</v>
      </c>
      <c r="I1061" s="3">
        <v>325.61</v>
      </c>
      <c r="J1061" s="3">
        <f t="shared" si="48"/>
        <v>12709.62</v>
      </c>
      <c r="K1061" s="3">
        <f t="shared" si="49"/>
        <v>6837.81</v>
      </c>
      <c r="L1061" s="3">
        <f t="shared" si="50"/>
        <v>5871.81</v>
      </c>
    </row>
    <row r="1062" spans="1:12" x14ac:dyDescent="0.3">
      <c r="A1062">
        <v>2704</v>
      </c>
      <c r="B1062" s="2">
        <v>45742</v>
      </c>
      <c r="C1062" t="s">
        <v>23</v>
      </c>
      <c r="D1062" t="s">
        <v>20</v>
      </c>
      <c r="E1062" t="s">
        <v>38</v>
      </c>
      <c r="F1062" t="s">
        <v>36</v>
      </c>
      <c r="G1062">
        <v>38</v>
      </c>
      <c r="H1062" s="3">
        <v>39.89</v>
      </c>
      <c r="I1062" s="3">
        <v>20.170000000000002</v>
      </c>
      <c r="J1062" s="3">
        <f t="shared" si="48"/>
        <v>1515.82</v>
      </c>
      <c r="K1062" s="3">
        <f t="shared" si="49"/>
        <v>766.46</v>
      </c>
      <c r="L1062" s="3">
        <f t="shared" si="50"/>
        <v>749.3599999999999</v>
      </c>
    </row>
    <row r="1063" spans="1:12" x14ac:dyDescent="0.3">
      <c r="A1063">
        <v>1466</v>
      </c>
      <c r="B1063" s="2">
        <v>45743</v>
      </c>
      <c r="C1063" t="s">
        <v>26</v>
      </c>
      <c r="D1063" t="s">
        <v>13</v>
      </c>
      <c r="E1063" t="s">
        <v>24</v>
      </c>
      <c r="F1063" t="s">
        <v>33</v>
      </c>
      <c r="G1063">
        <v>10</v>
      </c>
      <c r="H1063" s="3">
        <v>51.61</v>
      </c>
      <c r="I1063" s="3">
        <v>38.049999999999997</v>
      </c>
      <c r="J1063" s="3">
        <f t="shared" si="48"/>
        <v>516.1</v>
      </c>
      <c r="K1063" s="3">
        <f t="shared" si="49"/>
        <v>380.5</v>
      </c>
      <c r="L1063" s="3">
        <f t="shared" si="50"/>
        <v>135.60000000000002</v>
      </c>
    </row>
    <row r="1064" spans="1:12" x14ac:dyDescent="0.3">
      <c r="A1064">
        <v>1541</v>
      </c>
      <c r="B1064" s="2">
        <v>45743</v>
      </c>
      <c r="C1064" t="s">
        <v>26</v>
      </c>
      <c r="D1064" t="s">
        <v>20</v>
      </c>
      <c r="E1064" t="s">
        <v>34</v>
      </c>
      <c r="F1064" t="s">
        <v>36</v>
      </c>
      <c r="G1064">
        <v>12</v>
      </c>
      <c r="H1064" s="3">
        <v>140.75</v>
      </c>
      <c r="I1064" s="3">
        <v>91.98</v>
      </c>
      <c r="J1064" s="3">
        <f t="shared" si="48"/>
        <v>1689</v>
      </c>
      <c r="K1064" s="3">
        <f t="shared" si="49"/>
        <v>1103.76</v>
      </c>
      <c r="L1064" s="3">
        <f t="shared" si="50"/>
        <v>585.24</v>
      </c>
    </row>
    <row r="1065" spans="1:12" x14ac:dyDescent="0.3">
      <c r="A1065">
        <v>2661</v>
      </c>
      <c r="B1065" s="2">
        <v>45743</v>
      </c>
      <c r="C1065" t="s">
        <v>26</v>
      </c>
      <c r="D1065" t="s">
        <v>13</v>
      </c>
      <c r="E1065" t="s">
        <v>24</v>
      </c>
      <c r="F1065" t="s">
        <v>22</v>
      </c>
      <c r="G1065">
        <v>3</v>
      </c>
      <c r="H1065" s="3">
        <v>49.15</v>
      </c>
      <c r="I1065" s="3">
        <v>24.63</v>
      </c>
      <c r="J1065" s="3">
        <f t="shared" si="48"/>
        <v>147.44999999999999</v>
      </c>
      <c r="K1065" s="3">
        <f t="shared" si="49"/>
        <v>73.89</v>
      </c>
      <c r="L1065" s="3">
        <f t="shared" si="50"/>
        <v>73.559999999999988</v>
      </c>
    </row>
    <row r="1066" spans="1:12" x14ac:dyDescent="0.3">
      <c r="A1066">
        <v>1041</v>
      </c>
      <c r="B1066" s="2">
        <v>45744</v>
      </c>
      <c r="C1066" t="s">
        <v>12</v>
      </c>
      <c r="D1066" t="s">
        <v>20</v>
      </c>
      <c r="E1066" t="s">
        <v>34</v>
      </c>
      <c r="F1066" t="s">
        <v>25</v>
      </c>
      <c r="G1066">
        <v>19</v>
      </c>
      <c r="H1066" s="3">
        <v>249.16</v>
      </c>
      <c r="I1066" s="3">
        <v>171.37</v>
      </c>
      <c r="J1066" s="3">
        <f t="shared" si="48"/>
        <v>4734.04</v>
      </c>
      <c r="K1066" s="3">
        <f t="shared" si="49"/>
        <v>3256.03</v>
      </c>
      <c r="L1066" s="3">
        <f t="shared" si="50"/>
        <v>1478.0099999999998</v>
      </c>
    </row>
    <row r="1067" spans="1:12" x14ac:dyDescent="0.3">
      <c r="A1067">
        <v>1861</v>
      </c>
      <c r="B1067" s="2">
        <v>45744</v>
      </c>
      <c r="C1067" t="s">
        <v>12</v>
      </c>
      <c r="D1067" t="s">
        <v>29</v>
      </c>
      <c r="E1067" t="s">
        <v>43</v>
      </c>
      <c r="F1067" t="s">
        <v>39</v>
      </c>
      <c r="G1067">
        <v>38</v>
      </c>
      <c r="H1067" s="3">
        <v>246.09</v>
      </c>
      <c r="I1067" s="3">
        <v>167.94</v>
      </c>
      <c r="J1067" s="3">
        <f t="shared" si="48"/>
        <v>9351.42</v>
      </c>
      <c r="K1067" s="3">
        <f t="shared" si="49"/>
        <v>6381.72</v>
      </c>
      <c r="L1067" s="3">
        <f t="shared" si="50"/>
        <v>2969.7</v>
      </c>
    </row>
    <row r="1068" spans="1:12" x14ac:dyDescent="0.3">
      <c r="A1068">
        <v>2238</v>
      </c>
      <c r="B1068" s="2">
        <v>45745</v>
      </c>
      <c r="C1068" t="s">
        <v>26</v>
      </c>
      <c r="D1068" t="s">
        <v>13</v>
      </c>
      <c r="E1068" t="s">
        <v>14</v>
      </c>
      <c r="F1068" t="s">
        <v>19</v>
      </c>
      <c r="G1068">
        <v>18</v>
      </c>
      <c r="H1068" s="3">
        <v>41.8</v>
      </c>
      <c r="I1068" s="3">
        <v>26.91</v>
      </c>
      <c r="J1068" s="3">
        <f t="shared" si="48"/>
        <v>752.4</v>
      </c>
      <c r="K1068" s="3">
        <f t="shared" si="49"/>
        <v>484.38</v>
      </c>
      <c r="L1068" s="3">
        <f t="shared" si="50"/>
        <v>268.02</v>
      </c>
    </row>
    <row r="1069" spans="1:12" x14ac:dyDescent="0.3">
      <c r="A1069">
        <v>1107</v>
      </c>
      <c r="B1069" s="2">
        <v>45746</v>
      </c>
      <c r="C1069" t="s">
        <v>26</v>
      </c>
      <c r="D1069" t="s">
        <v>17</v>
      </c>
      <c r="E1069" t="s">
        <v>40</v>
      </c>
      <c r="F1069" t="s">
        <v>19</v>
      </c>
      <c r="G1069">
        <v>5</v>
      </c>
      <c r="H1069" s="3">
        <v>166</v>
      </c>
      <c r="I1069" s="3">
        <v>98.81</v>
      </c>
      <c r="J1069" s="3">
        <f t="shared" si="48"/>
        <v>830</v>
      </c>
      <c r="K1069" s="3">
        <f t="shared" si="49"/>
        <v>494.05</v>
      </c>
      <c r="L1069" s="3">
        <f t="shared" si="50"/>
        <v>335.95</v>
      </c>
    </row>
    <row r="1070" spans="1:12" x14ac:dyDescent="0.3">
      <c r="A1070">
        <v>1504</v>
      </c>
      <c r="B1070" s="2">
        <v>45746</v>
      </c>
      <c r="C1070" t="s">
        <v>16</v>
      </c>
      <c r="D1070" t="s">
        <v>17</v>
      </c>
      <c r="E1070" t="s">
        <v>18</v>
      </c>
      <c r="F1070" t="s">
        <v>19</v>
      </c>
      <c r="G1070">
        <v>13</v>
      </c>
      <c r="H1070" s="3">
        <v>345.7</v>
      </c>
      <c r="I1070" s="3">
        <v>201.14</v>
      </c>
      <c r="J1070" s="3">
        <f t="shared" si="48"/>
        <v>4494.0999999999995</v>
      </c>
      <c r="K1070" s="3">
        <f t="shared" si="49"/>
        <v>2614.8199999999997</v>
      </c>
      <c r="L1070" s="3">
        <f t="shared" si="50"/>
        <v>1879.2799999999997</v>
      </c>
    </row>
    <row r="1071" spans="1:12" x14ac:dyDescent="0.3">
      <c r="A1071">
        <v>1774</v>
      </c>
      <c r="B1071" s="2">
        <v>45746</v>
      </c>
      <c r="C1071" t="s">
        <v>32</v>
      </c>
      <c r="D1071" t="s">
        <v>13</v>
      </c>
      <c r="E1071" t="s">
        <v>31</v>
      </c>
      <c r="F1071" t="s">
        <v>33</v>
      </c>
      <c r="G1071">
        <v>3</v>
      </c>
      <c r="H1071" s="3">
        <v>58.72</v>
      </c>
      <c r="I1071" s="3">
        <v>29.71</v>
      </c>
      <c r="J1071" s="3">
        <f t="shared" si="48"/>
        <v>176.16</v>
      </c>
      <c r="K1071" s="3">
        <f t="shared" si="49"/>
        <v>89.13</v>
      </c>
      <c r="L1071" s="3">
        <f t="shared" si="50"/>
        <v>87.03</v>
      </c>
    </row>
    <row r="1072" spans="1:12" x14ac:dyDescent="0.3">
      <c r="A1072">
        <v>2313</v>
      </c>
      <c r="B1072" s="2">
        <v>45747</v>
      </c>
      <c r="C1072" t="s">
        <v>26</v>
      </c>
      <c r="D1072" t="s">
        <v>13</v>
      </c>
      <c r="E1072" t="s">
        <v>14</v>
      </c>
      <c r="F1072" t="s">
        <v>15</v>
      </c>
      <c r="G1072">
        <v>37</v>
      </c>
      <c r="H1072" s="3">
        <v>55.72</v>
      </c>
      <c r="I1072" s="3">
        <v>36.020000000000003</v>
      </c>
      <c r="J1072" s="3">
        <f t="shared" si="48"/>
        <v>2061.64</v>
      </c>
      <c r="K1072" s="3">
        <f t="shared" si="49"/>
        <v>1332.74</v>
      </c>
      <c r="L1072" s="3">
        <f t="shared" si="50"/>
        <v>728.89999999999986</v>
      </c>
    </row>
    <row r="1073" spans="1:12" x14ac:dyDescent="0.3">
      <c r="A1073">
        <v>2436</v>
      </c>
      <c r="B1073" s="2">
        <v>45747</v>
      </c>
      <c r="C1073" t="s">
        <v>32</v>
      </c>
      <c r="D1073" t="s">
        <v>29</v>
      </c>
      <c r="E1073" t="s">
        <v>43</v>
      </c>
      <c r="F1073" t="s">
        <v>39</v>
      </c>
      <c r="G1073">
        <v>2</v>
      </c>
      <c r="H1073" s="3">
        <v>404.47</v>
      </c>
      <c r="I1073" s="3">
        <v>211.44</v>
      </c>
      <c r="J1073" s="3">
        <f t="shared" si="48"/>
        <v>808.94</v>
      </c>
      <c r="K1073" s="3">
        <f t="shared" si="49"/>
        <v>422.88</v>
      </c>
      <c r="L1073" s="3">
        <f t="shared" si="50"/>
        <v>386.06000000000006</v>
      </c>
    </row>
    <row r="1074" spans="1:12" x14ac:dyDescent="0.3">
      <c r="A1074">
        <v>1799</v>
      </c>
      <c r="B1074" s="2">
        <v>45748</v>
      </c>
      <c r="C1074" t="s">
        <v>26</v>
      </c>
      <c r="D1074" t="s">
        <v>20</v>
      </c>
      <c r="E1074" t="s">
        <v>34</v>
      </c>
      <c r="F1074" t="s">
        <v>39</v>
      </c>
      <c r="G1074">
        <v>14</v>
      </c>
      <c r="H1074" s="3">
        <v>49.53</v>
      </c>
      <c r="I1074" s="3">
        <v>37.07</v>
      </c>
      <c r="J1074" s="3">
        <f t="shared" si="48"/>
        <v>693.42000000000007</v>
      </c>
      <c r="K1074" s="3">
        <f t="shared" si="49"/>
        <v>518.98</v>
      </c>
      <c r="L1074" s="3">
        <f t="shared" si="50"/>
        <v>174.44000000000005</v>
      </c>
    </row>
    <row r="1075" spans="1:12" x14ac:dyDescent="0.3">
      <c r="A1075">
        <v>2094</v>
      </c>
      <c r="B1075" s="2">
        <v>45749</v>
      </c>
      <c r="C1075" t="s">
        <v>32</v>
      </c>
      <c r="D1075" t="s">
        <v>29</v>
      </c>
      <c r="E1075" t="s">
        <v>30</v>
      </c>
      <c r="F1075" t="s">
        <v>25</v>
      </c>
      <c r="G1075">
        <v>23</v>
      </c>
      <c r="H1075" s="3">
        <v>246.41</v>
      </c>
      <c r="I1075" s="3">
        <v>156.16</v>
      </c>
      <c r="J1075" s="3">
        <f t="shared" si="48"/>
        <v>5667.43</v>
      </c>
      <c r="K1075" s="3">
        <f t="shared" si="49"/>
        <v>3591.68</v>
      </c>
      <c r="L1075" s="3">
        <f t="shared" si="50"/>
        <v>2075.7500000000005</v>
      </c>
    </row>
    <row r="1076" spans="1:12" x14ac:dyDescent="0.3">
      <c r="A1076">
        <v>2644</v>
      </c>
      <c r="B1076" s="2">
        <v>45749</v>
      </c>
      <c r="C1076" t="s">
        <v>16</v>
      </c>
      <c r="D1076" t="s">
        <v>29</v>
      </c>
      <c r="E1076" t="s">
        <v>30</v>
      </c>
      <c r="F1076" t="s">
        <v>36</v>
      </c>
      <c r="G1076">
        <v>40</v>
      </c>
      <c r="H1076" s="3">
        <v>192.92</v>
      </c>
      <c r="I1076" s="3">
        <v>98.48</v>
      </c>
      <c r="J1076" s="3">
        <f t="shared" si="48"/>
        <v>7716.7999999999993</v>
      </c>
      <c r="K1076" s="3">
        <f t="shared" si="49"/>
        <v>3939.2000000000003</v>
      </c>
      <c r="L1076" s="3">
        <f t="shared" si="50"/>
        <v>3777.599999999999</v>
      </c>
    </row>
    <row r="1077" spans="1:12" x14ac:dyDescent="0.3">
      <c r="A1077">
        <v>1349</v>
      </c>
      <c r="B1077" s="2">
        <v>45750</v>
      </c>
      <c r="C1077" t="s">
        <v>26</v>
      </c>
      <c r="D1077" t="s">
        <v>20</v>
      </c>
      <c r="E1077" t="s">
        <v>21</v>
      </c>
      <c r="F1077" t="s">
        <v>33</v>
      </c>
      <c r="G1077">
        <v>8</v>
      </c>
      <c r="H1077" s="3">
        <v>132.96</v>
      </c>
      <c r="I1077" s="3">
        <v>67.67</v>
      </c>
      <c r="J1077" s="3">
        <f t="shared" si="48"/>
        <v>1063.68</v>
      </c>
      <c r="K1077" s="3">
        <f t="shared" si="49"/>
        <v>541.36</v>
      </c>
      <c r="L1077" s="3">
        <f t="shared" si="50"/>
        <v>522.32000000000005</v>
      </c>
    </row>
    <row r="1078" spans="1:12" x14ac:dyDescent="0.3">
      <c r="A1078">
        <v>2245</v>
      </c>
      <c r="B1078" s="2">
        <v>45750</v>
      </c>
      <c r="C1078" t="s">
        <v>26</v>
      </c>
      <c r="D1078" t="s">
        <v>20</v>
      </c>
      <c r="E1078" t="s">
        <v>38</v>
      </c>
      <c r="F1078" t="s">
        <v>33</v>
      </c>
      <c r="G1078">
        <v>6</v>
      </c>
      <c r="H1078" s="3">
        <v>104.03</v>
      </c>
      <c r="I1078" s="3">
        <v>62.25</v>
      </c>
      <c r="J1078" s="3">
        <f t="shared" si="48"/>
        <v>624.18000000000006</v>
      </c>
      <c r="K1078" s="3">
        <f t="shared" si="49"/>
        <v>373.5</v>
      </c>
      <c r="L1078" s="3">
        <f t="shared" si="50"/>
        <v>250.68000000000006</v>
      </c>
    </row>
    <row r="1079" spans="1:12" x14ac:dyDescent="0.3">
      <c r="A1079">
        <v>1003</v>
      </c>
      <c r="B1079" s="2">
        <v>45751</v>
      </c>
      <c r="C1079" t="s">
        <v>16</v>
      </c>
      <c r="D1079" t="s">
        <v>29</v>
      </c>
      <c r="E1079" t="s">
        <v>30</v>
      </c>
      <c r="F1079" t="s">
        <v>19</v>
      </c>
      <c r="G1079">
        <v>28</v>
      </c>
      <c r="H1079" s="3">
        <v>482.03</v>
      </c>
      <c r="I1079" s="3">
        <v>252.19</v>
      </c>
      <c r="J1079" s="3">
        <f t="shared" si="48"/>
        <v>13496.84</v>
      </c>
      <c r="K1079" s="3">
        <f t="shared" si="49"/>
        <v>7061.32</v>
      </c>
      <c r="L1079" s="3">
        <f t="shared" si="50"/>
        <v>6435.52</v>
      </c>
    </row>
    <row r="1080" spans="1:12" x14ac:dyDescent="0.3">
      <c r="A1080">
        <v>2380</v>
      </c>
      <c r="B1080" s="2">
        <v>45751</v>
      </c>
      <c r="C1080" t="s">
        <v>12</v>
      </c>
      <c r="D1080" t="s">
        <v>13</v>
      </c>
      <c r="E1080" t="s">
        <v>45</v>
      </c>
      <c r="F1080" t="s">
        <v>15</v>
      </c>
      <c r="G1080">
        <v>22</v>
      </c>
      <c r="H1080" s="3">
        <v>36.020000000000003</v>
      </c>
      <c r="I1080" s="3">
        <v>19.11</v>
      </c>
      <c r="J1080" s="3">
        <f t="shared" si="48"/>
        <v>792.44</v>
      </c>
      <c r="K1080" s="3">
        <f t="shared" si="49"/>
        <v>420.41999999999996</v>
      </c>
      <c r="L1080" s="3">
        <f t="shared" si="50"/>
        <v>372.0200000000001</v>
      </c>
    </row>
    <row r="1081" spans="1:12" x14ac:dyDescent="0.3">
      <c r="A1081">
        <v>1955</v>
      </c>
      <c r="B1081" s="2">
        <v>45752</v>
      </c>
      <c r="C1081" t="s">
        <v>16</v>
      </c>
      <c r="D1081" t="s">
        <v>13</v>
      </c>
      <c r="E1081" t="s">
        <v>31</v>
      </c>
      <c r="F1081" t="s">
        <v>33</v>
      </c>
      <c r="G1081">
        <v>22</v>
      </c>
      <c r="H1081" s="3">
        <v>26.79</v>
      </c>
      <c r="I1081" s="3">
        <v>13.67</v>
      </c>
      <c r="J1081" s="3">
        <f t="shared" si="48"/>
        <v>589.38</v>
      </c>
      <c r="K1081" s="3">
        <f t="shared" si="49"/>
        <v>300.74</v>
      </c>
      <c r="L1081" s="3">
        <f t="shared" si="50"/>
        <v>288.64</v>
      </c>
    </row>
    <row r="1082" spans="1:12" x14ac:dyDescent="0.3">
      <c r="A1082">
        <v>2569</v>
      </c>
      <c r="B1082" s="2">
        <v>45752</v>
      </c>
      <c r="C1082" t="s">
        <v>23</v>
      </c>
      <c r="D1082" t="s">
        <v>29</v>
      </c>
      <c r="E1082" t="s">
        <v>30</v>
      </c>
      <c r="F1082" t="s">
        <v>28</v>
      </c>
      <c r="G1082">
        <v>11</v>
      </c>
      <c r="H1082" s="3">
        <v>85.51</v>
      </c>
      <c r="I1082" s="3">
        <v>58.29</v>
      </c>
      <c r="J1082" s="3">
        <f t="shared" si="48"/>
        <v>940.61</v>
      </c>
      <c r="K1082" s="3">
        <f t="shared" si="49"/>
        <v>641.18999999999994</v>
      </c>
      <c r="L1082" s="3">
        <f t="shared" si="50"/>
        <v>299.42000000000007</v>
      </c>
    </row>
    <row r="1083" spans="1:12" x14ac:dyDescent="0.3">
      <c r="A1083">
        <v>1941</v>
      </c>
      <c r="B1083" s="2">
        <v>45755</v>
      </c>
      <c r="C1083" t="s">
        <v>16</v>
      </c>
      <c r="D1083" t="s">
        <v>13</v>
      </c>
      <c r="E1083" t="s">
        <v>14</v>
      </c>
      <c r="F1083" t="s">
        <v>39</v>
      </c>
      <c r="G1083">
        <v>5</v>
      </c>
      <c r="H1083" s="3">
        <v>12.36</v>
      </c>
      <c r="I1083" s="3">
        <v>8.18</v>
      </c>
      <c r="J1083" s="3">
        <f t="shared" si="48"/>
        <v>61.8</v>
      </c>
      <c r="K1083" s="3">
        <f t="shared" si="49"/>
        <v>40.9</v>
      </c>
      <c r="L1083" s="3">
        <f t="shared" si="50"/>
        <v>20.9</v>
      </c>
    </row>
    <row r="1084" spans="1:12" x14ac:dyDescent="0.3">
      <c r="A1084">
        <v>2308</v>
      </c>
      <c r="B1084" s="2">
        <v>45755</v>
      </c>
      <c r="C1084" t="s">
        <v>26</v>
      </c>
      <c r="D1084" t="s">
        <v>20</v>
      </c>
      <c r="E1084" t="s">
        <v>38</v>
      </c>
      <c r="F1084" t="s">
        <v>36</v>
      </c>
      <c r="G1084">
        <v>1</v>
      </c>
      <c r="H1084" s="3">
        <v>78.37</v>
      </c>
      <c r="I1084" s="3">
        <v>47.58</v>
      </c>
      <c r="J1084" s="3">
        <f t="shared" si="48"/>
        <v>78.37</v>
      </c>
      <c r="K1084" s="3">
        <f t="shared" si="49"/>
        <v>47.58</v>
      </c>
      <c r="L1084" s="3">
        <f t="shared" si="50"/>
        <v>30.790000000000006</v>
      </c>
    </row>
    <row r="1085" spans="1:12" x14ac:dyDescent="0.3">
      <c r="A1085">
        <v>2400</v>
      </c>
      <c r="B1085" s="2">
        <v>45755</v>
      </c>
      <c r="C1085" t="s">
        <v>12</v>
      </c>
      <c r="D1085" t="s">
        <v>17</v>
      </c>
      <c r="E1085" t="s">
        <v>35</v>
      </c>
      <c r="F1085" t="s">
        <v>33</v>
      </c>
      <c r="G1085">
        <v>2</v>
      </c>
      <c r="H1085" s="3">
        <v>889.64</v>
      </c>
      <c r="I1085" s="3">
        <v>631.09</v>
      </c>
      <c r="J1085" s="3">
        <f t="shared" si="48"/>
        <v>1779.28</v>
      </c>
      <c r="K1085" s="3">
        <f t="shared" si="49"/>
        <v>1262.18</v>
      </c>
      <c r="L1085" s="3">
        <f t="shared" si="50"/>
        <v>517.09999999999991</v>
      </c>
    </row>
    <row r="1086" spans="1:12" x14ac:dyDescent="0.3">
      <c r="A1086">
        <v>2571</v>
      </c>
      <c r="B1086" s="2">
        <v>45755</v>
      </c>
      <c r="C1086" t="s">
        <v>26</v>
      </c>
      <c r="D1086" t="s">
        <v>13</v>
      </c>
      <c r="E1086" t="s">
        <v>45</v>
      </c>
      <c r="F1086" t="s">
        <v>28</v>
      </c>
      <c r="G1086">
        <v>15</v>
      </c>
      <c r="H1086" s="3">
        <v>58.22</v>
      </c>
      <c r="I1086" s="3">
        <v>43.23</v>
      </c>
      <c r="J1086" s="3">
        <f t="shared" si="48"/>
        <v>873.3</v>
      </c>
      <c r="K1086" s="3">
        <f t="shared" si="49"/>
        <v>648.44999999999993</v>
      </c>
      <c r="L1086" s="3">
        <f t="shared" si="50"/>
        <v>224.85000000000002</v>
      </c>
    </row>
    <row r="1087" spans="1:12" x14ac:dyDescent="0.3">
      <c r="A1087">
        <v>2658</v>
      </c>
      <c r="B1087" s="2">
        <v>45755</v>
      </c>
      <c r="C1087" t="s">
        <v>12</v>
      </c>
      <c r="D1087" t="s">
        <v>17</v>
      </c>
      <c r="E1087" t="s">
        <v>44</v>
      </c>
      <c r="F1087" t="s">
        <v>36</v>
      </c>
      <c r="G1087">
        <v>5</v>
      </c>
      <c r="H1087" s="3">
        <v>387.17</v>
      </c>
      <c r="I1087" s="3">
        <v>229.7</v>
      </c>
      <c r="J1087" s="3">
        <f t="shared" si="48"/>
        <v>1935.8500000000001</v>
      </c>
      <c r="K1087" s="3">
        <f t="shared" si="49"/>
        <v>1148.5</v>
      </c>
      <c r="L1087" s="3">
        <f t="shared" si="50"/>
        <v>787.35000000000014</v>
      </c>
    </row>
    <row r="1088" spans="1:12" x14ac:dyDescent="0.3">
      <c r="A1088">
        <v>1006</v>
      </c>
      <c r="B1088" s="2">
        <v>45756</v>
      </c>
      <c r="C1088" t="s">
        <v>32</v>
      </c>
      <c r="D1088" t="s">
        <v>13</v>
      </c>
      <c r="E1088" t="s">
        <v>31</v>
      </c>
      <c r="F1088" t="s">
        <v>33</v>
      </c>
      <c r="G1088">
        <v>14</v>
      </c>
      <c r="H1088" s="3">
        <v>43</v>
      </c>
      <c r="I1088" s="3">
        <v>28.33</v>
      </c>
      <c r="J1088" s="3">
        <f t="shared" si="48"/>
        <v>602</v>
      </c>
      <c r="K1088" s="3">
        <f t="shared" si="49"/>
        <v>396.62</v>
      </c>
      <c r="L1088" s="3">
        <f t="shared" si="50"/>
        <v>205.38</v>
      </c>
    </row>
    <row r="1089" spans="1:12" x14ac:dyDescent="0.3">
      <c r="A1089">
        <v>1958</v>
      </c>
      <c r="B1089" s="2">
        <v>45756</v>
      </c>
      <c r="C1089" t="s">
        <v>26</v>
      </c>
      <c r="D1089" t="s">
        <v>13</v>
      </c>
      <c r="E1089" t="s">
        <v>31</v>
      </c>
      <c r="F1089" t="s">
        <v>25</v>
      </c>
      <c r="G1089">
        <v>4</v>
      </c>
      <c r="H1089" s="3">
        <v>3.29</v>
      </c>
      <c r="I1089" s="3">
        <v>1.69</v>
      </c>
      <c r="J1089" s="3">
        <f t="shared" si="48"/>
        <v>13.16</v>
      </c>
      <c r="K1089" s="3">
        <f t="shared" si="49"/>
        <v>6.76</v>
      </c>
      <c r="L1089" s="3">
        <f t="shared" si="50"/>
        <v>6.4</v>
      </c>
    </row>
    <row r="1090" spans="1:12" x14ac:dyDescent="0.3">
      <c r="A1090">
        <v>1997</v>
      </c>
      <c r="B1090" s="2">
        <v>45756</v>
      </c>
      <c r="C1090" t="s">
        <v>26</v>
      </c>
      <c r="D1090" t="s">
        <v>17</v>
      </c>
      <c r="E1090" t="s">
        <v>18</v>
      </c>
      <c r="F1090" t="s">
        <v>22</v>
      </c>
      <c r="G1090">
        <v>18</v>
      </c>
      <c r="H1090" s="3">
        <v>293.49</v>
      </c>
      <c r="I1090" s="3">
        <v>167.22</v>
      </c>
      <c r="J1090" s="3">
        <f t="shared" ref="J1090:J1153" si="51">G1090*H1090</f>
        <v>5282.82</v>
      </c>
      <c r="K1090" s="3">
        <f t="shared" ref="K1090:K1153" si="52">G1090*I1090</f>
        <v>3009.96</v>
      </c>
      <c r="L1090" s="3">
        <f t="shared" ref="L1090:L1153" si="53">J1090-K1090</f>
        <v>2272.8599999999997</v>
      </c>
    </row>
    <row r="1091" spans="1:12" x14ac:dyDescent="0.3">
      <c r="A1091">
        <v>1486</v>
      </c>
      <c r="B1091" s="2">
        <v>45757</v>
      </c>
      <c r="C1091" t="s">
        <v>26</v>
      </c>
      <c r="D1091" t="s">
        <v>29</v>
      </c>
      <c r="E1091" t="s">
        <v>43</v>
      </c>
      <c r="F1091" t="s">
        <v>19</v>
      </c>
      <c r="G1091">
        <v>8</v>
      </c>
      <c r="H1091" s="3">
        <v>346.31</v>
      </c>
      <c r="I1091" s="3">
        <v>234.39</v>
      </c>
      <c r="J1091" s="3">
        <f t="shared" si="51"/>
        <v>2770.48</v>
      </c>
      <c r="K1091" s="3">
        <f t="shared" si="52"/>
        <v>1875.12</v>
      </c>
      <c r="L1091" s="3">
        <f t="shared" si="53"/>
        <v>895.36000000000013</v>
      </c>
    </row>
    <row r="1092" spans="1:12" x14ac:dyDescent="0.3">
      <c r="A1092">
        <v>1610</v>
      </c>
      <c r="B1092" s="2">
        <v>45757</v>
      </c>
      <c r="C1092" t="s">
        <v>26</v>
      </c>
      <c r="D1092" t="s">
        <v>17</v>
      </c>
      <c r="E1092" t="s">
        <v>40</v>
      </c>
      <c r="F1092" t="s">
        <v>28</v>
      </c>
      <c r="G1092">
        <v>32</v>
      </c>
      <c r="H1092" s="3">
        <v>253.89</v>
      </c>
      <c r="I1092" s="3">
        <v>179.65</v>
      </c>
      <c r="J1092" s="3">
        <f t="shared" si="51"/>
        <v>8124.48</v>
      </c>
      <c r="K1092" s="3">
        <f t="shared" si="52"/>
        <v>5748.8</v>
      </c>
      <c r="L1092" s="3">
        <f t="shared" si="53"/>
        <v>2375.6799999999994</v>
      </c>
    </row>
    <row r="1093" spans="1:12" x14ac:dyDescent="0.3">
      <c r="A1093">
        <v>1864</v>
      </c>
      <c r="B1093" s="2">
        <v>45757</v>
      </c>
      <c r="C1093" t="s">
        <v>23</v>
      </c>
      <c r="D1093" t="s">
        <v>17</v>
      </c>
      <c r="E1093" t="s">
        <v>35</v>
      </c>
      <c r="F1093" t="s">
        <v>19</v>
      </c>
      <c r="G1093">
        <v>1</v>
      </c>
      <c r="H1093" s="3">
        <v>566.77</v>
      </c>
      <c r="I1093" s="3">
        <v>391.56</v>
      </c>
      <c r="J1093" s="3">
        <f t="shared" si="51"/>
        <v>566.77</v>
      </c>
      <c r="K1093" s="3">
        <f t="shared" si="52"/>
        <v>391.56</v>
      </c>
      <c r="L1093" s="3">
        <f t="shared" si="53"/>
        <v>175.20999999999998</v>
      </c>
    </row>
    <row r="1094" spans="1:12" x14ac:dyDescent="0.3">
      <c r="A1094">
        <v>2648</v>
      </c>
      <c r="B1094" s="2">
        <v>45757</v>
      </c>
      <c r="C1094" t="s">
        <v>23</v>
      </c>
      <c r="D1094" t="s">
        <v>17</v>
      </c>
      <c r="E1094" t="s">
        <v>35</v>
      </c>
      <c r="F1094" t="s">
        <v>39</v>
      </c>
      <c r="G1094">
        <v>9</v>
      </c>
      <c r="H1094" s="3">
        <v>78.709999999999994</v>
      </c>
      <c r="I1094" s="3">
        <v>58.8</v>
      </c>
      <c r="J1094" s="3">
        <f t="shared" si="51"/>
        <v>708.39</v>
      </c>
      <c r="K1094" s="3">
        <f t="shared" si="52"/>
        <v>529.19999999999993</v>
      </c>
      <c r="L1094" s="3">
        <f t="shared" si="53"/>
        <v>179.19000000000005</v>
      </c>
    </row>
    <row r="1095" spans="1:12" x14ac:dyDescent="0.3">
      <c r="A1095">
        <v>2649</v>
      </c>
      <c r="B1095" s="2">
        <v>45757</v>
      </c>
      <c r="C1095" t="s">
        <v>16</v>
      </c>
      <c r="D1095" t="s">
        <v>13</v>
      </c>
      <c r="E1095" t="s">
        <v>14</v>
      </c>
      <c r="F1095" t="s">
        <v>22</v>
      </c>
      <c r="G1095">
        <v>20</v>
      </c>
      <c r="H1095" s="3">
        <v>34.54</v>
      </c>
      <c r="I1095" s="3">
        <v>25.02</v>
      </c>
      <c r="J1095" s="3">
        <f t="shared" si="51"/>
        <v>690.8</v>
      </c>
      <c r="K1095" s="3">
        <f t="shared" si="52"/>
        <v>500.4</v>
      </c>
      <c r="L1095" s="3">
        <f t="shared" si="53"/>
        <v>190.39999999999998</v>
      </c>
    </row>
    <row r="1096" spans="1:12" x14ac:dyDescent="0.3">
      <c r="A1096">
        <v>1333</v>
      </c>
      <c r="B1096" s="2">
        <v>45758</v>
      </c>
      <c r="C1096" t="s">
        <v>16</v>
      </c>
      <c r="D1096" t="s">
        <v>29</v>
      </c>
      <c r="E1096" t="s">
        <v>41</v>
      </c>
      <c r="F1096" t="s">
        <v>19</v>
      </c>
      <c r="G1096">
        <v>22</v>
      </c>
      <c r="H1096" s="3">
        <v>395.05</v>
      </c>
      <c r="I1096" s="3">
        <v>287.08999999999997</v>
      </c>
      <c r="J1096" s="3">
        <f t="shared" si="51"/>
        <v>8691.1</v>
      </c>
      <c r="K1096" s="3">
        <f t="shared" si="52"/>
        <v>6315.98</v>
      </c>
      <c r="L1096" s="3">
        <f t="shared" si="53"/>
        <v>2375.1200000000008</v>
      </c>
    </row>
    <row r="1097" spans="1:12" x14ac:dyDescent="0.3">
      <c r="A1097">
        <v>1085</v>
      </c>
      <c r="B1097" s="2">
        <v>45759</v>
      </c>
      <c r="C1097" t="s">
        <v>26</v>
      </c>
      <c r="D1097" t="s">
        <v>13</v>
      </c>
      <c r="E1097" t="s">
        <v>14</v>
      </c>
      <c r="F1097" t="s">
        <v>19</v>
      </c>
      <c r="G1097">
        <v>5</v>
      </c>
      <c r="H1097" s="3">
        <v>58.24</v>
      </c>
      <c r="I1097" s="3">
        <v>38.58</v>
      </c>
      <c r="J1097" s="3">
        <f t="shared" si="51"/>
        <v>291.2</v>
      </c>
      <c r="K1097" s="3">
        <f t="shared" si="52"/>
        <v>192.89999999999998</v>
      </c>
      <c r="L1097" s="3">
        <f t="shared" si="53"/>
        <v>98.300000000000011</v>
      </c>
    </row>
    <row r="1098" spans="1:12" x14ac:dyDescent="0.3">
      <c r="A1098">
        <v>2131</v>
      </c>
      <c r="B1098" s="2">
        <v>45759</v>
      </c>
      <c r="C1098" t="s">
        <v>26</v>
      </c>
      <c r="D1098" t="s">
        <v>29</v>
      </c>
      <c r="E1098" t="s">
        <v>41</v>
      </c>
      <c r="F1098" t="s">
        <v>15</v>
      </c>
      <c r="G1098">
        <v>32</v>
      </c>
      <c r="H1098" s="3">
        <v>282.98</v>
      </c>
      <c r="I1098" s="3">
        <v>187.14</v>
      </c>
      <c r="J1098" s="3">
        <f t="shared" si="51"/>
        <v>9055.36</v>
      </c>
      <c r="K1098" s="3">
        <f t="shared" si="52"/>
        <v>5988.48</v>
      </c>
      <c r="L1098" s="3">
        <f t="shared" si="53"/>
        <v>3066.880000000001</v>
      </c>
    </row>
    <row r="1099" spans="1:12" x14ac:dyDescent="0.3">
      <c r="A1099">
        <v>2477</v>
      </c>
      <c r="B1099" s="2">
        <v>45759</v>
      </c>
      <c r="C1099" t="s">
        <v>26</v>
      </c>
      <c r="D1099" t="s">
        <v>29</v>
      </c>
      <c r="E1099" t="s">
        <v>37</v>
      </c>
      <c r="F1099" t="s">
        <v>33</v>
      </c>
      <c r="G1099">
        <v>38</v>
      </c>
      <c r="H1099" s="3">
        <v>184.24</v>
      </c>
      <c r="I1099" s="3">
        <v>96.86</v>
      </c>
      <c r="J1099" s="3">
        <f t="shared" si="51"/>
        <v>7001.1200000000008</v>
      </c>
      <c r="K1099" s="3">
        <f t="shared" si="52"/>
        <v>3680.68</v>
      </c>
      <c r="L1099" s="3">
        <f t="shared" si="53"/>
        <v>3320.440000000001</v>
      </c>
    </row>
    <row r="1100" spans="1:12" x14ac:dyDescent="0.3">
      <c r="A1100">
        <v>1329</v>
      </c>
      <c r="B1100" s="2">
        <v>45760</v>
      </c>
      <c r="C1100" t="s">
        <v>12</v>
      </c>
      <c r="D1100" t="s">
        <v>29</v>
      </c>
      <c r="E1100" t="s">
        <v>37</v>
      </c>
      <c r="F1100" t="s">
        <v>25</v>
      </c>
      <c r="G1100">
        <v>32</v>
      </c>
      <c r="H1100" s="3">
        <v>211.63</v>
      </c>
      <c r="I1100" s="3">
        <v>129.72999999999999</v>
      </c>
      <c r="J1100" s="3">
        <f t="shared" si="51"/>
        <v>6772.16</v>
      </c>
      <c r="K1100" s="3">
        <f t="shared" si="52"/>
        <v>4151.3599999999997</v>
      </c>
      <c r="L1100" s="3">
        <f t="shared" si="53"/>
        <v>2620.8000000000002</v>
      </c>
    </row>
    <row r="1101" spans="1:12" x14ac:dyDescent="0.3">
      <c r="A1101">
        <v>1481</v>
      </c>
      <c r="B1101" s="2">
        <v>45760</v>
      </c>
      <c r="C1101" t="s">
        <v>12</v>
      </c>
      <c r="D1101" t="s">
        <v>20</v>
      </c>
      <c r="E1101" t="s">
        <v>21</v>
      </c>
      <c r="F1101" t="s">
        <v>22</v>
      </c>
      <c r="G1101">
        <v>39</v>
      </c>
      <c r="H1101" s="3">
        <v>191.22</v>
      </c>
      <c r="I1101" s="3">
        <v>131.1</v>
      </c>
      <c r="J1101" s="3">
        <f t="shared" si="51"/>
        <v>7457.58</v>
      </c>
      <c r="K1101" s="3">
        <f t="shared" si="52"/>
        <v>5112.8999999999996</v>
      </c>
      <c r="L1101" s="3">
        <f t="shared" si="53"/>
        <v>2344.6800000000003</v>
      </c>
    </row>
    <row r="1102" spans="1:12" x14ac:dyDescent="0.3">
      <c r="A1102">
        <v>1027</v>
      </c>
      <c r="B1102" s="2">
        <v>45761</v>
      </c>
      <c r="C1102" t="s">
        <v>16</v>
      </c>
      <c r="D1102" t="s">
        <v>17</v>
      </c>
      <c r="E1102" t="s">
        <v>27</v>
      </c>
      <c r="F1102" t="s">
        <v>39</v>
      </c>
      <c r="G1102">
        <v>33</v>
      </c>
      <c r="H1102" s="3">
        <v>282.77</v>
      </c>
      <c r="I1102" s="3">
        <v>167.51</v>
      </c>
      <c r="J1102" s="3">
        <f t="shared" si="51"/>
        <v>9331.41</v>
      </c>
      <c r="K1102" s="3">
        <f t="shared" si="52"/>
        <v>5527.83</v>
      </c>
      <c r="L1102" s="3">
        <f t="shared" si="53"/>
        <v>3803.58</v>
      </c>
    </row>
    <row r="1103" spans="1:12" x14ac:dyDescent="0.3">
      <c r="A1103">
        <v>1582</v>
      </c>
      <c r="B1103" s="2">
        <v>45761</v>
      </c>
      <c r="C1103" t="s">
        <v>32</v>
      </c>
      <c r="D1103" t="s">
        <v>13</v>
      </c>
      <c r="E1103" t="s">
        <v>45</v>
      </c>
      <c r="F1103" t="s">
        <v>33</v>
      </c>
      <c r="G1103">
        <v>19</v>
      </c>
      <c r="H1103" s="3">
        <v>19.52</v>
      </c>
      <c r="I1103" s="3">
        <v>12.56</v>
      </c>
      <c r="J1103" s="3">
        <f t="shared" si="51"/>
        <v>370.88</v>
      </c>
      <c r="K1103" s="3">
        <f t="shared" si="52"/>
        <v>238.64000000000001</v>
      </c>
      <c r="L1103" s="3">
        <f t="shared" si="53"/>
        <v>132.23999999999998</v>
      </c>
    </row>
    <row r="1104" spans="1:12" x14ac:dyDescent="0.3">
      <c r="A1104">
        <v>1952</v>
      </c>
      <c r="B1104" s="2">
        <v>45761</v>
      </c>
      <c r="C1104" t="s">
        <v>26</v>
      </c>
      <c r="D1104" t="s">
        <v>29</v>
      </c>
      <c r="E1104" t="s">
        <v>43</v>
      </c>
      <c r="F1104" t="s">
        <v>33</v>
      </c>
      <c r="G1104">
        <v>34</v>
      </c>
      <c r="H1104" s="3">
        <v>458.91</v>
      </c>
      <c r="I1104" s="3">
        <v>242.39</v>
      </c>
      <c r="J1104" s="3">
        <f t="shared" si="51"/>
        <v>15602.94</v>
      </c>
      <c r="K1104" s="3">
        <f t="shared" si="52"/>
        <v>8241.26</v>
      </c>
      <c r="L1104" s="3">
        <f t="shared" si="53"/>
        <v>7361.68</v>
      </c>
    </row>
    <row r="1105" spans="1:12" x14ac:dyDescent="0.3">
      <c r="A1105">
        <v>2686</v>
      </c>
      <c r="B1105" s="2">
        <v>45762</v>
      </c>
      <c r="C1105" t="s">
        <v>16</v>
      </c>
      <c r="D1105" t="s">
        <v>29</v>
      </c>
      <c r="E1105" t="s">
        <v>37</v>
      </c>
      <c r="F1105" t="s">
        <v>22</v>
      </c>
      <c r="G1105">
        <v>12</v>
      </c>
      <c r="H1105" s="3">
        <v>407.22</v>
      </c>
      <c r="I1105" s="3">
        <v>226.14</v>
      </c>
      <c r="J1105" s="3">
        <f t="shared" si="51"/>
        <v>4886.6400000000003</v>
      </c>
      <c r="K1105" s="3">
        <f t="shared" si="52"/>
        <v>2713.68</v>
      </c>
      <c r="L1105" s="3">
        <f t="shared" si="53"/>
        <v>2172.9600000000005</v>
      </c>
    </row>
    <row r="1106" spans="1:12" x14ac:dyDescent="0.3">
      <c r="A1106">
        <v>2362</v>
      </c>
      <c r="B1106" s="2">
        <v>45763</v>
      </c>
      <c r="C1106" t="s">
        <v>32</v>
      </c>
      <c r="D1106" t="s">
        <v>29</v>
      </c>
      <c r="E1106" t="s">
        <v>43</v>
      </c>
      <c r="F1106" t="s">
        <v>33</v>
      </c>
      <c r="G1106">
        <v>4</v>
      </c>
      <c r="H1106" s="3">
        <v>451.08</v>
      </c>
      <c r="I1106" s="3">
        <v>274.42</v>
      </c>
      <c r="J1106" s="3">
        <f t="shared" si="51"/>
        <v>1804.32</v>
      </c>
      <c r="K1106" s="3">
        <f t="shared" si="52"/>
        <v>1097.68</v>
      </c>
      <c r="L1106" s="3">
        <f t="shared" si="53"/>
        <v>706.63999999999987</v>
      </c>
    </row>
    <row r="1107" spans="1:12" x14ac:dyDescent="0.3">
      <c r="A1107">
        <v>2441</v>
      </c>
      <c r="B1107" s="2">
        <v>45763</v>
      </c>
      <c r="C1107" t="s">
        <v>12</v>
      </c>
      <c r="D1107" t="s">
        <v>29</v>
      </c>
      <c r="E1107" t="s">
        <v>43</v>
      </c>
      <c r="F1107" t="s">
        <v>22</v>
      </c>
      <c r="G1107">
        <v>3</v>
      </c>
      <c r="H1107" s="3">
        <v>405.63</v>
      </c>
      <c r="I1107" s="3">
        <v>290.32</v>
      </c>
      <c r="J1107" s="3">
        <f t="shared" si="51"/>
        <v>1216.8899999999999</v>
      </c>
      <c r="K1107" s="3">
        <f t="shared" si="52"/>
        <v>870.96</v>
      </c>
      <c r="L1107" s="3">
        <f t="shared" si="53"/>
        <v>345.92999999999984</v>
      </c>
    </row>
    <row r="1108" spans="1:12" x14ac:dyDescent="0.3">
      <c r="A1108">
        <v>2715</v>
      </c>
      <c r="B1108" s="2">
        <v>45763</v>
      </c>
      <c r="C1108" t="s">
        <v>12</v>
      </c>
      <c r="D1108" t="s">
        <v>29</v>
      </c>
      <c r="E1108" t="s">
        <v>30</v>
      </c>
      <c r="F1108" t="s">
        <v>33</v>
      </c>
      <c r="G1108">
        <v>35</v>
      </c>
      <c r="H1108" s="3">
        <v>478.68</v>
      </c>
      <c r="I1108" s="3">
        <v>243.5</v>
      </c>
      <c r="J1108" s="3">
        <f t="shared" si="51"/>
        <v>16753.8</v>
      </c>
      <c r="K1108" s="3">
        <f t="shared" si="52"/>
        <v>8522.5</v>
      </c>
      <c r="L1108" s="3">
        <f t="shared" si="53"/>
        <v>8231.2999999999993</v>
      </c>
    </row>
    <row r="1109" spans="1:12" x14ac:dyDescent="0.3">
      <c r="A1109">
        <v>1757</v>
      </c>
      <c r="B1109" s="2">
        <v>45765</v>
      </c>
      <c r="C1109" t="s">
        <v>16</v>
      </c>
      <c r="D1109" t="s">
        <v>17</v>
      </c>
      <c r="E1109" t="s">
        <v>27</v>
      </c>
      <c r="F1109" t="s">
        <v>15</v>
      </c>
      <c r="G1109">
        <v>30</v>
      </c>
      <c r="H1109" s="3">
        <v>351.3</v>
      </c>
      <c r="I1109" s="3">
        <v>247.97</v>
      </c>
      <c r="J1109" s="3">
        <f t="shared" si="51"/>
        <v>10539</v>
      </c>
      <c r="K1109" s="3">
        <f t="shared" si="52"/>
        <v>7439.1</v>
      </c>
      <c r="L1109" s="3">
        <f t="shared" si="53"/>
        <v>3099.8999999999996</v>
      </c>
    </row>
    <row r="1110" spans="1:12" x14ac:dyDescent="0.3">
      <c r="A1110">
        <v>1761</v>
      </c>
      <c r="B1110" s="2">
        <v>45765</v>
      </c>
      <c r="C1110" t="s">
        <v>26</v>
      </c>
      <c r="D1110" t="s">
        <v>17</v>
      </c>
      <c r="E1110" t="s">
        <v>18</v>
      </c>
      <c r="F1110" t="s">
        <v>36</v>
      </c>
      <c r="G1110">
        <v>22</v>
      </c>
      <c r="H1110" s="3">
        <v>686.6</v>
      </c>
      <c r="I1110" s="3">
        <v>362.99</v>
      </c>
      <c r="J1110" s="3">
        <f t="shared" si="51"/>
        <v>15105.2</v>
      </c>
      <c r="K1110" s="3">
        <f t="shared" si="52"/>
        <v>7985.7800000000007</v>
      </c>
      <c r="L1110" s="3">
        <f t="shared" si="53"/>
        <v>7119.42</v>
      </c>
    </row>
    <row r="1111" spans="1:12" x14ac:dyDescent="0.3">
      <c r="A1111">
        <v>1662</v>
      </c>
      <c r="B1111" s="2">
        <v>45766</v>
      </c>
      <c r="C1111" t="s">
        <v>12</v>
      </c>
      <c r="D1111" t="s">
        <v>13</v>
      </c>
      <c r="E1111" t="s">
        <v>14</v>
      </c>
      <c r="F1111" t="s">
        <v>25</v>
      </c>
      <c r="G1111">
        <v>19</v>
      </c>
      <c r="H1111" s="3">
        <v>7.51</v>
      </c>
      <c r="I1111" s="3">
        <v>5.6</v>
      </c>
      <c r="J1111" s="3">
        <f t="shared" si="51"/>
        <v>142.69</v>
      </c>
      <c r="K1111" s="3">
        <f t="shared" si="52"/>
        <v>106.39999999999999</v>
      </c>
      <c r="L1111" s="3">
        <f t="shared" si="53"/>
        <v>36.290000000000006</v>
      </c>
    </row>
    <row r="1112" spans="1:12" x14ac:dyDescent="0.3">
      <c r="A1112">
        <v>2263</v>
      </c>
      <c r="B1112" s="2">
        <v>45766</v>
      </c>
      <c r="C1112" t="s">
        <v>23</v>
      </c>
      <c r="D1112" t="s">
        <v>20</v>
      </c>
      <c r="E1112" t="s">
        <v>34</v>
      </c>
      <c r="F1112" t="s">
        <v>19</v>
      </c>
      <c r="G1112">
        <v>25</v>
      </c>
      <c r="H1112" s="3">
        <v>108.68</v>
      </c>
      <c r="I1112" s="3">
        <v>81.23</v>
      </c>
      <c r="J1112" s="3">
        <f t="shared" si="51"/>
        <v>2717</v>
      </c>
      <c r="K1112" s="3">
        <f t="shared" si="52"/>
        <v>2030.75</v>
      </c>
      <c r="L1112" s="3">
        <f t="shared" si="53"/>
        <v>686.25</v>
      </c>
    </row>
    <row r="1113" spans="1:12" x14ac:dyDescent="0.3">
      <c r="A1113">
        <v>2163</v>
      </c>
      <c r="B1113" s="2">
        <v>45767</v>
      </c>
      <c r="C1113" t="s">
        <v>23</v>
      </c>
      <c r="D1113" t="s">
        <v>20</v>
      </c>
      <c r="E1113" t="s">
        <v>34</v>
      </c>
      <c r="F1113" t="s">
        <v>22</v>
      </c>
      <c r="G1113">
        <v>20</v>
      </c>
      <c r="H1113" s="3">
        <v>110.41</v>
      </c>
      <c r="I1113" s="3">
        <v>70.11</v>
      </c>
      <c r="J1113" s="3">
        <f t="shared" si="51"/>
        <v>2208.1999999999998</v>
      </c>
      <c r="K1113" s="3">
        <f t="shared" si="52"/>
        <v>1402.2</v>
      </c>
      <c r="L1113" s="3">
        <f t="shared" si="53"/>
        <v>805.99999999999977</v>
      </c>
    </row>
    <row r="1114" spans="1:12" x14ac:dyDescent="0.3">
      <c r="A1114">
        <v>2538</v>
      </c>
      <c r="B1114" s="2">
        <v>45767</v>
      </c>
      <c r="C1114" t="s">
        <v>32</v>
      </c>
      <c r="D1114" t="s">
        <v>29</v>
      </c>
      <c r="E1114" t="s">
        <v>43</v>
      </c>
      <c r="F1114" t="s">
        <v>15</v>
      </c>
      <c r="G1114">
        <v>31</v>
      </c>
      <c r="H1114" s="3">
        <v>319.91000000000003</v>
      </c>
      <c r="I1114" s="3">
        <v>171.35</v>
      </c>
      <c r="J1114" s="3">
        <f t="shared" si="51"/>
        <v>9917.2100000000009</v>
      </c>
      <c r="K1114" s="3">
        <f t="shared" si="52"/>
        <v>5311.8499999999995</v>
      </c>
      <c r="L1114" s="3">
        <f t="shared" si="53"/>
        <v>4605.3600000000015</v>
      </c>
    </row>
    <row r="1115" spans="1:12" x14ac:dyDescent="0.3">
      <c r="A1115">
        <v>1497</v>
      </c>
      <c r="B1115" s="2">
        <v>45768</v>
      </c>
      <c r="C1115" t="s">
        <v>26</v>
      </c>
      <c r="D1115" t="s">
        <v>13</v>
      </c>
      <c r="E1115" t="s">
        <v>46</v>
      </c>
      <c r="F1115" t="s">
        <v>36</v>
      </c>
      <c r="G1115">
        <v>27</v>
      </c>
      <c r="H1115" s="3">
        <v>22.93</v>
      </c>
      <c r="I1115" s="3">
        <v>15.14</v>
      </c>
      <c r="J1115" s="3">
        <f t="shared" si="51"/>
        <v>619.11</v>
      </c>
      <c r="K1115" s="3">
        <f t="shared" si="52"/>
        <v>408.78000000000003</v>
      </c>
      <c r="L1115" s="3">
        <f t="shared" si="53"/>
        <v>210.32999999999998</v>
      </c>
    </row>
    <row r="1116" spans="1:12" x14ac:dyDescent="0.3">
      <c r="A1116">
        <v>1511</v>
      </c>
      <c r="B1116" s="2">
        <v>45768</v>
      </c>
      <c r="C1116" t="s">
        <v>16</v>
      </c>
      <c r="D1116" t="s">
        <v>13</v>
      </c>
      <c r="E1116" t="s">
        <v>45</v>
      </c>
      <c r="F1116" t="s">
        <v>28</v>
      </c>
      <c r="G1116">
        <v>7</v>
      </c>
      <c r="H1116" s="3">
        <v>42.02</v>
      </c>
      <c r="I1116" s="3">
        <v>23.44</v>
      </c>
      <c r="J1116" s="3">
        <f t="shared" si="51"/>
        <v>294.14000000000004</v>
      </c>
      <c r="K1116" s="3">
        <f t="shared" si="52"/>
        <v>164.08</v>
      </c>
      <c r="L1116" s="3">
        <f t="shared" si="53"/>
        <v>130.06000000000003</v>
      </c>
    </row>
    <row r="1117" spans="1:12" x14ac:dyDescent="0.3">
      <c r="A1117">
        <v>1605</v>
      </c>
      <c r="B1117" s="2">
        <v>45769</v>
      </c>
      <c r="C1117" t="s">
        <v>26</v>
      </c>
      <c r="D1117" t="s">
        <v>13</v>
      </c>
      <c r="E1117" t="s">
        <v>14</v>
      </c>
      <c r="F1117" t="s">
        <v>33</v>
      </c>
      <c r="G1117">
        <v>19</v>
      </c>
      <c r="H1117" s="3">
        <v>5.31</v>
      </c>
      <c r="I1117" s="3">
        <v>3.03</v>
      </c>
      <c r="J1117" s="3">
        <f t="shared" si="51"/>
        <v>100.88999999999999</v>
      </c>
      <c r="K1117" s="3">
        <f t="shared" si="52"/>
        <v>57.569999999999993</v>
      </c>
      <c r="L1117" s="3">
        <f t="shared" si="53"/>
        <v>43.319999999999993</v>
      </c>
    </row>
    <row r="1118" spans="1:12" x14ac:dyDescent="0.3">
      <c r="A1118">
        <v>2078</v>
      </c>
      <c r="B1118" s="2">
        <v>45770</v>
      </c>
      <c r="C1118" t="s">
        <v>16</v>
      </c>
      <c r="D1118" t="s">
        <v>13</v>
      </c>
      <c r="E1118" t="s">
        <v>45</v>
      </c>
      <c r="F1118" t="s">
        <v>28</v>
      </c>
      <c r="G1118">
        <v>40</v>
      </c>
      <c r="H1118" s="3">
        <v>35.83</v>
      </c>
      <c r="I1118" s="3">
        <v>25.39</v>
      </c>
      <c r="J1118" s="3">
        <f t="shared" si="51"/>
        <v>1433.1999999999998</v>
      </c>
      <c r="K1118" s="3">
        <f t="shared" si="52"/>
        <v>1015.6</v>
      </c>
      <c r="L1118" s="3">
        <f t="shared" si="53"/>
        <v>417.5999999999998</v>
      </c>
    </row>
    <row r="1119" spans="1:12" x14ac:dyDescent="0.3">
      <c r="A1119">
        <v>2583</v>
      </c>
      <c r="B1119" s="2">
        <v>45770</v>
      </c>
      <c r="C1119" t="s">
        <v>26</v>
      </c>
      <c r="D1119" t="s">
        <v>20</v>
      </c>
      <c r="E1119" t="s">
        <v>34</v>
      </c>
      <c r="F1119" t="s">
        <v>25</v>
      </c>
      <c r="G1119">
        <v>6</v>
      </c>
      <c r="H1119" s="3">
        <v>204.59</v>
      </c>
      <c r="I1119" s="3">
        <v>134.56</v>
      </c>
      <c r="J1119" s="3">
        <f t="shared" si="51"/>
        <v>1227.54</v>
      </c>
      <c r="K1119" s="3">
        <f t="shared" si="52"/>
        <v>807.36</v>
      </c>
      <c r="L1119" s="3">
        <f t="shared" si="53"/>
        <v>420.17999999999995</v>
      </c>
    </row>
    <row r="1120" spans="1:12" x14ac:dyDescent="0.3">
      <c r="A1120">
        <v>1748</v>
      </c>
      <c r="B1120" s="2">
        <v>45771</v>
      </c>
      <c r="C1120" t="s">
        <v>23</v>
      </c>
      <c r="D1120" t="s">
        <v>29</v>
      </c>
      <c r="E1120" t="s">
        <v>30</v>
      </c>
      <c r="F1120" t="s">
        <v>33</v>
      </c>
      <c r="G1120">
        <v>13</v>
      </c>
      <c r="H1120" s="3">
        <v>255.43</v>
      </c>
      <c r="I1120" s="3">
        <v>182.18</v>
      </c>
      <c r="J1120" s="3">
        <f t="shared" si="51"/>
        <v>3320.59</v>
      </c>
      <c r="K1120" s="3">
        <f t="shared" si="52"/>
        <v>2368.34</v>
      </c>
      <c r="L1120" s="3">
        <f t="shared" si="53"/>
        <v>952.25</v>
      </c>
    </row>
    <row r="1121" spans="1:12" x14ac:dyDescent="0.3">
      <c r="A1121">
        <v>1829</v>
      </c>
      <c r="B1121" s="2">
        <v>45771</v>
      </c>
      <c r="C1121" t="s">
        <v>16</v>
      </c>
      <c r="D1121" t="s">
        <v>29</v>
      </c>
      <c r="E1121" t="s">
        <v>43</v>
      </c>
      <c r="F1121" t="s">
        <v>36</v>
      </c>
      <c r="G1121">
        <v>34</v>
      </c>
      <c r="H1121" s="3">
        <v>421.89</v>
      </c>
      <c r="I1121" s="3">
        <v>301.43</v>
      </c>
      <c r="J1121" s="3">
        <f t="shared" si="51"/>
        <v>14344.26</v>
      </c>
      <c r="K1121" s="3">
        <f t="shared" si="52"/>
        <v>10248.620000000001</v>
      </c>
      <c r="L1121" s="3">
        <f t="shared" si="53"/>
        <v>4095.6399999999994</v>
      </c>
    </row>
    <row r="1122" spans="1:12" x14ac:dyDescent="0.3">
      <c r="A1122">
        <v>1883</v>
      </c>
      <c r="B1122" s="2">
        <v>45771</v>
      </c>
      <c r="C1122" t="s">
        <v>23</v>
      </c>
      <c r="D1122" t="s">
        <v>29</v>
      </c>
      <c r="E1122" t="s">
        <v>41</v>
      </c>
      <c r="F1122" t="s">
        <v>36</v>
      </c>
      <c r="G1122">
        <v>11</v>
      </c>
      <c r="H1122" s="3">
        <v>258.17</v>
      </c>
      <c r="I1122" s="3">
        <v>135.82</v>
      </c>
      <c r="J1122" s="3">
        <f t="shared" si="51"/>
        <v>2839.8700000000003</v>
      </c>
      <c r="K1122" s="3">
        <f t="shared" si="52"/>
        <v>1494.02</v>
      </c>
      <c r="L1122" s="3">
        <f t="shared" si="53"/>
        <v>1345.8500000000004</v>
      </c>
    </row>
    <row r="1123" spans="1:12" x14ac:dyDescent="0.3">
      <c r="A1123">
        <v>1963</v>
      </c>
      <c r="B1123" s="2">
        <v>45771</v>
      </c>
      <c r="C1123" t="s">
        <v>32</v>
      </c>
      <c r="D1123" t="s">
        <v>20</v>
      </c>
      <c r="E1123" t="s">
        <v>21</v>
      </c>
      <c r="F1123" t="s">
        <v>36</v>
      </c>
      <c r="G1123">
        <v>27</v>
      </c>
      <c r="H1123" s="3">
        <v>234.7</v>
      </c>
      <c r="I1123" s="3">
        <v>122.54</v>
      </c>
      <c r="J1123" s="3">
        <f t="shared" si="51"/>
        <v>6336.9</v>
      </c>
      <c r="K1123" s="3">
        <f t="shared" si="52"/>
        <v>3308.5800000000004</v>
      </c>
      <c r="L1123" s="3">
        <f t="shared" si="53"/>
        <v>3028.3199999999993</v>
      </c>
    </row>
    <row r="1124" spans="1:12" x14ac:dyDescent="0.3">
      <c r="A1124">
        <v>2148</v>
      </c>
      <c r="B1124" s="2">
        <v>45771</v>
      </c>
      <c r="C1124" t="s">
        <v>16</v>
      </c>
      <c r="D1124" t="s">
        <v>13</v>
      </c>
      <c r="E1124" t="s">
        <v>45</v>
      </c>
      <c r="F1124" t="s">
        <v>36</v>
      </c>
      <c r="G1124">
        <v>18</v>
      </c>
      <c r="H1124" s="3">
        <v>53.69</v>
      </c>
      <c r="I1124" s="3">
        <v>31.28</v>
      </c>
      <c r="J1124" s="3">
        <f t="shared" si="51"/>
        <v>966.42</v>
      </c>
      <c r="K1124" s="3">
        <f t="shared" si="52"/>
        <v>563.04</v>
      </c>
      <c r="L1124" s="3">
        <f t="shared" si="53"/>
        <v>403.38</v>
      </c>
    </row>
    <row r="1125" spans="1:12" x14ac:dyDescent="0.3">
      <c r="A1125">
        <v>1910</v>
      </c>
      <c r="B1125" s="2">
        <v>45772</v>
      </c>
      <c r="C1125" t="s">
        <v>26</v>
      </c>
      <c r="D1125" t="s">
        <v>29</v>
      </c>
      <c r="E1125" t="s">
        <v>41</v>
      </c>
      <c r="F1125" t="s">
        <v>36</v>
      </c>
      <c r="G1125">
        <v>26</v>
      </c>
      <c r="H1125" s="3">
        <v>174.05</v>
      </c>
      <c r="I1125" s="3">
        <v>125.3</v>
      </c>
      <c r="J1125" s="3">
        <f t="shared" si="51"/>
        <v>4525.3</v>
      </c>
      <c r="K1125" s="3">
        <f t="shared" si="52"/>
        <v>3257.7999999999997</v>
      </c>
      <c r="L1125" s="3">
        <f t="shared" si="53"/>
        <v>1267.5000000000005</v>
      </c>
    </row>
    <row r="1126" spans="1:12" x14ac:dyDescent="0.3">
      <c r="A1126">
        <v>2329</v>
      </c>
      <c r="B1126" s="2">
        <v>45772</v>
      </c>
      <c r="C1126" t="s">
        <v>32</v>
      </c>
      <c r="D1126" t="s">
        <v>17</v>
      </c>
      <c r="E1126" t="s">
        <v>18</v>
      </c>
      <c r="F1126" t="s">
        <v>33</v>
      </c>
      <c r="G1126">
        <v>35</v>
      </c>
      <c r="H1126" s="3">
        <v>494.28</v>
      </c>
      <c r="I1126" s="3">
        <v>280.66000000000003</v>
      </c>
      <c r="J1126" s="3">
        <f t="shared" si="51"/>
        <v>17299.8</v>
      </c>
      <c r="K1126" s="3">
        <f t="shared" si="52"/>
        <v>9823.1</v>
      </c>
      <c r="L1126" s="3">
        <f t="shared" si="53"/>
        <v>7476.6999999999989</v>
      </c>
    </row>
    <row r="1127" spans="1:12" x14ac:dyDescent="0.3">
      <c r="A1127">
        <v>2367</v>
      </c>
      <c r="B1127" s="2">
        <v>45772</v>
      </c>
      <c r="C1127" t="s">
        <v>32</v>
      </c>
      <c r="D1127" t="s">
        <v>29</v>
      </c>
      <c r="E1127" t="s">
        <v>43</v>
      </c>
      <c r="F1127" t="s">
        <v>19</v>
      </c>
      <c r="G1127">
        <v>38</v>
      </c>
      <c r="H1127" s="3">
        <v>329.42</v>
      </c>
      <c r="I1127" s="3">
        <v>183.34</v>
      </c>
      <c r="J1127" s="3">
        <f t="shared" si="51"/>
        <v>12517.960000000001</v>
      </c>
      <c r="K1127" s="3">
        <f t="shared" si="52"/>
        <v>6966.92</v>
      </c>
      <c r="L1127" s="3">
        <f t="shared" si="53"/>
        <v>5551.0400000000009</v>
      </c>
    </row>
    <row r="1128" spans="1:12" x14ac:dyDescent="0.3">
      <c r="A1128">
        <v>2408</v>
      </c>
      <c r="B1128" s="2">
        <v>45772</v>
      </c>
      <c r="C1128" t="s">
        <v>32</v>
      </c>
      <c r="D1128" t="s">
        <v>20</v>
      </c>
      <c r="E1128" t="s">
        <v>42</v>
      </c>
      <c r="F1128" t="s">
        <v>15</v>
      </c>
      <c r="G1128">
        <v>11</v>
      </c>
      <c r="H1128" s="3">
        <v>42.96</v>
      </c>
      <c r="I1128" s="3">
        <v>23.29</v>
      </c>
      <c r="J1128" s="3">
        <f t="shared" si="51"/>
        <v>472.56</v>
      </c>
      <c r="K1128" s="3">
        <f t="shared" si="52"/>
        <v>256.19</v>
      </c>
      <c r="L1128" s="3">
        <f t="shared" si="53"/>
        <v>216.37</v>
      </c>
    </row>
    <row r="1129" spans="1:12" x14ac:dyDescent="0.3">
      <c r="A1129">
        <v>2540</v>
      </c>
      <c r="B1129" s="2">
        <v>45772</v>
      </c>
      <c r="C1129" t="s">
        <v>12</v>
      </c>
      <c r="D1129" t="s">
        <v>17</v>
      </c>
      <c r="E1129" t="s">
        <v>18</v>
      </c>
      <c r="F1129" t="s">
        <v>39</v>
      </c>
      <c r="G1129">
        <v>13</v>
      </c>
      <c r="H1129" s="3">
        <v>432.03</v>
      </c>
      <c r="I1129" s="3">
        <v>278.94</v>
      </c>
      <c r="J1129" s="3">
        <f t="shared" si="51"/>
        <v>5616.3899999999994</v>
      </c>
      <c r="K1129" s="3">
        <f t="shared" si="52"/>
        <v>3626.22</v>
      </c>
      <c r="L1129" s="3">
        <f t="shared" si="53"/>
        <v>1990.1699999999996</v>
      </c>
    </row>
    <row r="1130" spans="1:12" x14ac:dyDescent="0.3">
      <c r="A1130">
        <v>1779</v>
      </c>
      <c r="B1130" s="2">
        <v>45774</v>
      </c>
      <c r="C1130" t="s">
        <v>23</v>
      </c>
      <c r="D1130" t="s">
        <v>20</v>
      </c>
      <c r="E1130" t="s">
        <v>21</v>
      </c>
      <c r="F1130" t="s">
        <v>19</v>
      </c>
      <c r="G1130">
        <v>31</v>
      </c>
      <c r="H1130" s="3">
        <v>232.48</v>
      </c>
      <c r="I1130" s="3">
        <v>169.8</v>
      </c>
      <c r="J1130" s="3">
        <f t="shared" si="51"/>
        <v>7206.88</v>
      </c>
      <c r="K1130" s="3">
        <f t="shared" si="52"/>
        <v>5263.8</v>
      </c>
      <c r="L1130" s="3">
        <f t="shared" si="53"/>
        <v>1943.08</v>
      </c>
    </row>
    <row r="1131" spans="1:12" x14ac:dyDescent="0.3">
      <c r="A1131">
        <v>2771</v>
      </c>
      <c r="B1131" s="2">
        <v>45774</v>
      </c>
      <c r="C1131" t="s">
        <v>26</v>
      </c>
      <c r="D1131" t="s">
        <v>20</v>
      </c>
      <c r="E1131" t="s">
        <v>42</v>
      </c>
      <c r="F1131" t="s">
        <v>39</v>
      </c>
      <c r="G1131">
        <v>5</v>
      </c>
      <c r="H1131" s="3">
        <v>92.62</v>
      </c>
      <c r="I1131" s="3">
        <v>53.89</v>
      </c>
      <c r="J1131" s="3">
        <f t="shared" si="51"/>
        <v>463.1</v>
      </c>
      <c r="K1131" s="3">
        <f t="shared" si="52"/>
        <v>269.45</v>
      </c>
      <c r="L1131" s="3">
        <f t="shared" si="53"/>
        <v>193.65000000000003</v>
      </c>
    </row>
    <row r="1132" spans="1:12" x14ac:dyDescent="0.3">
      <c r="A1132">
        <v>1140</v>
      </c>
      <c r="B1132" s="2">
        <v>45775</v>
      </c>
      <c r="C1132" t="s">
        <v>12</v>
      </c>
      <c r="D1132" t="s">
        <v>20</v>
      </c>
      <c r="E1132" t="s">
        <v>21</v>
      </c>
      <c r="F1132" t="s">
        <v>22</v>
      </c>
      <c r="G1132">
        <v>6</v>
      </c>
      <c r="H1132" s="3">
        <v>283.26</v>
      </c>
      <c r="I1132" s="3">
        <v>184.75</v>
      </c>
      <c r="J1132" s="3">
        <f t="shared" si="51"/>
        <v>1699.56</v>
      </c>
      <c r="K1132" s="3">
        <f t="shared" si="52"/>
        <v>1108.5</v>
      </c>
      <c r="L1132" s="3">
        <f t="shared" si="53"/>
        <v>591.05999999999995</v>
      </c>
    </row>
    <row r="1133" spans="1:12" x14ac:dyDescent="0.3">
      <c r="A1133">
        <v>2059</v>
      </c>
      <c r="B1133" s="2">
        <v>45775</v>
      </c>
      <c r="C1133" t="s">
        <v>32</v>
      </c>
      <c r="D1133" t="s">
        <v>29</v>
      </c>
      <c r="E1133" t="s">
        <v>30</v>
      </c>
      <c r="F1133" t="s">
        <v>39</v>
      </c>
      <c r="G1133">
        <v>36</v>
      </c>
      <c r="H1133" s="3">
        <v>376.62</v>
      </c>
      <c r="I1133" s="3">
        <v>267.27</v>
      </c>
      <c r="J1133" s="3">
        <f t="shared" si="51"/>
        <v>13558.32</v>
      </c>
      <c r="K1133" s="3">
        <f t="shared" si="52"/>
        <v>9621.7199999999993</v>
      </c>
      <c r="L1133" s="3">
        <f t="shared" si="53"/>
        <v>3936.6000000000004</v>
      </c>
    </row>
    <row r="1134" spans="1:12" x14ac:dyDescent="0.3">
      <c r="A1134">
        <v>1019</v>
      </c>
      <c r="B1134" s="2">
        <v>45776</v>
      </c>
      <c r="C1134" t="s">
        <v>23</v>
      </c>
      <c r="D1134" t="s">
        <v>13</v>
      </c>
      <c r="E1134" t="s">
        <v>45</v>
      </c>
      <c r="F1134" t="s">
        <v>25</v>
      </c>
      <c r="G1134">
        <v>28</v>
      </c>
      <c r="H1134" s="3">
        <v>26.43</v>
      </c>
      <c r="I1134" s="3">
        <v>17.53</v>
      </c>
      <c r="J1134" s="3">
        <f t="shared" si="51"/>
        <v>740.04</v>
      </c>
      <c r="K1134" s="3">
        <f t="shared" si="52"/>
        <v>490.84000000000003</v>
      </c>
      <c r="L1134" s="3">
        <f t="shared" si="53"/>
        <v>249.19999999999993</v>
      </c>
    </row>
    <row r="1135" spans="1:12" x14ac:dyDescent="0.3">
      <c r="A1135">
        <v>1420</v>
      </c>
      <c r="B1135" s="2">
        <v>45776</v>
      </c>
      <c r="C1135" t="s">
        <v>26</v>
      </c>
      <c r="D1135" t="s">
        <v>13</v>
      </c>
      <c r="E1135" t="s">
        <v>14</v>
      </c>
      <c r="F1135" t="s">
        <v>28</v>
      </c>
      <c r="G1135">
        <v>9</v>
      </c>
      <c r="H1135" s="3">
        <v>51.42</v>
      </c>
      <c r="I1135" s="3">
        <v>35.81</v>
      </c>
      <c r="J1135" s="3">
        <f t="shared" si="51"/>
        <v>462.78000000000003</v>
      </c>
      <c r="K1135" s="3">
        <f t="shared" si="52"/>
        <v>322.29000000000002</v>
      </c>
      <c r="L1135" s="3">
        <f t="shared" si="53"/>
        <v>140.49</v>
      </c>
    </row>
    <row r="1136" spans="1:12" x14ac:dyDescent="0.3">
      <c r="A1136">
        <v>2047</v>
      </c>
      <c r="B1136" s="2">
        <v>45776</v>
      </c>
      <c r="C1136" t="s">
        <v>16</v>
      </c>
      <c r="D1136" t="s">
        <v>13</v>
      </c>
      <c r="E1136" t="s">
        <v>45</v>
      </c>
      <c r="F1136" t="s">
        <v>28</v>
      </c>
      <c r="G1136">
        <v>17</v>
      </c>
      <c r="H1136" s="3">
        <v>45.21</v>
      </c>
      <c r="I1136" s="3">
        <v>30.39</v>
      </c>
      <c r="J1136" s="3">
        <f t="shared" si="51"/>
        <v>768.57</v>
      </c>
      <c r="K1136" s="3">
        <f t="shared" si="52"/>
        <v>516.63</v>
      </c>
      <c r="L1136" s="3">
        <f t="shared" si="53"/>
        <v>251.94000000000005</v>
      </c>
    </row>
    <row r="1137" spans="1:12" x14ac:dyDescent="0.3">
      <c r="A1137">
        <v>2091</v>
      </c>
      <c r="B1137" s="2">
        <v>45776</v>
      </c>
      <c r="C1137" t="s">
        <v>32</v>
      </c>
      <c r="D1137" t="s">
        <v>29</v>
      </c>
      <c r="E1137" t="s">
        <v>30</v>
      </c>
      <c r="F1137" t="s">
        <v>19</v>
      </c>
      <c r="G1137">
        <v>28</v>
      </c>
      <c r="H1137" s="3">
        <v>363.38</v>
      </c>
      <c r="I1137" s="3">
        <v>212.32</v>
      </c>
      <c r="J1137" s="3">
        <f t="shared" si="51"/>
        <v>10174.64</v>
      </c>
      <c r="K1137" s="3">
        <f t="shared" si="52"/>
        <v>5944.96</v>
      </c>
      <c r="L1137" s="3">
        <f t="shared" si="53"/>
        <v>4229.6799999999994</v>
      </c>
    </row>
    <row r="1138" spans="1:12" x14ac:dyDescent="0.3">
      <c r="A1138">
        <v>1576</v>
      </c>
      <c r="B1138" s="2">
        <v>45777</v>
      </c>
      <c r="C1138" t="s">
        <v>32</v>
      </c>
      <c r="D1138" t="s">
        <v>20</v>
      </c>
      <c r="E1138" t="s">
        <v>21</v>
      </c>
      <c r="F1138" t="s">
        <v>22</v>
      </c>
      <c r="G1138">
        <v>19</v>
      </c>
      <c r="H1138" s="3">
        <v>253.79</v>
      </c>
      <c r="I1138" s="3">
        <v>159.86000000000001</v>
      </c>
      <c r="J1138" s="3">
        <f t="shared" si="51"/>
        <v>4822.01</v>
      </c>
      <c r="K1138" s="3">
        <f t="shared" si="52"/>
        <v>3037.34</v>
      </c>
      <c r="L1138" s="3">
        <f t="shared" si="53"/>
        <v>1784.67</v>
      </c>
    </row>
    <row r="1139" spans="1:12" x14ac:dyDescent="0.3">
      <c r="A1139">
        <v>2492</v>
      </c>
      <c r="B1139" s="2">
        <v>45777</v>
      </c>
      <c r="C1139" t="s">
        <v>23</v>
      </c>
      <c r="D1139" t="s">
        <v>17</v>
      </c>
      <c r="E1139" t="s">
        <v>44</v>
      </c>
      <c r="F1139" t="s">
        <v>25</v>
      </c>
      <c r="G1139">
        <v>17</v>
      </c>
      <c r="H1139" s="3">
        <v>79.099999999999994</v>
      </c>
      <c r="I1139" s="3">
        <v>58.74</v>
      </c>
      <c r="J1139" s="3">
        <f t="shared" si="51"/>
        <v>1344.6999999999998</v>
      </c>
      <c r="K1139" s="3">
        <f t="shared" si="52"/>
        <v>998.58</v>
      </c>
      <c r="L1139" s="3">
        <f t="shared" si="53"/>
        <v>346.11999999999978</v>
      </c>
    </row>
    <row r="1140" spans="1:12" x14ac:dyDescent="0.3">
      <c r="A1140">
        <v>2626</v>
      </c>
      <c r="B1140" s="2">
        <v>45778</v>
      </c>
      <c r="C1140" t="s">
        <v>32</v>
      </c>
      <c r="D1140" t="s">
        <v>17</v>
      </c>
      <c r="E1140" t="s">
        <v>35</v>
      </c>
      <c r="F1140" t="s">
        <v>22</v>
      </c>
      <c r="G1140">
        <v>5</v>
      </c>
      <c r="H1140" s="3">
        <v>569.66</v>
      </c>
      <c r="I1140" s="3">
        <v>331.68</v>
      </c>
      <c r="J1140" s="3">
        <f t="shared" si="51"/>
        <v>2848.2999999999997</v>
      </c>
      <c r="K1140" s="3">
        <f t="shared" si="52"/>
        <v>1658.4</v>
      </c>
      <c r="L1140" s="3">
        <f t="shared" si="53"/>
        <v>1189.8999999999996</v>
      </c>
    </row>
    <row r="1141" spans="1:12" x14ac:dyDescent="0.3">
      <c r="A1141">
        <v>1395</v>
      </c>
      <c r="B1141" s="2">
        <v>45779</v>
      </c>
      <c r="C1141" t="s">
        <v>16</v>
      </c>
      <c r="D1141" t="s">
        <v>17</v>
      </c>
      <c r="E1141" t="s">
        <v>35</v>
      </c>
      <c r="F1141" t="s">
        <v>25</v>
      </c>
      <c r="G1141">
        <v>6</v>
      </c>
      <c r="H1141" s="3">
        <v>465.08</v>
      </c>
      <c r="I1141" s="3">
        <v>336.83</v>
      </c>
      <c r="J1141" s="3">
        <f t="shared" si="51"/>
        <v>2790.48</v>
      </c>
      <c r="K1141" s="3">
        <f t="shared" si="52"/>
        <v>2020.98</v>
      </c>
      <c r="L1141" s="3">
        <f t="shared" si="53"/>
        <v>769.5</v>
      </c>
    </row>
    <row r="1142" spans="1:12" x14ac:dyDescent="0.3">
      <c r="A1142">
        <v>1412</v>
      </c>
      <c r="B1142" s="2">
        <v>45779</v>
      </c>
      <c r="C1142" t="s">
        <v>32</v>
      </c>
      <c r="D1142" t="s">
        <v>29</v>
      </c>
      <c r="E1142" t="s">
        <v>37</v>
      </c>
      <c r="F1142" t="s">
        <v>15</v>
      </c>
      <c r="G1142">
        <v>12</v>
      </c>
      <c r="H1142" s="3">
        <v>462.17</v>
      </c>
      <c r="I1142" s="3">
        <v>254.15</v>
      </c>
      <c r="J1142" s="3">
        <f t="shared" si="51"/>
        <v>5546.04</v>
      </c>
      <c r="K1142" s="3">
        <f t="shared" si="52"/>
        <v>3049.8</v>
      </c>
      <c r="L1142" s="3">
        <f t="shared" si="53"/>
        <v>2496.2399999999998</v>
      </c>
    </row>
    <row r="1143" spans="1:12" x14ac:dyDescent="0.3">
      <c r="A1143">
        <v>1555</v>
      </c>
      <c r="B1143" s="2">
        <v>45779</v>
      </c>
      <c r="C1143" t="s">
        <v>12</v>
      </c>
      <c r="D1143" t="s">
        <v>13</v>
      </c>
      <c r="E1143" t="s">
        <v>24</v>
      </c>
      <c r="F1143" t="s">
        <v>15</v>
      </c>
      <c r="G1143">
        <v>34</v>
      </c>
      <c r="H1143" s="3">
        <v>16.64</v>
      </c>
      <c r="I1143" s="3">
        <v>10.8</v>
      </c>
      <c r="J1143" s="3">
        <f t="shared" si="51"/>
        <v>565.76</v>
      </c>
      <c r="K1143" s="3">
        <f t="shared" si="52"/>
        <v>367.20000000000005</v>
      </c>
      <c r="L1143" s="3">
        <f t="shared" si="53"/>
        <v>198.55999999999995</v>
      </c>
    </row>
    <row r="1144" spans="1:12" x14ac:dyDescent="0.3">
      <c r="A1144">
        <v>1701</v>
      </c>
      <c r="B1144" s="2">
        <v>45779</v>
      </c>
      <c r="C1144" t="s">
        <v>16</v>
      </c>
      <c r="D1144" t="s">
        <v>17</v>
      </c>
      <c r="E1144" t="s">
        <v>27</v>
      </c>
      <c r="F1144" t="s">
        <v>19</v>
      </c>
      <c r="G1144">
        <v>2</v>
      </c>
      <c r="H1144" s="3">
        <v>290.97000000000003</v>
      </c>
      <c r="I1144" s="3">
        <v>187.64</v>
      </c>
      <c r="J1144" s="3">
        <f t="shared" si="51"/>
        <v>581.94000000000005</v>
      </c>
      <c r="K1144" s="3">
        <f t="shared" si="52"/>
        <v>375.28</v>
      </c>
      <c r="L1144" s="3">
        <f t="shared" si="53"/>
        <v>206.66000000000008</v>
      </c>
    </row>
    <row r="1145" spans="1:12" x14ac:dyDescent="0.3">
      <c r="A1145">
        <v>1066</v>
      </c>
      <c r="B1145" s="2">
        <v>45781</v>
      </c>
      <c r="C1145" t="s">
        <v>26</v>
      </c>
      <c r="D1145" t="s">
        <v>17</v>
      </c>
      <c r="E1145" t="s">
        <v>18</v>
      </c>
      <c r="F1145" t="s">
        <v>28</v>
      </c>
      <c r="G1145">
        <v>5</v>
      </c>
      <c r="H1145" s="3">
        <v>544.70000000000005</v>
      </c>
      <c r="I1145" s="3">
        <v>401.6</v>
      </c>
      <c r="J1145" s="3">
        <f t="shared" si="51"/>
        <v>2723.5</v>
      </c>
      <c r="K1145" s="3">
        <f t="shared" si="52"/>
        <v>2008</v>
      </c>
      <c r="L1145" s="3">
        <f t="shared" si="53"/>
        <v>715.5</v>
      </c>
    </row>
    <row r="1146" spans="1:12" x14ac:dyDescent="0.3">
      <c r="A1146">
        <v>1343</v>
      </c>
      <c r="B1146" s="2">
        <v>45781</v>
      </c>
      <c r="C1146" t="s">
        <v>23</v>
      </c>
      <c r="D1146" t="s">
        <v>13</v>
      </c>
      <c r="E1146" t="s">
        <v>45</v>
      </c>
      <c r="F1146" t="s">
        <v>19</v>
      </c>
      <c r="G1146">
        <v>4</v>
      </c>
      <c r="H1146" s="3">
        <v>51.13</v>
      </c>
      <c r="I1146" s="3">
        <v>31.73</v>
      </c>
      <c r="J1146" s="3">
        <f t="shared" si="51"/>
        <v>204.52</v>
      </c>
      <c r="K1146" s="3">
        <f t="shared" si="52"/>
        <v>126.92</v>
      </c>
      <c r="L1146" s="3">
        <f t="shared" si="53"/>
        <v>77.600000000000009</v>
      </c>
    </row>
    <row r="1147" spans="1:12" x14ac:dyDescent="0.3">
      <c r="A1147">
        <v>2503</v>
      </c>
      <c r="B1147" s="2">
        <v>45781</v>
      </c>
      <c r="C1147" t="s">
        <v>26</v>
      </c>
      <c r="D1147" t="s">
        <v>20</v>
      </c>
      <c r="E1147" t="s">
        <v>21</v>
      </c>
      <c r="F1147" t="s">
        <v>39</v>
      </c>
      <c r="G1147">
        <v>26</v>
      </c>
      <c r="H1147" s="3">
        <v>24.33</v>
      </c>
      <c r="I1147" s="3">
        <v>16.82</v>
      </c>
      <c r="J1147" s="3">
        <f t="shared" si="51"/>
        <v>632.57999999999993</v>
      </c>
      <c r="K1147" s="3">
        <f t="shared" si="52"/>
        <v>437.32</v>
      </c>
      <c r="L1147" s="3">
        <f t="shared" si="53"/>
        <v>195.25999999999993</v>
      </c>
    </row>
    <row r="1148" spans="1:12" x14ac:dyDescent="0.3">
      <c r="A1148">
        <v>2616</v>
      </c>
      <c r="B1148" s="2">
        <v>45781</v>
      </c>
      <c r="C1148" t="s">
        <v>23</v>
      </c>
      <c r="D1148" t="s">
        <v>29</v>
      </c>
      <c r="E1148" t="s">
        <v>41</v>
      </c>
      <c r="F1148" t="s">
        <v>19</v>
      </c>
      <c r="G1148">
        <v>21</v>
      </c>
      <c r="H1148" s="3">
        <v>123.54</v>
      </c>
      <c r="I1148" s="3">
        <v>83.67</v>
      </c>
      <c r="J1148" s="3">
        <f t="shared" si="51"/>
        <v>2594.34</v>
      </c>
      <c r="K1148" s="3">
        <f t="shared" si="52"/>
        <v>1757.07</v>
      </c>
      <c r="L1148" s="3">
        <f t="shared" si="53"/>
        <v>837.27000000000021</v>
      </c>
    </row>
    <row r="1149" spans="1:12" x14ac:dyDescent="0.3">
      <c r="A1149">
        <v>1179</v>
      </c>
      <c r="B1149" s="2">
        <v>45782</v>
      </c>
      <c r="C1149" t="s">
        <v>12</v>
      </c>
      <c r="D1149" t="s">
        <v>13</v>
      </c>
      <c r="E1149" t="s">
        <v>46</v>
      </c>
      <c r="F1149" t="s">
        <v>15</v>
      </c>
      <c r="G1149">
        <v>36</v>
      </c>
      <c r="H1149" s="3">
        <v>10.82</v>
      </c>
      <c r="I1149" s="3">
        <v>6.07</v>
      </c>
      <c r="J1149" s="3">
        <f t="shared" si="51"/>
        <v>389.52</v>
      </c>
      <c r="K1149" s="3">
        <f t="shared" si="52"/>
        <v>218.52</v>
      </c>
      <c r="L1149" s="3">
        <f t="shared" si="53"/>
        <v>170.99999999999997</v>
      </c>
    </row>
    <row r="1150" spans="1:12" x14ac:dyDescent="0.3">
      <c r="A1150">
        <v>1229</v>
      </c>
      <c r="B1150" s="2">
        <v>45782</v>
      </c>
      <c r="C1150" t="s">
        <v>16</v>
      </c>
      <c r="D1150" t="s">
        <v>20</v>
      </c>
      <c r="E1150" t="s">
        <v>21</v>
      </c>
      <c r="F1150" t="s">
        <v>22</v>
      </c>
      <c r="G1150">
        <v>24</v>
      </c>
      <c r="H1150" s="3">
        <v>276.02999999999997</v>
      </c>
      <c r="I1150" s="3">
        <v>145.56</v>
      </c>
      <c r="J1150" s="3">
        <f t="shared" si="51"/>
        <v>6624.7199999999993</v>
      </c>
      <c r="K1150" s="3">
        <f t="shared" si="52"/>
        <v>3493.44</v>
      </c>
      <c r="L1150" s="3">
        <f t="shared" si="53"/>
        <v>3131.2799999999993</v>
      </c>
    </row>
    <row r="1151" spans="1:12" x14ac:dyDescent="0.3">
      <c r="A1151">
        <v>1847</v>
      </c>
      <c r="B1151" s="2">
        <v>45782</v>
      </c>
      <c r="C1151" t="s">
        <v>26</v>
      </c>
      <c r="D1151" t="s">
        <v>20</v>
      </c>
      <c r="E1151" t="s">
        <v>42</v>
      </c>
      <c r="F1151" t="s">
        <v>15</v>
      </c>
      <c r="G1151">
        <v>8</v>
      </c>
      <c r="H1151" s="3">
        <v>137.06</v>
      </c>
      <c r="I1151" s="3">
        <v>79.489999999999995</v>
      </c>
      <c r="J1151" s="3">
        <f t="shared" si="51"/>
        <v>1096.48</v>
      </c>
      <c r="K1151" s="3">
        <f t="shared" si="52"/>
        <v>635.91999999999996</v>
      </c>
      <c r="L1151" s="3">
        <f t="shared" si="53"/>
        <v>460.56000000000006</v>
      </c>
    </row>
    <row r="1152" spans="1:12" x14ac:dyDescent="0.3">
      <c r="A1152">
        <v>2088</v>
      </c>
      <c r="B1152" s="2">
        <v>45784</v>
      </c>
      <c r="C1152" t="s">
        <v>26</v>
      </c>
      <c r="D1152" t="s">
        <v>29</v>
      </c>
      <c r="E1152" t="s">
        <v>41</v>
      </c>
      <c r="F1152" t="s">
        <v>19</v>
      </c>
      <c r="G1152">
        <v>11</v>
      </c>
      <c r="H1152" s="3">
        <v>124.7</v>
      </c>
      <c r="I1152" s="3">
        <v>73.150000000000006</v>
      </c>
      <c r="J1152" s="3">
        <f t="shared" si="51"/>
        <v>1371.7</v>
      </c>
      <c r="K1152" s="3">
        <f t="shared" si="52"/>
        <v>804.65000000000009</v>
      </c>
      <c r="L1152" s="3">
        <f t="shared" si="53"/>
        <v>567.04999999999995</v>
      </c>
    </row>
    <row r="1153" spans="1:12" x14ac:dyDescent="0.3">
      <c r="A1153">
        <v>2168</v>
      </c>
      <c r="B1153" s="2">
        <v>45784</v>
      </c>
      <c r="C1153" t="s">
        <v>23</v>
      </c>
      <c r="D1153" t="s">
        <v>29</v>
      </c>
      <c r="E1153" t="s">
        <v>37</v>
      </c>
      <c r="F1153" t="s">
        <v>36</v>
      </c>
      <c r="G1153">
        <v>29</v>
      </c>
      <c r="H1153" s="3">
        <v>190.38</v>
      </c>
      <c r="I1153" s="3">
        <v>130.65</v>
      </c>
      <c r="J1153" s="3">
        <f t="shared" si="51"/>
        <v>5521.0199999999995</v>
      </c>
      <c r="K1153" s="3">
        <f t="shared" si="52"/>
        <v>3788.8500000000004</v>
      </c>
      <c r="L1153" s="3">
        <f t="shared" si="53"/>
        <v>1732.1699999999992</v>
      </c>
    </row>
    <row r="1154" spans="1:12" x14ac:dyDescent="0.3">
      <c r="A1154">
        <v>1515</v>
      </c>
      <c r="B1154" s="2">
        <v>45785</v>
      </c>
      <c r="C1154" t="s">
        <v>23</v>
      </c>
      <c r="D1154" t="s">
        <v>17</v>
      </c>
      <c r="E1154" t="s">
        <v>40</v>
      </c>
      <c r="F1154" t="s">
        <v>39</v>
      </c>
      <c r="G1154">
        <v>38</v>
      </c>
      <c r="H1154" s="3">
        <v>422.16</v>
      </c>
      <c r="I1154" s="3">
        <v>284.33999999999997</v>
      </c>
      <c r="J1154" s="3">
        <f t="shared" ref="J1154:J1217" si="54">G1154*H1154</f>
        <v>16042.080000000002</v>
      </c>
      <c r="K1154" s="3">
        <f t="shared" ref="K1154:K1217" si="55">G1154*I1154</f>
        <v>10804.919999999998</v>
      </c>
      <c r="L1154" s="3">
        <f t="shared" ref="L1154:L1217" si="56">J1154-K1154</f>
        <v>5237.1600000000035</v>
      </c>
    </row>
    <row r="1155" spans="1:12" x14ac:dyDescent="0.3">
      <c r="A1155">
        <v>2659</v>
      </c>
      <c r="B1155" s="2">
        <v>45785</v>
      </c>
      <c r="C1155" t="s">
        <v>26</v>
      </c>
      <c r="D1155" t="s">
        <v>17</v>
      </c>
      <c r="E1155" t="s">
        <v>40</v>
      </c>
      <c r="F1155" t="s">
        <v>22</v>
      </c>
      <c r="G1155">
        <v>6</v>
      </c>
      <c r="H1155" s="3">
        <v>157.58000000000001</v>
      </c>
      <c r="I1155" s="3">
        <v>97.06</v>
      </c>
      <c r="J1155" s="3">
        <f t="shared" si="54"/>
        <v>945.48</v>
      </c>
      <c r="K1155" s="3">
        <f t="shared" si="55"/>
        <v>582.36</v>
      </c>
      <c r="L1155" s="3">
        <f t="shared" si="56"/>
        <v>363.12</v>
      </c>
    </row>
    <row r="1156" spans="1:12" x14ac:dyDescent="0.3">
      <c r="A1156">
        <v>1345</v>
      </c>
      <c r="B1156" s="2">
        <v>45786</v>
      </c>
      <c r="C1156" t="s">
        <v>23</v>
      </c>
      <c r="D1156" t="s">
        <v>17</v>
      </c>
      <c r="E1156" t="s">
        <v>18</v>
      </c>
      <c r="F1156" t="s">
        <v>28</v>
      </c>
      <c r="G1156">
        <v>3</v>
      </c>
      <c r="H1156" s="3">
        <v>113.2</v>
      </c>
      <c r="I1156" s="3">
        <v>71.45</v>
      </c>
      <c r="J1156" s="3">
        <f t="shared" si="54"/>
        <v>339.6</v>
      </c>
      <c r="K1156" s="3">
        <f t="shared" si="55"/>
        <v>214.35000000000002</v>
      </c>
      <c r="L1156" s="3">
        <f t="shared" si="56"/>
        <v>125.25</v>
      </c>
    </row>
    <row r="1157" spans="1:12" x14ac:dyDescent="0.3">
      <c r="A1157">
        <v>2518</v>
      </c>
      <c r="B1157" s="2">
        <v>45786</v>
      </c>
      <c r="C1157" t="s">
        <v>12</v>
      </c>
      <c r="D1157" t="s">
        <v>29</v>
      </c>
      <c r="E1157" t="s">
        <v>41</v>
      </c>
      <c r="F1157" t="s">
        <v>19</v>
      </c>
      <c r="G1157">
        <v>37</v>
      </c>
      <c r="H1157" s="3">
        <v>173.09</v>
      </c>
      <c r="I1157" s="3">
        <v>101.4</v>
      </c>
      <c r="J1157" s="3">
        <f t="shared" si="54"/>
        <v>6404.33</v>
      </c>
      <c r="K1157" s="3">
        <f t="shared" si="55"/>
        <v>3751.8</v>
      </c>
      <c r="L1157" s="3">
        <f t="shared" si="56"/>
        <v>2652.5299999999997</v>
      </c>
    </row>
    <row r="1158" spans="1:12" x14ac:dyDescent="0.3">
      <c r="A1158">
        <v>2662</v>
      </c>
      <c r="B1158" s="2">
        <v>45787</v>
      </c>
      <c r="C1158" t="s">
        <v>32</v>
      </c>
      <c r="D1158" t="s">
        <v>17</v>
      </c>
      <c r="E1158" t="s">
        <v>35</v>
      </c>
      <c r="F1158" t="s">
        <v>15</v>
      </c>
      <c r="G1158">
        <v>36</v>
      </c>
      <c r="H1158" s="3">
        <v>657.56</v>
      </c>
      <c r="I1158" s="3">
        <v>459.87</v>
      </c>
      <c r="J1158" s="3">
        <f t="shared" si="54"/>
        <v>23672.159999999996</v>
      </c>
      <c r="K1158" s="3">
        <f t="shared" si="55"/>
        <v>16555.32</v>
      </c>
      <c r="L1158" s="3">
        <f t="shared" si="56"/>
        <v>7116.8399999999965</v>
      </c>
    </row>
    <row r="1159" spans="1:12" x14ac:dyDescent="0.3">
      <c r="A1159">
        <v>2752</v>
      </c>
      <c r="B1159" s="2">
        <v>45787</v>
      </c>
      <c r="C1159" t="s">
        <v>12</v>
      </c>
      <c r="D1159" t="s">
        <v>17</v>
      </c>
      <c r="E1159" t="s">
        <v>35</v>
      </c>
      <c r="F1159" t="s">
        <v>19</v>
      </c>
      <c r="G1159">
        <v>9</v>
      </c>
      <c r="H1159" s="3">
        <v>427.79</v>
      </c>
      <c r="I1159" s="3">
        <v>250.16</v>
      </c>
      <c r="J1159" s="3">
        <f t="shared" si="54"/>
        <v>3850.11</v>
      </c>
      <c r="K1159" s="3">
        <f t="shared" si="55"/>
        <v>2251.44</v>
      </c>
      <c r="L1159" s="3">
        <f t="shared" si="56"/>
        <v>1598.67</v>
      </c>
    </row>
    <row r="1160" spans="1:12" x14ac:dyDescent="0.3">
      <c r="A1160">
        <v>1022</v>
      </c>
      <c r="B1160" s="2">
        <v>45789</v>
      </c>
      <c r="C1160" t="s">
        <v>23</v>
      </c>
      <c r="D1160" t="s">
        <v>13</v>
      </c>
      <c r="E1160" t="s">
        <v>14</v>
      </c>
      <c r="F1160" t="s">
        <v>22</v>
      </c>
      <c r="G1160">
        <v>11</v>
      </c>
      <c r="H1160" s="3">
        <v>59.16</v>
      </c>
      <c r="I1160" s="3">
        <v>36.31</v>
      </c>
      <c r="J1160" s="3">
        <f t="shared" si="54"/>
        <v>650.76</v>
      </c>
      <c r="K1160" s="3">
        <f t="shared" si="55"/>
        <v>399.41</v>
      </c>
      <c r="L1160" s="3">
        <f t="shared" si="56"/>
        <v>251.34999999999997</v>
      </c>
    </row>
    <row r="1161" spans="1:12" x14ac:dyDescent="0.3">
      <c r="A1161">
        <v>2654</v>
      </c>
      <c r="B1161" s="2">
        <v>45789</v>
      </c>
      <c r="C1161" t="s">
        <v>26</v>
      </c>
      <c r="D1161" t="s">
        <v>29</v>
      </c>
      <c r="E1161" t="s">
        <v>41</v>
      </c>
      <c r="F1161" t="s">
        <v>19</v>
      </c>
      <c r="G1161">
        <v>1</v>
      </c>
      <c r="H1161" s="3">
        <v>434.72</v>
      </c>
      <c r="I1161" s="3">
        <v>307.62</v>
      </c>
      <c r="J1161" s="3">
        <f t="shared" si="54"/>
        <v>434.72</v>
      </c>
      <c r="K1161" s="3">
        <f t="shared" si="55"/>
        <v>307.62</v>
      </c>
      <c r="L1161" s="3">
        <f t="shared" si="56"/>
        <v>127.10000000000002</v>
      </c>
    </row>
    <row r="1162" spans="1:12" x14ac:dyDescent="0.3">
      <c r="A1162">
        <v>2756</v>
      </c>
      <c r="B1162" s="2">
        <v>45789</v>
      </c>
      <c r="C1162" t="s">
        <v>23</v>
      </c>
      <c r="D1162" t="s">
        <v>29</v>
      </c>
      <c r="E1162" t="s">
        <v>43</v>
      </c>
      <c r="F1162" t="s">
        <v>28</v>
      </c>
      <c r="G1162">
        <v>19</v>
      </c>
      <c r="H1162" s="3">
        <v>80.5</v>
      </c>
      <c r="I1162" s="3">
        <v>51.55</v>
      </c>
      <c r="J1162" s="3">
        <f t="shared" si="54"/>
        <v>1529.5</v>
      </c>
      <c r="K1162" s="3">
        <f t="shared" si="55"/>
        <v>979.44999999999993</v>
      </c>
      <c r="L1162" s="3">
        <f t="shared" si="56"/>
        <v>550.05000000000007</v>
      </c>
    </row>
    <row r="1163" spans="1:12" x14ac:dyDescent="0.3">
      <c r="A1163">
        <v>2181</v>
      </c>
      <c r="B1163" s="2">
        <v>45790</v>
      </c>
      <c r="C1163" t="s">
        <v>32</v>
      </c>
      <c r="D1163" t="s">
        <v>13</v>
      </c>
      <c r="E1163" t="s">
        <v>46</v>
      </c>
      <c r="F1163" t="s">
        <v>25</v>
      </c>
      <c r="G1163">
        <v>6</v>
      </c>
      <c r="H1163" s="3">
        <v>37.39</v>
      </c>
      <c r="I1163" s="3">
        <v>26.82</v>
      </c>
      <c r="J1163" s="3">
        <f t="shared" si="54"/>
        <v>224.34</v>
      </c>
      <c r="K1163" s="3">
        <f t="shared" si="55"/>
        <v>160.92000000000002</v>
      </c>
      <c r="L1163" s="3">
        <f t="shared" si="56"/>
        <v>63.419999999999987</v>
      </c>
    </row>
    <row r="1164" spans="1:12" x14ac:dyDescent="0.3">
      <c r="A1164">
        <v>1672</v>
      </c>
      <c r="B1164" s="2">
        <v>45791</v>
      </c>
      <c r="C1164" t="s">
        <v>23</v>
      </c>
      <c r="D1164" t="s">
        <v>20</v>
      </c>
      <c r="E1164" t="s">
        <v>21</v>
      </c>
      <c r="F1164" t="s">
        <v>39</v>
      </c>
      <c r="G1164">
        <v>4</v>
      </c>
      <c r="H1164" s="3">
        <v>37.78</v>
      </c>
      <c r="I1164" s="3">
        <v>27.32</v>
      </c>
      <c r="J1164" s="3">
        <f t="shared" si="54"/>
        <v>151.12</v>
      </c>
      <c r="K1164" s="3">
        <f t="shared" si="55"/>
        <v>109.28</v>
      </c>
      <c r="L1164" s="3">
        <f t="shared" si="56"/>
        <v>41.84</v>
      </c>
    </row>
    <row r="1165" spans="1:12" x14ac:dyDescent="0.3">
      <c r="A1165">
        <v>1838</v>
      </c>
      <c r="B1165" s="2">
        <v>45791</v>
      </c>
      <c r="C1165" t="s">
        <v>26</v>
      </c>
      <c r="D1165" t="s">
        <v>13</v>
      </c>
      <c r="E1165" t="s">
        <v>31</v>
      </c>
      <c r="F1165" t="s">
        <v>39</v>
      </c>
      <c r="G1165">
        <v>31</v>
      </c>
      <c r="H1165" s="3">
        <v>20.059999999999999</v>
      </c>
      <c r="I1165" s="3">
        <v>14.1</v>
      </c>
      <c r="J1165" s="3">
        <f t="shared" si="54"/>
        <v>621.86</v>
      </c>
      <c r="K1165" s="3">
        <f t="shared" si="55"/>
        <v>437.09999999999997</v>
      </c>
      <c r="L1165" s="3">
        <f t="shared" si="56"/>
        <v>184.76000000000005</v>
      </c>
    </row>
    <row r="1166" spans="1:12" x14ac:dyDescent="0.3">
      <c r="A1166">
        <v>1924</v>
      </c>
      <c r="B1166" s="2">
        <v>45791</v>
      </c>
      <c r="C1166" t="s">
        <v>23</v>
      </c>
      <c r="D1166" t="s">
        <v>20</v>
      </c>
      <c r="E1166" t="s">
        <v>21</v>
      </c>
      <c r="F1166" t="s">
        <v>15</v>
      </c>
      <c r="G1166">
        <v>21</v>
      </c>
      <c r="H1166" s="3">
        <v>178.8</v>
      </c>
      <c r="I1166" s="3">
        <v>106.12</v>
      </c>
      <c r="J1166" s="3">
        <f t="shared" si="54"/>
        <v>3754.8</v>
      </c>
      <c r="K1166" s="3">
        <f t="shared" si="55"/>
        <v>2228.52</v>
      </c>
      <c r="L1166" s="3">
        <f t="shared" si="56"/>
        <v>1526.2800000000002</v>
      </c>
    </row>
    <row r="1167" spans="1:12" x14ac:dyDescent="0.3">
      <c r="A1167">
        <v>2221</v>
      </c>
      <c r="B1167" s="2">
        <v>45791</v>
      </c>
      <c r="C1167" t="s">
        <v>32</v>
      </c>
      <c r="D1167" t="s">
        <v>17</v>
      </c>
      <c r="E1167" t="s">
        <v>18</v>
      </c>
      <c r="F1167" t="s">
        <v>22</v>
      </c>
      <c r="G1167">
        <v>29</v>
      </c>
      <c r="H1167" s="3">
        <v>168.27</v>
      </c>
      <c r="I1167" s="3">
        <v>90.82</v>
      </c>
      <c r="J1167" s="3">
        <f t="shared" si="54"/>
        <v>4879.83</v>
      </c>
      <c r="K1167" s="3">
        <f t="shared" si="55"/>
        <v>2633.7799999999997</v>
      </c>
      <c r="L1167" s="3">
        <f t="shared" si="56"/>
        <v>2246.0500000000002</v>
      </c>
    </row>
    <row r="1168" spans="1:12" x14ac:dyDescent="0.3">
      <c r="A1168">
        <v>1950</v>
      </c>
      <c r="B1168" s="2">
        <v>45792</v>
      </c>
      <c r="C1168" t="s">
        <v>12</v>
      </c>
      <c r="D1168" t="s">
        <v>20</v>
      </c>
      <c r="E1168" t="s">
        <v>42</v>
      </c>
      <c r="F1168" t="s">
        <v>22</v>
      </c>
      <c r="G1168">
        <v>2</v>
      </c>
      <c r="H1168" s="3">
        <v>167.08</v>
      </c>
      <c r="I1168" s="3">
        <v>90.53</v>
      </c>
      <c r="J1168" s="3">
        <f t="shared" si="54"/>
        <v>334.16</v>
      </c>
      <c r="K1168" s="3">
        <f t="shared" si="55"/>
        <v>181.06</v>
      </c>
      <c r="L1168" s="3">
        <f t="shared" si="56"/>
        <v>153.10000000000002</v>
      </c>
    </row>
    <row r="1169" spans="1:12" x14ac:dyDescent="0.3">
      <c r="A1169">
        <v>2222</v>
      </c>
      <c r="B1169" s="2">
        <v>45792</v>
      </c>
      <c r="C1169" t="s">
        <v>26</v>
      </c>
      <c r="D1169" t="s">
        <v>13</v>
      </c>
      <c r="E1169" t="s">
        <v>46</v>
      </c>
      <c r="F1169" t="s">
        <v>33</v>
      </c>
      <c r="G1169">
        <v>11</v>
      </c>
      <c r="H1169" s="3">
        <v>17.62</v>
      </c>
      <c r="I1169" s="3">
        <v>10.56</v>
      </c>
      <c r="J1169" s="3">
        <f t="shared" si="54"/>
        <v>193.82000000000002</v>
      </c>
      <c r="K1169" s="3">
        <f t="shared" si="55"/>
        <v>116.16000000000001</v>
      </c>
      <c r="L1169" s="3">
        <f t="shared" si="56"/>
        <v>77.660000000000011</v>
      </c>
    </row>
    <row r="1170" spans="1:12" x14ac:dyDescent="0.3">
      <c r="A1170">
        <v>1100</v>
      </c>
      <c r="B1170" s="2">
        <v>45793</v>
      </c>
      <c r="C1170" t="s">
        <v>16</v>
      </c>
      <c r="D1170" t="s">
        <v>20</v>
      </c>
      <c r="E1170" t="s">
        <v>38</v>
      </c>
      <c r="F1170" t="s">
        <v>22</v>
      </c>
      <c r="G1170">
        <v>24</v>
      </c>
      <c r="H1170" s="3">
        <v>121.55</v>
      </c>
      <c r="I1170" s="3">
        <v>90.58</v>
      </c>
      <c r="J1170" s="3">
        <f t="shared" si="54"/>
        <v>2917.2</v>
      </c>
      <c r="K1170" s="3">
        <f t="shared" si="55"/>
        <v>2173.92</v>
      </c>
      <c r="L1170" s="3">
        <f t="shared" si="56"/>
        <v>743.27999999999975</v>
      </c>
    </row>
    <row r="1171" spans="1:12" x14ac:dyDescent="0.3">
      <c r="A1171">
        <v>1241</v>
      </c>
      <c r="B1171" s="2">
        <v>45793</v>
      </c>
      <c r="C1171" t="s">
        <v>32</v>
      </c>
      <c r="D1171" t="s">
        <v>13</v>
      </c>
      <c r="E1171" t="s">
        <v>24</v>
      </c>
      <c r="F1171" t="s">
        <v>33</v>
      </c>
      <c r="G1171">
        <v>29</v>
      </c>
      <c r="H1171" s="3">
        <v>52.33</v>
      </c>
      <c r="I1171" s="3">
        <v>28.72</v>
      </c>
      <c r="J1171" s="3">
        <f t="shared" si="54"/>
        <v>1517.57</v>
      </c>
      <c r="K1171" s="3">
        <f t="shared" si="55"/>
        <v>832.88</v>
      </c>
      <c r="L1171" s="3">
        <f t="shared" si="56"/>
        <v>684.68999999999994</v>
      </c>
    </row>
    <row r="1172" spans="1:12" x14ac:dyDescent="0.3">
      <c r="A1172">
        <v>1249</v>
      </c>
      <c r="B1172" s="2">
        <v>45793</v>
      </c>
      <c r="C1172" t="s">
        <v>12</v>
      </c>
      <c r="D1172" t="s">
        <v>29</v>
      </c>
      <c r="E1172" t="s">
        <v>41</v>
      </c>
      <c r="F1172" t="s">
        <v>36</v>
      </c>
      <c r="G1172">
        <v>29</v>
      </c>
      <c r="H1172" s="3">
        <v>402.93</v>
      </c>
      <c r="I1172" s="3">
        <v>276.99</v>
      </c>
      <c r="J1172" s="3">
        <f t="shared" si="54"/>
        <v>11684.97</v>
      </c>
      <c r="K1172" s="3">
        <f t="shared" si="55"/>
        <v>8032.71</v>
      </c>
      <c r="L1172" s="3">
        <f t="shared" si="56"/>
        <v>3652.2599999999993</v>
      </c>
    </row>
    <row r="1173" spans="1:12" x14ac:dyDescent="0.3">
      <c r="A1173">
        <v>2061</v>
      </c>
      <c r="B1173" s="2">
        <v>45793</v>
      </c>
      <c r="C1173" t="s">
        <v>32</v>
      </c>
      <c r="D1173" t="s">
        <v>17</v>
      </c>
      <c r="E1173" t="s">
        <v>35</v>
      </c>
      <c r="F1173" t="s">
        <v>36</v>
      </c>
      <c r="G1173">
        <v>23</v>
      </c>
      <c r="H1173" s="3">
        <v>209.53</v>
      </c>
      <c r="I1173" s="3">
        <v>122.89</v>
      </c>
      <c r="J1173" s="3">
        <f t="shared" si="54"/>
        <v>4819.1899999999996</v>
      </c>
      <c r="K1173" s="3">
        <f t="shared" si="55"/>
        <v>2826.47</v>
      </c>
      <c r="L1173" s="3">
        <f t="shared" si="56"/>
        <v>1992.7199999999998</v>
      </c>
    </row>
    <row r="1174" spans="1:12" x14ac:dyDescent="0.3">
      <c r="A1174">
        <v>1544</v>
      </c>
      <c r="B1174" s="2">
        <v>45794</v>
      </c>
      <c r="C1174" t="s">
        <v>23</v>
      </c>
      <c r="D1174" t="s">
        <v>20</v>
      </c>
      <c r="E1174" t="s">
        <v>21</v>
      </c>
      <c r="F1174" t="s">
        <v>25</v>
      </c>
      <c r="G1174">
        <v>35</v>
      </c>
      <c r="H1174" s="3">
        <v>238.35</v>
      </c>
      <c r="I1174" s="3">
        <v>126.4</v>
      </c>
      <c r="J1174" s="3">
        <f t="shared" si="54"/>
        <v>8342.25</v>
      </c>
      <c r="K1174" s="3">
        <f t="shared" si="55"/>
        <v>4424</v>
      </c>
      <c r="L1174" s="3">
        <f t="shared" si="56"/>
        <v>3918.25</v>
      </c>
    </row>
    <row r="1175" spans="1:12" x14ac:dyDescent="0.3">
      <c r="A1175">
        <v>1660</v>
      </c>
      <c r="B1175" s="2">
        <v>45794</v>
      </c>
      <c r="C1175" t="s">
        <v>23</v>
      </c>
      <c r="D1175" t="s">
        <v>29</v>
      </c>
      <c r="E1175" t="s">
        <v>37</v>
      </c>
      <c r="F1175" t="s">
        <v>33</v>
      </c>
      <c r="G1175">
        <v>7</v>
      </c>
      <c r="H1175" s="3">
        <v>285.64</v>
      </c>
      <c r="I1175" s="3">
        <v>176.84</v>
      </c>
      <c r="J1175" s="3">
        <f t="shared" si="54"/>
        <v>1999.48</v>
      </c>
      <c r="K1175" s="3">
        <f t="shared" si="55"/>
        <v>1237.8800000000001</v>
      </c>
      <c r="L1175" s="3">
        <f t="shared" si="56"/>
        <v>761.59999999999991</v>
      </c>
    </row>
    <row r="1176" spans="1:12" x14ac:dyDescent="0.3">
      <c r="A1176">
        <v>2065</v>
      </c>
      <c r="B1176" s="2">
        <v>45794</v>
      </c>
      <c r="C1176" t="s">
        <v>12</v>
      </c>
      <c r="D1176" t="s">
        <v>20</v>
      </c>
      <c r="E1176" t="s">
        <v>42</v>
      </c>
      <c r="F1176" t="s">
        <v>22</v>
      </c>
      <c r="G1176">
        <v>24</v>
      </c>
      <c r="H1176" s="3">
        <v>226.13</v>
      </c>
      <c r="I1176" s="3">
        <v>162.30000000000001</v>
      </c>
      <c r="J1176" s="3">
        <f t="shared" si="54"/>
        <v>5427.12</v>
      </c>
      <c r="K1176" s="3">
        <f t="shared" si="55"/>
        <v>3895.2000000000003</v>
      </c>
      <c r="L1176" s="3">
        <f t="shared" si="56"/>
        <v>1531.9199999999996</v>
      </c>
    </row>
    <row r="1177" spans="1:12" x14ac:dyDescent="0.3">
      <c r="A1177">
        <v>2212</v>
      </c>
      <c r="B1177" s="2">
        <v>45794</v>
      </c>
      <c r="C1177" t="s">
        <v>12</v>
      </c>
      <c r="D1177" t="s">
        <v>20</v>
      </c>
      <c r="E1177" t="s">
        <v>42</v>
      </c>
      <c r="F1177" t="s">
        <v>33</v>
      </c>
      <c r="G1177">
        <v>4</v>
      </c>
      <c r="H1177" s="3">
        <v>274.70999999999998</v>
      </c>
      <c r="I1177" s="3">
        <v>185.95</v>
      </c>
      <c r="J1177" s="3">
        <f t="shared" si="54"/>
        <v>1098.8399999999999</v>
      </c>
      <c r="K1177" s="3">
        <f t="shared" si="55"/>
        <v>743.8</v>
      </c>
      <c r="L1177" s="3">
        <f t="shared" si="56"/>
        <v>355.03999999999996</v>
      </c>
    </row>
    <row r="1178" spans="1:12" x14ac:dyDescent="0.3">
      <c r="A1178">
        <v>2268</v>
      </c>
      <c r="B1178" s="2">
        <v>45794</v>
      </c>
      <c r="C1178" t="s">
        <v>26</v>
      </c>
      <c r="D1178" t="s">
        <v>29</v>
      </c>
      <c r="E1178" t="s">
        <v>37</v>
      </c>
      <c r="F1178" t="s">
        <v>33</v>
      </c>
      <c r="G1178">
        <v>20</v>
      </c>
      <c r="H1178" s="3">
        <v>131.18</v>
      </c>
      <c r="I1178" s="3">
        <v>74.83</v>
      </c>
      <c r="J1178" s="3">
        <f t="shared" si="54"/>
        <v>2623.6000000000004</v>
      </c>
      <c r="K1178" s="3">
        <f t="shared" si="55"/>
        <v>1496.6</v>
      </c>
      <c r="L1178" s="3">
        <f t="shared" si="56"/>
        <v>1127.0000000000005</v>
      </c>
    </row>
    <row r="1179" spans="1:12" x14ac:dyDescent="0.3">
      <c r="A1179">
        <v>2346</v>
      </c>
      <c r="B1179" s="2">
        <v>45794</v>
      </c>
      <c r="C1179" t="s">
        <v>23</v>
      </c>
      <c r="D1179" t="s">
        <v>20</v>
      </c>
      <c r="E1179" t="s">
        <v>21</v>
      </c>
      <c r="F1179" t="s">
        <v>25</v>
      </c>
      <c r="G1179">
        <v>28</v>
      </c>
      <c r="H1179" s="3">
        <v>299.19</v>
      </c>
      <c r="I1179" s="3">
        <v>185.39</v>
      </c>
      <c r="J1179" s="3">
        <f t="shared" si="54"/>
        <v>8377.32</v>
      </c>
      <c r="K1179" s="3">
        <f t="shared" si="55"/>
        <v>5190.92</v>
      </c>
      <c r="L1179" s="3">
        <f t="shared" si="56"/>
        <v>3186.3999999999996</v>
      </c>
    </row>
    <row r="1180" spans="1:12" x14ac:dyDescent="0.3">
      <c r="A1180">
        <v>1075</v>
      </c>
      <c r="B1180" s="2">
        <v>45795</v>
      </c>
      <c r="C1180" t="s">
        <v>26</v>
      </c>
      <c r="D1180" t="s">
        <v>20</v>
      </c>
      <c r="E1180" t="s">
        <v>38</v>
      </c>
      <c r="F1180" t="s">
        <v>36</v>
      </c>
      <c r="G1180">
        <v>22</v>
      </c>
      <c r="H1180" s="3">
        <v>135.26</v>
      </c>
      <c r="I1180" s="3">
        <v>84.38</v>
      </c>
      <c r="J1180" s="3">
        <f t="shared" si="54"/>
        <v>2975.72</v>
      </c>
      <c r="K1180" s="3">
        <f t="shared" si="55"/>
        <v>1856.36</v>
      </c>
      <c r="L1180" s="3">
        <f t="shared" si="56"/>
        <v>1119.3599999999999</v>
      </c>
    </row>
    <row r="1181" spans="1:12" x14ac:dyDescent="0.3">
      <c r="A1181">
        <v>1637</v>
      </c>
      <c r="B1181" s="2">
        <v>45795</v>
      </c>
      <c r="C1181" t="s">
        <v>23</v>
      </c>
      <c r="D1181" t="s">
        <v>20</v>
      </c>
      <c r="E1181" t="s">
        <v>38</v>
      </c>
      <c r="F1181" t="s">
        <v>36</v>
      </c>
      <c r="G1181">
        <v>7</v>
      </c>
      <c r="H1181" s="3">
        <v>118.52</v>
      </c>
      <c r="I1181" s="3">
        <v>77.099999999999994</v>
      </c>
      <c r="J1181" s="3">
        <f t="shared" si="54"/>
        <v>829.64</v>
      </c>
      <c r="K1181" s="3">
        <f t="shared" si="55"/>
        <v>539.69999999999993</v>
      </c>
      <c r="L1181" s="3">
        <f t="shared" si="56"/>
        <v>289.94000000000005</v>
      </c>
    </row>
    <row r="1182" spans="1:12" x14ac:dyDescent="0.3">
      <c r="A1182">
        <v>1849</v>
      </c>
      <c r="B1182" s="2">
        <v>45795</v>
      </c>
      <c r="C1182" t="s">
        <v>32</v>
      </c>
      <c r="D1182" t="s">
        <v>29</v>
      </c>
      <c r="E1182" t="s">
        <v>43</v>
      </c>
      <c r="F1182" t="s">
        <v>25</v>
      </c>
      <c r="G1182">
        <v>7</v>
      </c>
      <c r="H1182" s="3">
        <v>403.59</v>
      </c>
      <c r="I1182" s="3">
        <v>238.18</v>
      </c>
      <c r="J1182" s="3">
        <f t="shared" si="54"/>
        <v>2825.1299999999997</v>
      </c>
      <c r="K1182" s="3">
        <f t="shared" si="55"/>
        <v>1667.26</v>
      </c>
      <c r="L1182" s="3">
        <f t="shared" si="56"/>
        <v>1157.8699999999997</v>
      </c>
    </row>
    <row r="1183" spans="1:12" x14ac:dyDescent="0.3">
      <c r="A1183">
        <v>2744</v>
      </c>
      <c r="B1183" s="2">
        <v>45795</v>
      </c>
      <c r="C1183" t="s">
        <v>32</v>
      </c>
      <c r="D1183" t="s">
        <v>17</v>
      </c>
      <c r="E1183" t="s">
        <v>44</v>
      </c>
      <c r="F1183" t="s">
        <v>22</v>
      </c>
      <c r="G1183">
        <v>32</v>
      </c>
      <c r="H1183" s="3">
        <v>621.96</v>
      </c>
      <c r="I1183" s="3">
        <v>329.95</v>
      </c>
      <c r="J1183" s="3">
        <f t="shared" si="54"/>
        <v>19902.72</v>
      </c>
      <c r="K1183" s="3">
        <f t="shared" si="55"/>
        <v>10558.4</v>
      </c>
      <c r="L1183" s="3">
        <f t="shared" si="56"/>
        <v>9344.3200000000015</v>
      </c>
    </row>
    <row r="1184" spans="1:12" x14ac:dyDescent="0.3">
      <c r="A1184">
        <v>1592</v>
      </c>
      <c r="B1184" s="2">
        <v>45796</v>
      </c>
      <c r="C1184" t="s">
        <v>26</v>
      </c>
      <c r="D1184" t="s">
        <v>29</v>
      </c>
      <c r="E1184" t="s">
        <v>41</v>
      </c>
      <c r="F1184" t="s">
        <v>36</v>
      </c>
      <c r="G1184">
        <v>17</v>
      </c>
      <c r="H1184" s="3">
        <v>371.58</v>
      </c>
      <c r="I1184" s="3">
        <v>233.4</v>
      </c>
      <c r="J1184" s="3">
        <f t="shared" si="54"/>
        <v>6316.86</v>
      </c>
      <c r="K1184" s="3">
        <f t="shared" si="55"/>
        <v>3967.8</v>
      </c>
      <c r="L1184" s="3">
        <f t="shared" si="56"/>
        <v>2349.0599999999995</v>
      </c>
    </row>
    <row r="1185" spans="1:12" x14ac:dyDescent="0.3">
      <c r="A1185">
        <v>1612</v>
      </c>
      <c r="B1185" s="2">
        <v>45796</v>
      </c>
      <c r="C1185" t="s">
        <v>23</v>
      </c>
      <c r="D1185" t="s">
        <v>13</v>
      </c>
      <c r="E1185" t="s">
        <v>31</v>
      </c>
      <c r="F1185" t="s">
        <v>28</v>
      </c>
      <c r="G1185">
        <v>32</v>
      </c>
      <c r="H1185" s="3">
        <v>33.92</v>
      </c>
      <c r="I1185" s="3">
        <v>17.11</v>
      </c>
      <c r="J1185" s="3">
        <f t="shared" si="54"/>
        <v>1085.44</v>
      </c>
      <c r="K1185" s="3">
        <f t="shared" si="55"/>
        <v>547.52</v>
      </c>
      <c r="L1185" s="3">
        <f t="shared" si="56"/>
        <v>537.92000000000007</v>
      </c>
    </row>
    <row r="1186" spans="1:12" x14ac:dyDescent="0.3">
      <c r="A1186">
        <v>2713</v>
      </c>
      <c r="B1186" s="2">
        <v>45796</v>
      </c>
      <c r="C1186" t="s">
        <v>16</v>
      </c>
      <c r="D1186" t="s">
        <v>17</v>
      </c>
      <c r="E1186" t="s">
        <v>35</v>
      </c>
      <c r="F1186" t="s">
        <v>36</v>
      </c>
      <c r="G1186">
        <v>10</v>
      </c>
      <c r="H1186" s="3">
        <v>597.15</v>
      </c>
      <c r="I1186" s="3">
        <v>396.81</v>
      </c>
      <c r="J1186" s="3">
        <f t="shared" si="54"/>
        <v>5971.5</v>
      </c>
      <c r="K1186" s="3">
        <f t="shared" si="55"/>
        <v>3968.1</v>
      </c>
      <c r="L1186" s="3">
        <f t="shared" si="56"/>
        <v>2003.4</v>
      </c>
    </row>
    <row r="1187" spans="1:12" x14ac:dyDescent="0.3">
      <c r="A1187">
        <v>1273</v>
      </c>
      <c r="B1187" s="2">
        <v>45797</v>
      </c>
      <c r="C1187" t="s">
        <v>12</v>
      </c>
      <c r="D1187" t="s">
        <v>13</v>
      </c>
      <c r="E1187" t="s">
        <v>24</v>
      </c>
      <c r="F1187" t="s">
        <v>22</v>
      </c>
      <c r="G1187">
        <v>27</v>
      </c>
      <c r="H1187" s="3">
        <v>33.869999999999997</v>
      </c>
      <c r="I1187" s="3">
        <v>17.02</v>
      </c>
      <c r="J1187" s="3">
        <f t="shared" si="54"/>
        <v>914.4899999999999</v>
      </c>
      <c r="K1187" s="3">
        <f t="shared" si="55"/>
        <v>459.53999999999996</v>
      </c>
      <c r="L1187" s="3">
        <f t="shared" si="56"/>
        <v>454.94999999999993</v>
      </c>
    </row>
    <row r="1188" spans="1:12" x14ac:dyDescent="0.3">
      <c r="A1188">
        <v>1653</v>
      </c>
      <c r="B1188" s="2">
        <v>45798</v>
      </c>
      <c r="C1188" t="s">
        <v>26</v>
      </c>
      <c r="D1188" t="s">
        <v>20</v>
      </c>
      <c r="E1188" t="s">
        <v>38</v>
      </c>
      <c r="F1188" t="s">
        <v>28</v>
      </c>
      <c r="G1188">
        <v>30</v>
      </c>
      <c r="H1188" s="3">
        <v>54.62</v>
      </c>
      <c r="I1188" s="3">
        <v>28.59</v>
      </c>
      <c r="J1188" s="3">
        <f t="shared" si="54"/>
        <v>1638.6</v>
      </c>
      <c r="K1188" s="3">
        <f t="shared" si="55"/>
        <v>857.7</v>
      </c>
      <c r="L1188" s="3">
        <f t="shared" si="56"/>
        <v>780.89999999999986</v>
      </c>
    </row>
    <row r="1189" spans="1:12" x14ac:dyDescent="0.3">
      <c r="A1189">
        <v>2335</v>
      </c>
      <c r="B1189" s="2">
        <v>45798</v>
      </c>
      <c r="C1189" t="s">
        <v>23</v>
      </c>
      <c r="D1189" t="s">
        <v>29</v>
      </c>
      <c r="E1189" t="s">
        <v>41</v>
      </c>
      <c r="F1189" t="s">
        <v>39</v>
      </c>
      <c r="G1189">
        <v>18</v>
      </c>
      <c r="H1189" s="3">
        <v>492.31</v>
      </c>
      <c r="I1189" s="3">
        <v>304.79000000000002</v>
      </c>
      <c r="J1189" s="3">
        <f t="shared" si="54"/>
        <v>8861.58</v>
      </c>
      <c r="K1189" s="3">
        <f t="shared" si="55"/>
        <v>5486.22</v>
      </c>
      <c r="L1189" s="3">
        <f t="shared" si="56"/>
        <v>3375.3599999999997</v>
      </c>
    </row>
    <row r="1190" spans="1:12" x14ac:dyDescent="0.3">
      <c r="A1190">
        <v>2592</v>
      </c>
      <c r="B1190" s="2">
        <v>45798</v>
      </c>
      <c r="C1190" t="s">
        <v>16</v>
      </c>
      <c r="D1190" t="s">
        <v>13</v>
      </c>
      <c r="E1190" t="s">
        <v>24</v>
      </c>
      <c r="F1190" t="s">
        <v>28</v>
      </c>
      <c r="G1190">
        <v>19</v>
      </c>
      <c r="H1190" s="3">
        <v>49.08</v>
      </c>
      <c r="I1190" s="3">
        <v>33.409999999999997</v>
      </c>
      <c r="J1190" s="3">
        <f t="shared" si="54"/>
        <v>932.52</v>
      </c>
      <c r="K1190" s="3">
        <f t="shared" si="55"/>
        <v>634.79</v>
      </c>
      <c r="L1190" s="3">
        <f t="shared" si="56"/>
        <v>297.73</v>
      </c>
    </row>
    <row r="1191" spans="1:12" x14ac:dyDescent="0.3">
      <c r="A1191">
        <v>1183</v>
      </c>
      <c r="B1191" s="2">
        <v>45799</v>
      </c>
      <c r="C1191" t="s">
        <v>12</v>
      </c>
      <c r="D1191" t="s">
        <v>29</v>
      </c>
      <c r="E1191" t="s">
        <v>30</v>
      </c>
      <c r="F1191" t="s">
        <v>22</v>
      </c>
      <c r="G1191">
        <v>20</v>
      </c>
      <c r="H1191" s="3">
        <v>492.86</v>
      </c>
      <c r="I1191" s="3">
        <v>368.3</v>
      </c>
      <c r="J1191" s="3">
        <f t="shared" si="54"/>
        <v>9857.2000000000007</v>
      </c>
      <c r="K1191" s="3">
        <f t="shared" si="55"/>
        <v>7366</v>
      </c>
      <c r="L1191" s="3">
        <f t="shared" si="56"/>
        <v>2491.2000000000007</v>
      </c>
    </row>
    <row r="1192" spans="1:12" x14ac:dyDescent="0.3">
      <c r="A1192">
        <v>1224</v>
      </c>
      <c r="B1192" s="2">
        <v>45799</v>
      </c>
      <c r="C1192" t="s">
        <v>16</v>
      </c>
      <c r="D1192" t="s">
        <v>13</v>
      </c>
      <c r="E1192" t="s">
        <v>14</v>
      </c>
      <c r="F1192" t="s">
        <v>25</v>
      </c>
      <c r="G1192">
        <v>9</v>
      </c>
      <c r="H1192" s="3">
        <v>57.08</v>
      </c>
      <c r="I1192" s="3">
        <v>40.01</v>
      </c>
      <c r="J1192" s="3">
        <f t="shared" si="54"/>
        <v>513.72</v>
      </c>
      <c r="K1192" s="3">
        <f t="shared" si="55"/>
        <v>360.09</v>
      </c>
      <c r="L1192" s="3">
        <f t="shared" si="56"/>
        <v>153.63000000000005</v>
      </c>
    </row>
    <row r="1193" spans="1:12" x14ac:dyDescent="0.3">
      <c r="A1193">
        <v>1148</v>
      </c>
      <c r="B1193" s="2">
        <v>45800</v>
      </c>
      <c r="C1193" t="s">
        <v>23</v>
      </c>
      <c r="D1193" t="s">
        <v>29</v>
      </c>
      <c r="E1193" t="s">
        <v>43</v>
      </c>
      <c r="F1193" t="s">
        <v>25</v>
      </c>
      <c r="G1193">
        <v>28</v>
      </c>
      <c r="H1193" s="3">
        <v>425.38</v>
      </c>
      <c r="I1193" s="3">
        <v>246.85</v>
      </c>
      <c r="J1193" s="3">
        <f t="shared" si="54"/>
        <v>11910.64</v>
      </c>
      <c r="K1193" s="3">
        <f t="shared" si="55"/>
        <v>6911.8</v>
      </c>
      <c r="L1193" s="3">
        <f t="shared" si="56"/>
        <v>4998.8399999999992</v>
      </c>
    </row>
    <row r="1194" spans="1:12" x14ac:dyDescent="0.3">
      <c r="A1194">
        <v>1296</v>
      </c>
      <c r="B1194" s="2">
        <v>45800</v>
      </c>
      <c r="C1194" t="s">
        <v>12</v>
      </c>
      <c r="D1194" t="s">
        <v>29</v>
      </c>
      <c r="E1194" t="s">
        <v>30</v>
      </c>
      <c r="F1194" t="s">
        <v>39</v>
      </c>
      <c r="G1194">
        <v>23</v>
      </c>
      <c r="H1194" s="3">
        <v>451.83</v>
      </c>
      <c r="I1194" s="3">
        <v>306</v>
      </c>
      <c r="J1194" s="3">
        <f t="shared" si="54"/>
        <v>10392.09</v>
      </c>
      <c r="K1194" s="3">
        <f t="shared" si="55"/>
        <v>7038</v>
      </c>
      <c r="L1194" s="3">
        <f t="shared" si="56"/>
        <v>3354.09</v>
      </c>
    </row>
    <row r="1195" spans="1:12" x14ac:dyDescent="0.3">
      <c r="A1195">
        <v>2566</v>
      </c>
      <c r="B1195" s="2">
        <v>45800</v>
      </c>
      <c r="C1195" t="s">
        <v>16</v>
      </c>
      <c r="D1195" t="s">
        <v>20</v>
      </c>
      <c r="E1195" t="s">
        <v>38</v>
      </c>
      <c r="F1195" t="s">
        <v>36</v>
      </c>
      <c r="G1195">
        <v>20</v>
      </c>
      <c r="H1195" s="3">
        <v>237.95</v>
      </c>
      <c r="I1195" s="3">
        <v>139.68</v>
      </c>
      <c r="J1195" s="3">
        <f t="shared" si="54"/>
        <v>4759</v>
      </c>
      <c r="K1195" s="3">
        <f t="shared" si="55"/>
        <v>2793.6000000000004</v>
      </c>
      <c r="L1195" s="3">
        <f t="shared" si="56"/>
        <v>1965.3999999999996</v>
      </c>
    </row>
    <row r="1196" spans="1:12" x14ac:dyDescent="0.3">
      <c r="A1196">
        <v>2579</v>
      </c>
      <c r="B1196" s="2">
        <v>45800</v>
      </c>
      <c r="C1196" t="s">
        <v>23</v>
      </c>
      <c r="D1196" t="s">
        <v>20</v>
      </c>
      <c r="E1196" t="s">
        <v>34</v>
      </c>
      <c r="F1196" t="s">
        <v>25</v>
      </c>
      <c r="G1196">
        <v>13</v>
      </c>
      <c r="H1196" s="3">
        <v>136.08000000000001</v>
      </c>
      <c r="I1196" s="3">
        <v>88.55</v>
      </c>
      <c r="J1196" s="3">
        <f t="shared" si="54"/>
        <v>1769.0400000000002</v>
      </c>
      <c r="K1196" s="3">
        <f t="shared" si="55"/>
        <v>1151.1499999999999</v>
      </c>
      <c r="L1196" s="3">
        <f t="shared" si="56"/>
        <v>617.89000000000033</v>
      </c>
    </row>
    <row r="1197" spans="1:12" x14ac:dyDescent="0.3">
      <c r="A1197">
        <v>1558</v>
      </c>
      <c r="B1197" s="2">
        <v>45801</v>
      </c>
      <c r="C1197" t="s">
        <v>12</v>
      </c>
      <c r="D1197" t="s">
        <v>13</v>
      </c>
      <c r="E1197" t="s">
        <v>45</v>
      </c>
      <c r="F1197" t="s">
        <v>22</v>
      </c>
      <c r="G1197">
        <v>24</v>
      </c>
      <c r="H1197" s="3">
        <v>27.78</v>
      </c>
      <c r="I1197" s="3">
        <v>19.16</v>
      </c>
      <c r="J1197" s="3">
        <f t="shared" si="54"/>
        <v>666.72</v>
      </c>
      <c r="K1197" s="3">
        <f t="shared" si="55"/>
        <v>459.84000000000003</v>
      </c>
      <c r="L1197" s="3">
        <f t="shared" si="56"/>
        <v>206.88</v>
      </c>
    </row>
    <row r="1198" spans="1:12" x14ac:dyDescent="0.3">
      <c r="A1198">
        <v>2215</v>
      </c>
      <c r="B1198" s="2">
        <v>45801</v>
      </c>
      <c r="C1198" t="s">
        <v>32</v>
      </c>
      <c r="D1198" t="s">
        <v>17</v>
      </c>
      <c r="E1198" t="s">
        <v>35</v>
      </c>
      <c r="F1198" t="s">
        <v>22</v>
      </c>
      <c r="G1198">
        <v>13</v>
      </c>
      <c r="H1198" s="3">
        <v>855.3</v>
      </c>
      <c r="I1198" s="3">
        <v>543.71</v>
      </c>
      <c r="J1198" s="3">
        <f t="shared" si="54"/>
        <v>11118.9</v>
      </c>
      <c r="K1198" s="3">
        <f t="shared" si="55"/>
        <v>7068.2300000000005</v>
      </c>
      <c r="L1198" s="3">
        <f t="shared" si="56"/>
        <v>4050.6699999999992</v>
      </c>
    </row>
    <row r="1199" spans="1:12" x14ac:dyDescent="0.3">
      <c r="A1199">
        <v>2702</v>
      </c>
      <c r="B1199" s="2">
        <v>45801</v>
      </c>
      <c r="C1199" t="s">
        <v>32</v>
      </c>
      <c r="D1199" t="s">
        <v>13</v>
      </c>
      <c r="E1199" t="s">
        <v>45</v>
      </c>
      <c r="F1199" t="s">
        <v>39</v>
      </c>
      <c r="G1199">
        <v>24</v>
      </c>
      <c r="H1199" s="3">
        <v>5.36</v>
      </c>
      <c r="I1199" s="3">
        <v>2.81</v>
      </c>
      <c r="J1199" s="3">
        <f t="shared" si="54"/>
        <v>128.64000000000001</v>
      </c>
      <c r="K1199" s="3">
        <f t="shared" si="55"/>
        <v>67.44</v>
      </c>
      <c r="L1199" s="3">
        <f t="shared" si="56"/>
        <v>61.200000000000017</v>
      </c>
    </row>
    <row r="1200" spans="1:12" x14ac:dyDescent="0.3">
      <c r="A1200">
        <v>1611</v>
      </c>
      <c r="B1200" s="2">
        <v>45802</v>
      </c>
      <c r="C1200" t="s">
        <v>26</v>
      </c>
      <c r="D1200" t="s">
        <v>13</v>
      </c>
      <c r="E1200" t="s">
        <v>14</v>
      </c>
      <c r="F1200" t="s">
        <v>33</v>
      </c>
      <c r="G1200">
        <v>10</v>
      </c>
      <c r="H1200" s="3">
        <v>38.520000000000003</v>
      </c>
      <c r="I1200" s="3">
        <v>24.27</v>
      </c>
      <c r="J1200" s="3">
        <f t="shared" si="54"/>
        <v>385.20000000000005</v>
      </c>
      <c r="K1200" s="3">
        <f t="shared" si="55"/>
        <v>242.7</v>
      </c>
      <c r="L1200" s="3">
        <f t="shared" si="56"/>
        <v>142.50000000000006</v>
      </c>
    </row>
    <row r="1201" spans="1:12" x14ac:dyDescent="0.3">
      <c r="A1201">
        <v>1740</v>
      </c>
      <c r="B1201" s="2">
        <v>45802</v>
      </c>
      <c r="C1201" t="s">
        <v>16</v>
      </c>
      <c r="D1201" t="s">
        <v>20</v>
      </c>
      <c r="E1201" t="s">
        <v>34</v>
      </c>
      <c r="F1201" t="s">
        <v>33</v>
      </c>
      <c r="G1201">
        <v>24</v>
      </c>
      <c r="H1201" s="3">
        <v>152.65</v>
      </c>
      <c r="I1201" s="3">
        <v>98.5</v>
      </c>
      <c r="J1201" s="3">
        <f t="shared" si="54"/>
        <v>3663.6000000000004</v>
      </c>
      <c r="K1201" s="3">
        <f t="shared" si="55"/>
        <v>2364</v>
      </c>
      <c r="L1201" s="3">
        <f t="shared" si="56"/>
        <v>1299.6000000000004</v>
      </c>
    </row>
    <row r="1202" spans="1:12" x14ac:dyDescent="0.3">
      <c r="A1202">
        <v>2103</v>
      </c>
      <c r="B1202" s="2">
        <v>45802</v>
      </c>
      <c r="C1202" t="s">
        <v>12</v>
      </c>
      <c r="D1202" t="s">
        <v>13</v>
      </c>
      <c r="E1202" t="s">
        <v>14</v>
      </c>
      <c r="F1202" t="s">
        <v>15</v>
      </c>
      <c r="G1202">
        <v>26</v>
      </c>
      <c r="H1202" s="3">
        <v>51.58</v>
      </c>
      <c r="I1202" s="3">
        <v>33.03</v>
      </c>
      <c r="J1202" s="3">
        <f t="shared" si="54"/>
        <v>1341.08</v>
      </c>
      <c r="K1202" s="3">
        <f t="shared" si="55"/>
        <v>858.78</v>
      </c>
      <c r="L1202" s="3">
        <f t="shared" si="56"/>
        <v>482.29999999999995</v>
      </c>
    </row>
    <row r="1203" spans="1:12" x14ac:dyDescent="0.3">
      <c r="A1203">
        <v>1009</v>
      </c>
      <c r="B1203" s="2">
        <v>45803</v>
      </c>
      <c r="C1203" t="s">
        <v>23</v>
      </c>
      <c r="D1203" t="s">
        <v>20</v>
      </c>
      <c r="E1203" t="s">
        <v>34</v>
      </c>
      <c r="F1203" t="s">
        <v>15</v>
      </c>
      <c r="G1203">
        <v>9</v>
      </c>
      <c r="H1203" s="3">
        <v>183.68</v>
      </c>
      <c r="I1203" s="3">
        <v>133.07</v>
      </c>
      <c r="J1203" s="3">
        <f t="shared" si="54"/>
        <v>1653.1200000000001</v>
      </c>
      <c r="K1203" s="3">
        <f t="shared" si="55"/>
        <v>1197.6299999999999</v>
      </c>
      <c r="L1203" s="3">
        <f t="shared" si="56"/>
        <v>455.49000000000024</v>
      </c>
    </row>
    <row r="1204" spans="1:12" x14ac:dyDescent="0.3">
      <c r="A1204">
        <v>1142</v>
      </c>
      <c r="B1204" s="2">
        <v>45803</v>
      </c>
      <c r="C1204" t="s">
        <v>16</v>
      </c>
      <c r="D1204" t="s">
        <v>17</v>
      </c>
      <c r="E1204" t="s">
        <v>35</v>
      </c>
      <c r="F1204" t="s">
        <v>39</v>
      </c>
      <c r="G1204">
        <v>10</v>
      </c>
      <c r="H1204" s="3">
        <v>304.67</v>
      </c>
      <c r="I1204" s="3">
        <v>166.6</v>
      </c>
      <c r="J1204" s="3">
        <f t="shared" si="54"/>
        <v>3046.7000000000003</v>
      </c>
      <c r="K1204" s="3">
        <f t="shared" si="55"/>
        <v>1666</v>
      </c>
      <c r="L1204" s="3">
        <f t="shared" si="56"/>
        <v>1380.7000000000003</v>
      </c>
    </row>
    <row r="1205" spans="1:12" x14ac:dyDescent="0.3">
      <c r="A1205">
        <v>1556</v>
      </c>
      <c r="B1205" s="2">
        <v>45803</v>
      </c>
      <c r="C1205" t="s">
        <v>16</v>
      </c>
      <c r="D1205" t="s">
        <v>17</v>
      </c>
      <c r="E1205" t="s">
        <v>40</v>
      </c>
      <c r="F1205" t="s">
        <v>33</v>
      </c>
      <c r="G1205">
        <v>27</v>
      </c>
      <c r="H1205" s="3">
        <v>63.84</v>
      </c>
      <c r="I1205" s="3">
        <v>33.450000000000003</v>
      </c>
      <c r="J1205" s="3">
        <f t="shared" si="54"/>
        <v>1723.68</v>
      </c>
      <c r="K1205" s="3">
        <f t="shared" si="55"/>
        <v>903.15000000000009</v>
      </c>
      <c r="L1205" s="3">
        <f t="shared" si="56"/>
        <v>820.53</v>
      </c>
    </row>
    <row r="1206" spans="1:12" x14ac:dyDescent="0.3">
      <c r="A1206">
        <v>2499</v>
      </c>
      <c r="B1206" s="2">
        <v>45803</v>
      </c>
      <c r="C1206" t="s">
        <v>16</v>
      </c>
      <c r="D1206" t="s">
        <v>13</v>
      </c>
      <c r="E1206" t="s">
        <v>24</v>
      </c>
      <c r="F1206" t="s">
        <v>25</v>
      </c>
      <c r="G1206">
        <v>1</v>
      </c>
      <c r="H1206" s="3">
        <v>39.43</v>
      </c>
      <c r="I1206" s="3">
        <v>25.52</v>
      </c>
      <c r="J1206" s="3">
        <f t="shared" si="54"/>
        <v>39.43</v>
      </c>
      <c r="K1206" s="3">
        <f t="shared" si="55"/>
        <v>25.52</v>
      </c>
      <c r="L1206" s="3">
        <f t="shared" si="56"/>
        <v>13.91</v>
      </c>
    </row>
    <row r="1207" spans="1:12" x14ac:dyDescent="0.3">
      <c r="A1207">
        <v>2795</v>
      </c>
      <c r="B1207" s="2">
        <v>45803</v>
      </c>
      <c r="C1207" t="s">
        <v>16</v>
      </c>
      <c r="D1207" t="s">
        <v>29</v>
      </c>
      <c r="E1207" t="s">
        <v>30</v>
      </c>
      <c r="F1207" t="s">
        <v>15</v>
      </c>
      <c r="G1207">
        <v>30</v>
      </c>
      <c r="H1207" s="3">
        <v>441.28</v>
      </c>
      <c r="I1207" s="3">
        <v>262.29000000000002</v>
      </c>
      <c r="J1207" s="3">
        <f t="shared" si="54"/>
        <v>13238.4</v>
      </c>
      <c r="K1207" s="3">
        <f t="shared" si="55"/>
        <v>7868.7000000000007</v>
      </c>
      <c r="L1207" s="3">
        <f t="shared" si="56"/>
        <v>5369.6999999999989</v>
      </c>
    </row>
    <row r="1208" spans="1:12" x14ac:dyDescent="0.3">
      <c r="A1208">
        <v>1573</v>
      </c>
      <c r="B1208" s="2">
        <v>45805</v>
      </c>
      <c r="C1208" t="s">
        <v>16</v>
      </c>
      <c r="D1208" t="s">
        <v>17</v>
      </c>
      <c r="E1208" t="s">
        <v>18</v>
      </c>
      <c r="F1208" t="s">
        <v>15</v>
      </c>
      <c r="G1208">
        <v>29</v>
      </c>
      <c r="H1208" s="3">
        <v>581.6</v>
      </c>
      <c r="I1208" s="3">
        <v>427.6</v>
      </c>
      <c r="J1208" s="3">
        <f t="shared" si="54"/>
        <v>16866.400000000001</v>
      </c>
      <c r="K1208" s="3">
        <f t="shared" si="55"/>
        <v>12400.400000000001</v>
      </c>
      <c r="L1208" s="3">
        <f t="shared" si="56"/>
        <v>4466</v>
      </c>
    </row>
    <row r="1209" spans="1:12" x14ac:dyDescent="0.3">
      <c r="A1209">
        <v>1806</v>
      </c>
      <c r="B1209" s="2">
        <v>45806</v>
      </c>
      <c r="C1209" t="s">
        <v>26</v>
      </c>
      <c r="D1209" t="s">
        <v>29</v>
      </c>
      <c r="E1209" t="s">
        <v>41</v>
      </c>
      <c r="F1209" t="s">
        <v>39</v>
      </c>
      <c r="G1209">
        <v>32</v>
      </c>
      <c r="H1209" s="3">
        <v>104.7</v>
      </c>
      <c r="I1209" s="3">
        <v>56.35</v>
      </c>
      <c r="J1209" s="3">
        <f t="shared" si="54"/>
        <v>3350.4</v>
      </c>
      <c r="K1209" s="3">
        <f t="shared" si="55"/>
        <v>1803.2</v>
      </c>
      <c r="L1209" s="3">
        <f t="shared" si="56"/>
        <v>1547.2</v>
      </c>
    </row>
    <row r="1210" spans="1:12" x14ac:dyDescent="0.3">
      <c r="A1210">
        <v>1845</v>
      </c>
      <c r="B1210" s="2">
        <v>45806</v>
      </c>
      <c r="C1210" t="s">
        <v>16</v>
      </c>
      <c r="D1210" t="s">
        <v>13</v>
      </c>
      <c r="E1210" t="s">
        <v>24</v>
      </c>
      <c r="F1210" t="s">
        <v>19</v>
      </c>
      <c r="G1210">
        <v>15</v>
      </c>
      <c r="H1210" s="3">
        <v>25.87</v>
      </c>
      <c r="I1210" s="3">
        <v>13.88</v>
      </c>
      <c r="J1210" s="3">
        <f t="shared" si="54"/>
        <v>388.05</v>
      </c>
      <c r="K1210" s="3">
        <f t="shared" si="55"/>
        <v>208.20000000000002</v>
      </c>
      <c r="L1210" s="3">
        <f t="shared" si="56"/>
        <v>179.85</v>
      </c>
    </row>
    <row r="1211" spans="1:12" x14ac:dyDescent="0.3">
      <c r="A1211">
        <v>1974</v>
      </c>
      <c r="B1211" s="2">
        <v>45807</v>
      </c>
      <c r="C1211" t="s">
        <v>12</v>
      </c>
      <c r="D1211" t="s">
        <v>29</v>
      </c>
      <c r="E1211" t="s">
        <v>41</v>
      </c>
      <c r="F1211" t="s">
        <v>25</v>
      </c>
      <c r="G1211">
        <v>12</v>
      </c>
      <c r="H1211" s="3">
        <v>382.07</v>
      </c>
      <c r="I1211" s="3">
        <v>259.35000000000002</v>
      </c>
      <c r="J1211" s="3">
        <f t="shared" si="54"/>
        <v>4584.84</v>
      </c>
      <c r="K1211" s="3">
        <f t="shared" si="55"/>
        <v>3112.2000000000003</v>
      </c>
      <c r="L1211" s="3">
        <f t="shared" si="56"/>
        <v>1472.6399999999999</v>
      </c>
    </row>
    <row r="1212" spans="1:12" x14ac:dyDescent="0.3">
      <c r="A1212">
        <v>1454</v>
      </c>
      <c r="B1212" s="2">
        <v>45808</v>
      </c>
      <c r="C1212" t="s">
        <v>32</v>
      </c>
      <c r="D1212" t="s">
        <v>13</v>
      </c>
      <c r="E1212" t="s">
        <v>46</v>
      </c>
      <c r="F1212" t="s">
        <v>28</v>
      </c>
      <c r="G1212">
        <v>23</v>
      </c>
      <c r="H1212" s="3">
        <v>34.35</v>
      </c>
      <c r="I1212" s="3">
        <v>20.72</v>
      </c>
      <c r="J1212" s="3">
        <f t="shared" si="54"/>
        <v>790.05000000000007</v>
      </c>
      <c r="K1212" s="3">
        <f t="shared" si="55"/>
        <v>476.55999999999995</v>
      </c>
      <c r="L1212" s="3">
        <f t="shared" si="56"/>
        <v>313.49000000000012</v>
      </c>
    </row>
    <row r="1213" spans="1:12" x14ac:dyDescent="0.3">
      <c r="A1213">
        <v>1462</v>
      </c>
      <c r="B1213" s="2">
        <v>45808</v>
      </c>
      <c r="C1213" t="s">
        <v>26</v>
      </c>
      <c r="D1213" t="s">
        <v>13</v>
      </c>
      <c r="E1213" t="s">
        <v>14</v>
      </c>
      <c r="F1213" t="s">
        <v>15</v>
      </c>
      <c r="G1213">
        <v>26</v>
      </c>
      <c r="H1213" s="3">
        <v>22.16</v>
      </c>
      <c r="I1213" s="3">
        <v>14.12</v>
      </c>
      <c r="J1213" s="3">
        <f t="shared" si="54"/>
        <v>576.16</v>
      </c>
      <c r="K1213" s="3">
        <f t="shared" si="55"/>
        <v>367.12</v>
      </c>
      <c r="L1213" s="3">
        <f t="shared" si="56"/>
        <v>209.03999999999996</v>
      </c>
    </row>
    <row r="1214" spans="1:12" x14ac:dyDescent="0.3">
      <c r="A1214">
        <v>1914</v>
      </c>
      <c r="B1214" s="2">
        <v>45808</v>
      </c>
      <c r="C1214" t="s">
        <v>26</v>
      </c>
      <c r="D1214" t="s">
        <v>20</v>
      </c>
      <c r="E1214" t="s">
        <v>38</v>
      </c>
      <c r="F1214" t="s">
        <v>19</v>
      </c>
      <c r="G1214">
        <v>21</v>
      </c>
      <c r="H1214" s="3">
        <v>196.09</v>
      </c>
      <c r="I1214" s="3">
        <v>127.13</v>
      </c>
      <c r="J1214" s="3">
        <f t="shared" si="54"/>
        <v>4117.8900000000003</v>
      </c>
      <c r="K1214" s="3">
        <f t="shared" si="55"/>
        <v>2669.73</v>
      </c>
      <c r="L1214" s="3">
        <f t="shared" si="56"/>
        <v>1448.1600000000003</v>
      </c>
    </row>
    <row r="1215" spans="1:12" x14ac:dyDescent="0.3">
      <c r="A1215">
        <v>1210</v>
      </c>
      <c r="B1215" s="2">
        <v>45809</v>
      </c>
      <c r="C1215" t="s">
        <v>23</v>
      </c>
      <c r="D1215" t="s">
        <v>29</v>
      </c>
      <c r="E1215" t="s">
        <v>30</v>
      </c>
      <c r="F1215" t="s">
        <v>28</v>
      </c>
      <c r="G1215">
        <v>32</v>
      </c>
      <c r="H1215" s="3">
        <v>252.76</v>
      </c>
      <c r="I1215" s="3">
        <v>172.02</v>
      </c>
      <c r="J1215" s="3">
        <f t="shared" si="54"/>
        <v>8088.32</v>
      </c>
      <c r="K1215" s="3">
        <f t="shared" si="55"/>
        <v>5504.64</v>
      </c>
      <c r="L1215" s="3">
        <f t="shared" si="56"/>
        <v>2583.6799999999994</v>
      </c>
    </row>
    <row r="1216" spans="1:12" x14ac:dyDescent="0.3">
      <c r="A1216">
        <v>1276</v>
      </c>
      <c r="B1216" s="2">
        <v>45809</v>
      </c>
      <c r="C1216" t="s">
        <v>12</v>
      </c>
      <c r="D1216" t="s">
        <v>20</v>
      </c>
      <c r="E1216" t="s">
        <v>42</v>
      </c>
      <c r="F1216" t="s">
        <v>22</v>
      </c>
      <c r="G1216">
        <v>28</v>
      </c>
      <c r="H1216" s="3">
        <v>258.26</v>
      </c>
      <c r="I1216" s="3">
        <v>188.92</v>
      </c>
      <c r="J1216" s="3">
        <f t="shared" si="54"/>
        <v>7231.28</v>
      </c>
      <c r="K1216" s="3">
        <f t="shared" si="55"/>
        <v>5289.7599999999993</v>
      </c>
      <c r="L1216" s="3">
        <f t="shared" si="56"/>
        <v>1941.5200000000004</v>
      </c>
    </row>
    <row r="1217" spans="1:12" x14ac:dyDescent="0.3">
      <c r="A1217">
        <v>1969</v>
      </c>
      <c r="B1217" s="2">
        <v>45809</v>
      </c>
      <c r="C1217" t="s">
        <v>23</v>
      </c>
      <c r="D1217" t="s">
        <v>20</v>
      </c>
      <c r="E1217" t="s">
        <v>42</v>
      </c>
      <c r="F1217" t="s">
        <v>25</v>
      </c>
      <c r="G1217">
        <v>20</v>
      </c>
      <c r="H1217" s="3">
        <v>255.68</v>
      </c>
      <c r="I1217" s="3">
        <v>162.79</v>
      </c>
      <c r="J1217" s="3">
        <f t="shared" si="54"/>
        <v>5113.6000000000004</v>
      </c>
      <c r="K1217" s="3">
        <f t="shared" si="55"/>
        <v>3255.7999999999997</v>
      </c>
      <c r="L1217" s="3">
        <f t="shared" si="56"/>
        <v>1857.8000000000006</v>
      </c>
    </row>
    <row r="1218" spans="1:12" x14ac:dyDescent="0.3">
      <c r="A1218">
        <v>2370</v>
      </c>
      <c r="B1218" s="2">
        <v>45809</v>
      </c>
      <c r="C1218" t="s">
        <v>32</v>
      </c>
      <c r="D1218" t="s">
        <v>20</v>
      </c>
      <c r="E1218" t="s">
        <v>21</v>
      </c>
      <c r="F1218" t="s">
        <v>36</v>
      </c>
      <c r="G1218">
        <v>37</v>
      </c>
      <c r="H1218" s="3">
        <v>154.72999999999999</v>
      </c>
      <c r="I1218" s="3">
        <v>113.28</v>
      </c>
      <c r="J1218" s="3">
        <f t="shared" ref="J1218:J1281" si="57">G1218*H1218</f>
        <v>5725.0099999999993</v>
      </c>
      <c r="K1218" s="3">
        <f t="shared" ref="K1218:K1281" si="58">G1218*I1218</f>
        <v>4191.3599999999997</v>
      </c>
      <c r="L1218" s="3">
        <f t="shared" ref="L1218:L1281" si="59">J1218-K1218</f>
        <v>1533.6499999999996</v>
      </c>
    </row>
    <row r="1219" spans="1:12" x14ac:dyDescent="0.3">
      <c r="A1219">
        <v>1263</v>
      </c>
      <c r="B1219" s="2">
        <v>45810</v>
      </c>
      <c r="C1219" t="s">
        <v>32</v>
      </c>
      <c r="D1219" t="s">
        <v>20</v>
      </c>
      <c r="E1219" t="s">
        <v>21</v>
      </c>
      <c r="F1219" t="s">
        <v>36</v>
      </c>
      <c r="G1219">
        <v>6</v>
      </c>
      <c r="H1219" s="3">
        <v>43.41</v>
      </c>
      <c r="I1219" s="3">
        <v>22.56</v>
      </c>
      <c r="J1219" s="3">
        <f t="shared" si="57"/>
        <v>260.45999999999998</v>
      </c>
      <c r="K1219" s="3">
        <f t="shared" si="58"/>
        <v>135.35999999999999</v>
      </c>
      <c r="L1219" s="3">
        <f t="shared" si="59"/>
        <v>125.1</v>
      </c>
    </row>
    <row r="1220" spans="1:12" x14ac:dyDescent="0.3">
      <c r="A1220">
        <v>2155</v>
      </c>
      <c r="B1220" s="2">
        <v>45810</v>
      </c>
      <c r="C1220" t="s">
        <v>16</v>
      </c>
      <c r="D1220" t="s">
        <v>17</v>
      </c>
      <c r="E1220" t="s">
        <v>44</v>
      </c>
      <c r="F1220" t="s">
        <v>39</v>
      </c>
      <c r="G1220">
        <v>8</v>
      </c>
      <c r="H1220" s="3">
        <v>850.18</v>
      </c>
      <c r="I1220" s="3">
        <v>513.32000000000005</v>
      </c>
      <c r="J1220" s="3">
        <f t="shared" si="57"/>
        <v>6801.44</v>
      </c>
      <c r="K1220" s="3">
        <f t="shared" si="58"/>
        <v>4106.5600000000004</v>
      </c>
      <c r="L1220" s="3">
        <f t="shared" si="59"/>
        <v>2694.8799999999992</v>
      </c>
    </row>
    <row r="1221" spans="1:12" x14ac:dyDescent="0.3">
      <c r="A1221">
        <v>2192</v>
      </c>
      <c r="B1221" s="2">
        <v>45810</v>
      </c>
      <c r="C1221" t="s">
        <v>16</v>
      </c>
      <c r="D1221" t="s">
        <v>29</v>
      </c>
      <c r="E1221" t="s">
        <v>37</v>
      </c>
      <c r="F1221" t="s">
        <v>36</v>
      </c>
      <c r="G1221">
        <v>40</v>
      </c>
      <c r="H1221" s="3">
        <v>118.03</v>
      </c>
      <c r="I1221" s="3">
        <v>84.89</v>
      </c>
      <c r="J1221" s="3">
        <f t="shared" si="57"/>
        <v>4721.2</v>
      </c>
      <c r="K1221" s="3">
        <f t="shared" si="58"/>
        <v>3395.6</v>
      </c>
      <c r="L1221" s="3">
        <f t="shared" si="59"/>
        <v>1325.6</v>
      </c>
    </row>
    <row r="1222" spans="1:12" x14ac:dyDescent="0.3">
      <c r="A1222">
        <v>1382</v>
      </c>
      <c r="B1222" s="2">
        <v>45811</v>
      </c>
      <c r="C1222" t="s">
        <v>26</v>
      </c>
      <c r="D1222" t="s">
        <v>20</v>
      </c>
      <c r="E1222" t="s">
        <v>34</v>
      </c>
      <c r="F1222" t="s">
        <v>22</v>
      </c>
      <c r="G1222">
        <v>36</v>
      </c>
      <c r="H1222" s="3">
        <v>203.09</v>
      </c>
      <c r="I1222" s="3">
        <v>109.09</v>
      </c>
      <c r="J1222" s="3">
        <f t="shared" si="57"/>
        <v>7311.24</v>
      </c>
      <c r="K1222" s="3">
        <f t="shared" si="58"/>
        <v>3927.2400000000002</v>
      </c>
      <c r="L1222" s="3">
        <f t="shared" si="59"/>
        <v>3383.9999999999995</v>
      </c>
    </row>
    <row r="1223" spans="1:12" x14ac:dyDescent="0.3">
      <c r="A1223">
        <v>2475</v>
      </c>
      <c r="B1223" s="2">
        <v>45811</v>
      </c>
      <c r="C1223" t="s">
        <v>32</v>
      </c>
      <c r="D1223" t="s">
        <v>17</v>
      </c>
      <c r="E1223" t="s">
        <v>40</v>
      </c>
      <c r="F1223" t="s">
        <v>15</v>
      </c>
      <c r="G1223">
        <v>37</v>
      </c>
      <c r="H1223" s="3">
        <v>212.69</v>
      </c>
      <c r="I1223" s="3">
        <v>137.34</v>
      </c>
      <c r="J1223" s="3">
        <f t="shared" si="57"/>
        <v>7869.53</v>
      </c>
      <c r="K1223" s="3">
        <f t="shared" si="58"/>
        <v>5081.58</v>
      </c>
      <c r="L1223" s="3">
        <f t="shared" si="59"/>
        <v>2787.95</v>
      </c>
    </row>
    <row r="1224" spans="1:12" x14ac:dyDescent="0.3">
      <c r="A1224">
        <v>2796</v>
      </c>
      <c r="B1224" s="2">
        <v>45811</v>
      </c>
      <c r="C1224" t="s">
        <v>32</v>
      </c>
      <c r="D1224" t="s">
        <v>17</v>
      </c>
      <c r="E1224" t="s">
        <v>35</v>
      </c>
      <c r="F1224" t="s">
        <v>33</v>
      </c>
      <c r="G1224">
        <v>13</v>
      </c>
      <c r="H1224" s="3">
        <v>721.94</v>
      </c>
      <c r="I1224" s="3">
        <v>393.76</v>
      </c>
      <c r="J1224" s="3">
        <f t="shared" si="57"/>
        <v>9385.2200000000012</v>
      </c>
      <c r="K1224" s="3">
        <f t="shared" si="58"/>
        <v>5118.88</v>
      </c>
      <c r="L1224" s="3">
        <f t="shared" si="59"/>
        <v>4266.3400000000011</v>
      </c>
    </row>
    <row r="1225" spans="1:12" x14ac:dyDescent="0.3">
      <c r="A1225">
        <v>1156</v>
      </c>
      <c r="B1225" s="2">
        <v>45812</v>
      </c>
      <c r="C1225" t="s">
        <v>12</v>
      </c>
      <c r="D1225" t="s">
        <v>17</v>
      </c>
      <c r="E1225" t="s">
        <v>44</v>
      </c>
      <c r="F1225" t="s">
        <v>19</v>
      </c>
      <c r="G1225">
        <v>16</v>
      </c>
      <c r="H1225" s="3">
        <v>723.91</v>
      </c>
      <c r="I1225" s="3">
        <v>507.4</v>
      </c>
      <c r="J1225" s="3">
        <f t="shared" si="57"/>
        <v>11582.56</v>
      </c>
      <c r="K1225" s="3">
        <f t="shared" si="58"/>
        <v>8118.4</v>
      </c>
      <c r="L1225" s="3">
        <f t="shared" si="59"/>
        <v>3464.16</v>
      </c>
    </row>
    <row r="1226" spans="1:12" x14ac:dyDescent="0.3">
      <c r="A1226">
        <v>2183</v>
      </c>
      <c r="B1226" s="2">
        <v>45812</v>
      </c>
      <c r="C1226" t="s">
        <v>32</v>
      </c>
      <c r="D1226" t="s">
        <v>20</v>
      </c>
      <c r="E1226" t="s">
        <v>38</v>
      </c>
      <c r="F1226" t="s">
        <v>33</v>
      </c>
      <c r="G1226">
        <v>6</v>
      </c>
      <c r="H1226" s="3">
        <v>184.02</v>
      </c>
      <c r="I1226" s="3">
        <v>102.19</v>
      </c>
      <c r="J1226" s="3">
        <f t="shared" si="57"/>
        <v>1104.1200000000001</v>
      </c>
      <c r="K1226" s="3">
        <f t="shared" si="58"/>
        <v>613.14</v>
      </c>
      <c r="L1226" s="3">
        <f t="shared" si="59"/>
        <v>490.98000000000013</v>
      </c>
    </row>
    <row r="1227" spans="1:12" x14ac:dyDescent="0.3">
      <c r="A1227">
        <v>1080</v>
      </c>
      <c r="B1227" s="2">
        <v>45813</v>
      </c>
      <c r="C1227" t="s">
        <v>32</v>
      </c>
      <c r="D1227" t="s">
        <v>20</v>
      </c>
      <c r="E1227" t="s">
        <v>21</v>
      </c>
      <c r="F1227" t="s">
        <v>28</v>
      </c>
      <c r="G1227">
        <v>16</v>
      </c>
      <c r="H1227" s="3">
        <v>187.83</v>
      </c>
      <c r="I1227" s="3">
        <v>128.96</v>
      </c>
      <c r="J1227" s="3">
        <f t="shared" si="57"/>
        <v>3005.28</v>
      </c>
      <c r="K1227" s="3">
        <f t="shared" si="58"/>
        <v>2063.36</v>
      </c>
      <c r="L1227" s="3">
        <f t="shared" si="59"/>
        <v>941.92000000000007</v>
      </c>
    </row>
    <row r="1228" spans="1:12" x14ac:dyDescent="0.3">
      <c r="A1228">
        <v>2252</v>
      </c>
      <c r="B1228" s="2">
        <v>45813</v>
      </c>
      <c r="C1228" t="s">
        <v>26</v>
      </c>
      <c r="D1228" t="s">
        <v>17</v>
      </c>
      <c r="E1228" t="s">
        <v>44</v>
      </c>
      <c r="F1228" t="s">
        <v>25</v>
      </c>
      <c r="G1228">
        <v>16</v>
      </c>
      <c r="H1228" s="3">
        <v>122.51</v>
      </c>
      <c r="I1228" s="3">
        <v>85.11</v>
      </c>
      <c r="J1228" s="3">
        <f t="shared" si="57"/>
        <v>1960.16</v>
      </c>
      <c r="K1228" s="3">
        <f t="shared" si="58"/>
        <v>1361.76</v>
      </c>
      <c r="L1228" s="3">
        <f t="shared" si="59"/>
        <v>598.40000000000009</v>
      </c>
    </row>
    <row r="1229" spans="1:12" x14ac:dyDescent="0.3">
      <c r="A1229">
        <v>1405</v>
      </c>
      <c r="B1229" s="2">
        <v>45814</v>
      </c>
      <c r="C1229" t="s">
        <v>16</v>
      </c>
      <c r="D1229" t="s">
        <v>13</v>
      </c>
      <c r="E1229" t="s">
        <v>46</v>
      </c>
      <c r="F1229" t="s">
        <v>19</v>
      </c>
      <c r="G1229">
        <v>3</v>
      </c>
      <c r="H1229" s="3">
        <v>40.340000000000003</v>
      </c>
      <c r="I1229" s="3">
        <v>22.95</v>
      </c>
      <c r="J1229" s="3">
        <f t="shared" si="57"/>
        <v>121.02000000000001</v>
      </c>
      <c r="K1229" s="3">
        <f t="shared" si="58"/>
        <v>68.849999999999994</v>
      </c>
      <c r="L1229" s="3">
        <f t="shared" si="59"/>
        <v>52.170000000000016</v>
      </c>
    </row>
    <row r="1230" spans="1:12" x14ac:dyDescent="0.3">
      <c r="A1230">
        <v>1710</v>
      </c>
      <c r="B1230" s="2">
        <v>45814</v>
      </c>
      <c r="C1230" t="s">
        <v>32</v>
      </c>
      <c r="D1230" t="s">
        <v>17</v>
      </c>
      <c r="E1230" t="s">
        <v>44</v>
      </c>
      <c r="F1230" t="s">
        <v>25</v>
      </c>
      <c r="G1230">
        <v>20</v>
      </c>
      <c r="H1230" s="3">
        <v>135.36000000000001</v>
      </c>
      <c r="I1230" s="3">
        <v>101.48</v>
      </c>
      <c r="J1230" s="3">
        <f t="shared" si="57"/>
        <v>2707.2000000000003</v>
      </c>
      <c r="K1230" s="3">
        <f t="shared" si="58"/>
        <v>2029.6000000000001</v>
      </c>
      <c r="L1230" s="3">
        <f t="shared" si="59"/>
        <v>677.60000000000014</v>
      </c>
    </row>
    <row r="1231" spans="1:12" x14ac:dyDescent="0.3">
      <c r="A1231">
        <v>1244</v>
      </c>
      <c r="B1231" s="2">
        <v>45815</v>
      </c>
      <c r="C1231" t="s">
        <v>26</v>
      </c>
      <c r="D1231" t="s">
        <v>17</v>
      </c>
      <c r="E1231" t="s">
        <v>40</v>
      </c>
      <c r="F1231" t="s">
        <v>33</v>
      </c>
      <c r="G1231">
        <v>35</v>
      </c>
      <c r="H1231" s="3">
        <v>750.99</v>
      </c>
      <c r="I1231" s="3">
        <v>561.32000000000005</v>
      </c>
      <c r="J1231" s="3">
        <f t="shared" si="57"/>
        <v>26284.65</v>
      </c>
      <c r="K1231" s="3">
        <f t="shared" si="58"/>
        <v>19646.2</v>
      </c>
      <c r="L1231" s="3">
        <f t="shared" si="59"/>
        <v>6638.4500000000007</v>
      </c>
    </row>
    <row r="1232" spans="1:12" x14ac:dyDescent="0.3">
      <c r="A1232">
        <v>1487</v>
      </c>
      <c r="B1232" s="2">
        <v>45815</v>
      </c>
      <c r="C1232" t="s">
        <v>16</v>
      </c>
      <c r="D1232" t="s">
        <v>13</v>
      </c>
      <c r="E1232" t="s">
        <v>14</v>
      </c>
      <c r="F1232" t="s">
        <v>36</v>
      </c>
      <c r="G1232">
        <v>3</v>
      </c>
      <c r="H1232" s="3">
        <v>55</v>
      </c>
      <c r="I1232" s="3">
        <v>29.56</v>
      </c>
      <c r="J1232" s="3">
        <f t="shared" si="57"/>
        <v>165</v>
      </c>
      <c r="K1232" s="3">
        <f t="shared" si="58"/>
        <v>88.679999999999993</v>
      </c>
      <c r="L1232" s="3">
        <f t="shared" si="59"/>
        <v>76.320000000000007</v>
      </c>
    </row>
    <row r="1233" spans="1:12" x14ac:dyDescent="0.3">
      <c r="A1233">
        <v>2008</v>
      </c>
      <c r="B1233" s="2">
        <v>45815</v>
      </c>
      <c r="C1233" t="s">
        <v>26</v>
      </c>
      <c r="D1233" t="s">
        <v>13</v>
      </c>
      <c r="E1233" t="s">
        <v>24</v>
      </c>
      <c r="F1233" t="s">
        <v>33</v>
      </c>
      <c r="G1233">
        <v>37</v>
      </c>
      <c r="H1233" s="3">
        <v>49.89</v>
      </c>
      <c r="I1233" s="3">
        <v>35.869999999999997</v>
      </c>
      <c r="J1233" s="3">
        <f t="shared" si="57"/>
        <v>1845.93</v>
      </c>
      <c r="K1233" s="3">
        <f t="shared" si="58"/>
        <v>1327.1899999999998</v>
      </c>
      <c r="L1233" s="3">
        <f t="shared" si="59"/>
        <v>518.74000000000024</v>
      </c>
    </row>
    <row r="1234" spans="1:12" x14ac:dyDescent="0.3">
      <c r="A1234">
        <v>2112</v>
      </c>
      <c r="B1234" s="2">
        <v>45815</v>
      </c>
      <c r="C1234" t="s">
        <v>12</v>
      </c>
      <c r="D1234" t="s">
        <v>13</v>
      </c>
      <c r="E1234" t="s">
        <v>14</v>
      </c>
      <c r="F1234" t="s">
        <v>33</v>
      </c>
      <c r="G1234">
        <v>16</v>
      </c>
      <c r="H1234" s="3">
        <v>56.42</v>
      </c>
      <c r="I1234" s="3">
        <v>32.340000000000003</v>
      </c>
      <c r="J1234" s="3">
        <f t="shared" si="57"/>
        <v>902.72</v>
      </c>
      <c r="K1234" s="3">
        <f t="shared" si="58"/>
        <v>517.44000000000005</v>
      </c>
      <c r="L1234" s="3">
        <f t="shared" si="59"/>
        <v>385.28</v>
      </c>
    </row>
    <row r="1235" spans="1:12" x14ac:dyDescent="0.3">
      <c r="A1235">
        <v>1357</v>
      </c>
      <c r="B1235" s="2">
        <v>45816</v>
      </c>
      <c r="C1235" t="s">
        <v>32</v>
      </c>
      <c r="D1235" t="s">
        <v>29</v>
      </c>
      <c r="E1235" t="s">
        <v>37</v>
      </c>
      <c r="F1235" t="s">
        <v>39</v>
      </c>
      <c r="G1235">
        <v>14</v>
      </c>
      <c r="H1235" s="3">
        <v>225.02</v>
      </c>
      <c r="I1235" s="3">
        <v>167.72</v>
      </c>
      <c r="J1235" s="3">
        <f t="shared" si="57"/>
        <v>3150.28</v>
      </c>
      <c r="K1235" s="3">
        <f t="shared" si="58"/>
        <v>2348.08</v>
      </c>
      <c r="L1235" s="3">
        <f t="shared" si="59"/>
        <v>802.20000000000027</v>
      </c>
    </row>
    <row r="1236" spans="1:12" x14ac:dyDescent="0.3">
      <c r="A1236">
        <v>1921</v>
      </c>
      <c r="B1236" s="2">
        <v>45816</v>
      </c>
      <c r="C1236" t="s">
        <v>12</v>
      </c>
      <c r="D1236" t="s">
        <v>13</v>
      </c>
      <c r="E1236" t="s">
        <v>31</v>
      </c>
      <c r="F1236" t="s">
        <v>25</v>
      </c>
      <c r="G1236">
        <v>14</v>
      </c>
      <c r="H1236" s="3">
        <v>10.9</v>
      </c>
      <c r="I1236" s="3">
        <v>5.79</v>
      </c>
      <c r="J1236" s="3">
        <f t="shared" si="57"/>
        <v>152.6</v>
      </c>
      <c r="K1236" s="3">
        <f t="shared" si="58"/>
        <v>81.06</v>
      </c>
      <c r="L1236" s="3">
        <f t="shared" si="59"/>
        <v>71.539999999999992</v>
      </c>
    </row>
    <row r="1237" spans="1:12" x14ac:dyDescent="0.3">
      <c r="A1237">
        <v>2146</v>
      </c>
      <c r="B1237" s="2">
        <v>45816</v>
      </c>
      <c r="C1237" t="s">
        <v>32</v>
      </c>
      <c r="D1237" t="s">
        <v>17</v>
      </c>
      <c r="E1237" t="s">
        <v>35</v>
      </c>
      <c r="F1237" t="s">
        <v>36</v>
      </c>
      <c r="G1237">
        <v>3</v>
      </c>
      <c r="H1237" s="3">
        <v>866.22</v>
      </c>
      <c r="I1237" s="3">
        <v>494.32</v>
      </c>
      <c r="J1237" s="3">
        <f t="shared" si="57"/>
        <v>2598.66</v>
      </c>
      <c r="K1237" s="3">
        <f t="shared" si="58"/>
        <v>1482.96</v>
      </c>
      <c r="L1237" s="3">
        <f t="shared" si="59"/>
        <v>1115.6999999999998</v>
      </c>
    </row>
    <row r="1238" spans="1:12" x14ac:dyDescent="0.3">
      <c r="A1238">
        <v>1280</v>
      </c>
      <c r="B1238" s="2">
        <v>45817</v>
      </c>
      <c r="C1238" t="s">
        <v>26</v>
      </c>
      <c r="D1238" t="s">
        <v>29</v>
      </c>
      <c r="E1238" t="s">
        <v>43</v>
      </c>
      <c r="F1238" t="s">
        <v>19</v>
      </c>
      <c r="G1238">
        <v>2</v>
      </c>
      <c r="H1238" s="3">
        <v>313.5</v>
      </c>
      <c r="I1238" s="3">
        <v>164.17</v>
      </c>
      <c r="J1238" s="3">
        <f t="shared" si="57"/>
        <v>627</v>
      </c>
      <c r="K1238" s="3">
        <f t="shared" si="58"/>
        <v>328.34</v>
      </c>
      <c r="L1238" s="3">
        <f t="shared" si="59"/>
        <v>298.66000000000003</v>
      </c>
    </row>
    <row r="1239" spans="1:12" x14ac:dyDescent="0.3">
      <c r="A1239">
        <v>2363</v>
      </c>
      <c r="B1239" s="2">
        <v>45818</v>
      </c>
      <c r="C1239" t="s">
        <v>26</v>
      </c>
      <c r="D1239" t="s">
        <v>17</v>
      </c>
      <c r="E1239" t="s">
        <v>44</v>
      </c>
      <c r="F1239" t="s">
        <v>36</v>
      </c>
      <c r="G1239">
        <v>22</v>
      </c>
      <c r="H1239" s="3">
        <v>614.91999999999996</v>
      </c>
      <c r="I1239" s="3">
        <v>329.32</v>
      </c>
      <c r="J1239" s="3">
        <f t="shared" si="57"/>
        <v>13528.24</v>
      </c>
      <c r="K1239" s="3">
        <f t="shared" si="58"/>
        <v>7245.04</v>
      </c>
      <c r="L1239" s="3">
        <f t="shared" si="59"/>
        <v>6283.2</v>
      </c>
    </row>
    <row r="1240" spans="1:12" x14ac:dyDescent="0.3">
      <c r="A1240">
        <v>1171</v>
      </c>
      <c r="B1240" s="2">
        <v>45819</v>
      </c>
      <c r="C1240" t="s">
        <v>12</v>
      </c>
      <c r="D1240" t="s">
        <v>29</v>
      </c>
      <c r="E1240" t="s">
        <v>43</v>
      </c>
      <c r="F1240" t="s">
        <v>19</v>
      </c>
      <c r="G1240">
        <v>26</v>
      </c>
      <c r="H1240" s="3">
        <v>205.68</v>
      </c>
      <c r="I1240" s="3">
        <v>145.43</v>
      </c>
      <c r="J1240" s="3">
        <f t="shared" si="57"/>
        <v>5347.68</v>
      </c>
      <c r="K1240" s="3">
        <f t="shared" si="58"/>
        <v>3781.1800000000003</v>
      </c>
      <c r="L1240" s="3">
        <f t="shared" si="59"/>
        <v>1566.5</v>
      </c>
    </row>
    <row r="1241" spans="1:12" x14ac:dyDescent="0.3">
      <c r="A1241">
        <v>1812</v>
      </c>
      <c r="B1241" s="2">
        <v>45819</v>
      </c>
      <c r="C1241" t="s">
        <v>32</v>
      </c>
      <c r="D1241" t="s">
        <v>20</v>
      </c>
      <c r="E1241" t="s">
        <v>34</v>
      </c>
      <c r="F1241" t="s">
        <v>36</v>
      </c>
      <c r="G1241">
        <v>16</v>
      </c>
      <c r="H1241" s="3">
        <v>212.64</v>
      </c>
      <c r="I1241" s="3">
        <v>157.06</v>
      </c>
      <c r="J1241" s="3">
        <f t="shared" si="57"/>
        <v>3402.24</v>
      </c>
      <c r="K1241" s="3">
        <f t="shared" si="58"/>
        <v>2512.96</v>
      </c>
      <c r="L1241" s="3">
        <f t="shared" si="59"/>
        <v>889.27999999999975</v>
      </c>
    </row>
    <row r="1242" spans="1:12" x14ac:dyDescent="0.3">
      <c r="A1242">
        <v>1683</v>
      </c>
      <c r="B1242" s="2">
        <v>45820</v>
      </c>
      <c r="C1242" t="s">
        <v>32</v>
      </c>
      <c r="D1242" t="s">
        <v>17</v>
      </c>
      <c r="E1242" t="s">
        <v>18</v>
      </c>
      <c r="F1242" t="s">
        <v>19</v>
      </c>
      <c r="G1242">
        <v>1</v>
      </c>
      <c r="H1242" s="3">
        <v>662.81</v>
      </c>
      <c r="I1242" s="3">
        <v>397.96</v>
      </c>
      <c r="J1242" s="3">
        <f t="shared" si="57"/>
        <v>662.81</v>
      </c>
      <c r="K1242" s="3">
        <f t="shared" si="58"/>
        <v>397.96</v>
      </c>
      <c r="L1242" s="3">
        <f t="shared" si="59"/>
        <v>264.84999999999997</v>
      </c>
    </row>
    <row r="1243" spans="1:12" x14ac:dyDescent="0.3">
      <c r="A1243">
        <v>1369</v>
      </c>
      <c r="B1243" s="2">
        <v>45821</v>
      </c>
      <c r="C1243" t="s">
        <v>32</v>
      </c>
      <c r="D1243" t="s">
        <v>20</v>
      </c>
      <c r="E1243" t="s">
        <v>21</v>
      </c>
      <c r="F1243" t="s">
        <v>22</v>
      </c>
      <c r="G1243">
        <v>19</v>
      </c>
      <c r="H1243" s="3">
        <v>285.5</v>
      </c>
      <c r="I1243" s="3">
        <v>154.69999999999999</v>
      </c>
      <c r="J1243" s="3">
        <f t="shared" si="57"/>
        <v>5424.5</v>
      </c>
      <c r="K1243" s="3">
        <f t="shared" si="58"/>
        <v>2939.2999999999997</v>
      </c>
      <c r="L1243" s="3">
        <f t="shared" si="59"/>
        <v>2485.2000000000003</v>
      </c>
    </row>
    <row r="1244" spans="1:12" x14ac:dyDescent="0.3">
      <c r="A1244">
        <v>2636</v>
      </c>
      <c r="B1244" s="2">
        <v>45821</v>
      </c>
      <c r="C1244" t="s">
        <v>16</v>
      </c>
      <c r="D1244" t="s">
        <v>17</v>
      </c>
      <c r="E1244" t="s">
        <v>35</v>
      </c>
      <c r="F1244" t="s">
        <v>39</v>
      </c>
      <c r="G1244">
        <v>11</v>
      </c>
      <c r="H1244" s="3">
        <v>182.39</v>
      </c>
      <c r="I1244" s="3">
        <v>99.21</v>
      </c>
      <c r="J1244" s="3">
        <f t="shared" si="57"/>
        <v>2006.29</v>
      </c>
      <c r="K1244" s="3">
        <f t="shared" si="58"/>
        <v>1091.31</v>
      </c>
      <c r="L1244" s="3">
        <f t="shared" si="59"/>
        <v>914.98</v>
      </c>
    </row>
    <row r="1245" spans="1:12" x14ac:dyDescent="0.3">
      <c r="A1245">
        <v>2229</v>
      </c>
      <c r="B1245" s="2">
        <v>45822</v>
      </c>
      <c r="C1245" t="s">
        <v>16</v>
      </c>
      <c r="D1245" t="s">
        <v>17</v>
      </c>
      <c r="E1245" t="s">
        <v>35</v>
      </c>
      <c r="F1245" t="s">
        <v>19</v>
      </c>
      <c r="G1245">
        <v>21</v>
      </c>
      <c r="H1245" s="3">
        <v>371.11</v>
      </c>
      <c r="I1245" s="3">
        <v>220.92</v>
      </c>
      <c r="J1245" s="3">
        <f t="shared" si="57"/>
        <v>7793.31</v>
      </c>
      <c r="K1245" s="3">
        <f t="shared" si="58"/>
        <v>4639.32</v>
      </c>
      <c r="L1245" s="3">
        <f t="shared" si="59"/>
        <v>3153.9900000000007</v>
      </c>
    </row>
    <row r="1246" spans="1:12" x14ac:dyDescent="0.3">
      <c r="A1246">
        <v>1160</v>
      </c>
      <c r="B1246" s="2">
        <v>45823</v>
      </c>
      <c r="C1246" t="s">
        <v>32</v>
      </c>
      <c r="D1246" t="s">
        <v>17</v>
      </c>
      <c r="E1246" t="s">
        <v>40</v>
      </c>
      <c r="F1246" t="s">
        <v>39</v>
      </c>
      <c r="G1246">
        <v>36</v>
      </c>
      <c r="H1246" s="3">
        <v>290.54000000000002</v>
      </c>
      <c r="I1246" s="3">
        <v>191.83</v>
      </c>
      <c r="J1246" s="3">
        <f t="shared" si="57"/>
        <v>10459.44</v>
      </c>
      <c r="K1246" s="3">
        <f t="shared" si="58"/>
        <v>6905.88</v>
      </c>
      <c r="L1246" s="3">
        <f t="shared" si="59"/>
        <v>3553.5600000000004</v>
      </c>
    </row>
    <row r="1247" spans="1:12" x14ac:dyDescent="0.3">
      <c r="A1247">
        <v>2547</v>
      </c>
      <c r="B1247" s="2">
        <v>45823</v>
      </c>
      <c r="C1247" t="s">
        <v>12</v>
      </c>
      <c r="D1247" t="s">
        <v>13</v>
      </c>
      <c r="E1247" t="s">
        <v>24</v>
      </c>
      <c r="F1247" t="s">
        <v>22</v>
      </c>
      <c r="G1247">
        <v>7</v>
      </c>
      <c r="H1247" s="3">
        <v>23.77</v>
      </c>
      <c r="I1247" s="3">
        <v>12.21</v>
      </c>
      <c r="J1247" s="3">
        <f t="shared" si="57"/>
        <v>166.39</v>
      </c>
      <c r="K1247" s="3">
        <f t="shared" si="58"/>
        <v>85.47</v>
      </c>
      <c r="L1247" s="3">
        <f t="shared" si="59"/>
        <v>80.919999999999987</v>
      </c>
    </row>
    <row r="1248" spans="1:12" x14ac:dyDescent="0.3">
      <c r="A1248">
        <v>1685</v>
      </c>
      <c r="B1248" s="2">
        <v>45824</v>
      </c>
      <c r="C1248" t="s">
        <v>32</v>
      </c>
      <c r="D1248" t="s">
        <v>20</v>
      </c>
      <c r="E1248" t="s">
        <v>21</v>
      </c>
      <c r="F1248" t="s">
        <v>15</v>
      </c>
      <c r="G1248">
        <v>21</v>
      </c>
      <c r="H1248" s="3">
        <v>167.78</v>
      </c>
      <c r="I1248" s="3">
        <v>122.5</v>
      </c>
      <c r="J1248" s="3">
        <f t="shared" si="57"/>
        <v>3523.38</v>
      </c>
      <c r="K1248" s="3">
        <f t="shared" si="58"/>
        <v>2572.5</v>
      </c>
      <c r="L1248" s="3">
        <f t="shared" si="59"/>
        <v>950.88000000000011</v>
      </c>
    </row>
    <row r="1249" spans="1:12" x14ac:dyDescent="0.3">
      <c r="A1249">
        <v>1793</v>
      </c>
      <c r="B1249" s="2">
        <v>45824</v>
      </c>
      <c r="C1249" t="s">
        <v>32</v>
      </c>
      <c r="D1249" t="s">
        <v>20</v>
      </c>
      <c r="E1249" t="s">
        <v>21</v>
      </c>
      <c r="F1249" t="s">
        <v>33</v>
      </c>
      <c r="G1249">
        <v>39</v>
      </c>
      <c r="H1249" s="3">
        <v>299.83999999999997</v>
      </c>
      <c r="I1249" s="3">
        <v>211.15</v>
      </c>
      <c r="J1249" s="3">
        <f t="shared" si="57"/>
        <v>11693.759999999998</v>
      </c>
      <c r="K1249" s="3">
        <f t="shared" si="58"/>
        <v>8234.85</v>
      </c>
      <c r="L1249" s="3">
        <f t="shared" si="59"/>
        <v>3458.909999999998</v>
      </c>
    </row>
    <row r="1250" spans="1:12" x14ac:dyDescent="0.3">
      <c r="A1250">
        <v>1956</v>
      </c>
      <c r="B1250" s="2">
        <v>45824</v>
      </c>
      <c r="C1250" t="s">
        <v>32</v>
      </c>
      <c r="D1250" t="s">
        <v>17</v>
      </c>
      <c r="E1250" t="s">
        <v>18</v>
      </c>
      <c r="F1250" t="s">
        <v>28</v>
      </c>
      <c r="G1250">
        <v>37</v>
      </c>
      <c r="H1250" s="3">
        <v>873.25</v>
      </c>
      <c r="I1250" s="3">
        <v>545.54999999999995</v>
      </c>
      <c r="J1250" s="3">
        <f t="shared" si="57"/>
        <v>32310.25</v>
      </c>
      <c r="K1250" s="3">
        <f t="shared" si="58"/>
        <v>20185.349999999999</v>
      </c>
      <c r="L1250" s="3">
        <f t="shared" si="59"/>
        <v>12124.900000000001</v>
      </c>
    </row>
    <row r="1251" spans="1:12" x14ac:dyDescent="0.3">
      <c r="A1251">
        <v>2435</v>
      </c>
      <c r="B1251" s="2">
        <v>45824</v>
      </c>
      <c r="C1251" t="s">
        <v>16</v>
      </c>
      <c r="D1251" t="s">
        <v>29</v>
      </c>
      <c r="E1251" t="s">
        <v>41</v>
      </c>
      <c r="F1251" t="s">
        <v>19</v>
      </c>
      <c r="G1251">
        <v>39</v>
      </c>
      <c r="H1251" s="3">
        <v>480.52</v>
      </c>
      <c r="I1251" s="3">
        <v>313.64999999999998</v>
      </c>
      <c r="J1251" s="3">
        <f t="shared" si="57"/>
        <v>18740.28</v>
      </c>
      <c r="K1251" s="3">
        <f t="shared" si="58"/>
        <v>12232.349999999999</v>
      </c>
      <c r="L1251" s="3">
        <f t="shared" si="59"/>
        <v>6507.93</v>
      </c>
    </row>
    <row r="1252" spans="1:12" x14ac:dyDescent="0.3">
      <c r="A1252">
        <v>1996</v>
      </c>
      <c r="B1252" s="2">
        <v>45825</v>
      </c>
      <c r="C1252" t="s">
        <v>12</v>
      </c>
      <c r="D1252" t="s">
        <v>29</v>
      </c>
      <c r="E1252" t="s">
        <v>37</v>
      </c>
      <c r="F1252" t="s">
        <v>25</v>
      </c>
      <c r="G1252">
        <v>24</v>
      </c>
      <c r="H1252" s="3">
        <v>95.06</v>
      </c>
      <c r="I1252" s="3">
        <v>57.99</v>
      </c>
      <c r="J1252" s="3">
        <f t="shared" si="57"/>
        <v>2281.44</v>
      </c>
      <c r="K1252" s="3">
        <f t="shared" si="58"/>
        <v>1391.76</v>
      </c>
      <c r="L1252" s="3">
        <f t="shared" si="59"/>
        <v>889.68000000000006</v>
      </c>
    </row>
    <row r="1253" spans="1:12" x14ac:dyDescent="0.3">
      <c r="A1253">
        <v>2663</v>
      </c>
      <c r="B1253" s="2">
        <v>45826</v>
      </c>
      <c r="C1253" t="s">
        <v>23</v>
      </c>
      <c r="D1253" t="s">
        <v>20</v>
      </c>
      <c r="E1253" t="s">
        <v>34</v>
      </c>
      <c r="F1253" t="s">
        <v>36</v>
      </c>
      <c r="G1253">
        <v>23</v>
      </c>
      <c r="H1253" s="3">
        <v>234.48</v>
      </c>
      <c r="I1253" s="3">
        <v>141.47</v>
      </c>
      <c r="J1253" s="3">
        <f t="shared" si="57"/>
        <v>5393.04</v>
      </c>
      <c r="K1253" s="3">
        <f t="shared" si="58"/>
        <v>3253.81</v>
      </c>
      <c r="L1253" s="3">
        <f t="shared" si="59"/>
        <v>2139.23</v>
      </c>
    </row>
    <row r="1254" spans="1:12" x14ac:dyDescent="0.3">
      <c r="A1254">
        <v>2694</v>
      </c>
      <c r="B1254" s="2">
        <v>45826</v>
      </c>
      <c r="C1254" t="s">
        <v>16</v>
      </c>
      <c r="D1254" t="s">
        <v>20</v>
      </c>
      <c r="E1254" t="s">
        <v>42</v>
      </c>
      <c r="F1254" t="s">
        <v>33</v>
      </c>
      <c r="G1254">
        <v>37</v>
      </c>
      <c r="H1254" s="3">
        <v>142.22999999999999</v>
      </c>
      <c r="I1254" s="3">
        <v>90.16</v>
      </c>
      <c r="J1254" s="3">
        <f t="shared" si="57"/>
        <v>5262.5099999999993</v>
      </c>
      <c r="K1254" s="3">
        <f t="shared" si="58"/>
        <v>3335.92</v>
      </c>
      <c r="L1254" s="3">
        <f t="shared" si="59"/>
        <v>1926.5899999999992</v>
      </c>
    </row>
    <row r="1255" spans="1:12" x14ac:dyDescent="0.3">
      <c r="A1255">
        <v>1266</v>
      </c>
      <c r="B1255" s="2">
        <v>45827</v>
      </c>
      <c r="C1255" t="s">
        <v>16</v>
      </c>
      <c r="D1255" t="s">
        <v>29</v>
      </c>
      <c r="E1255" t="s">
        <v>37</v>
      </c>
      <c r="F1255" t="s">
        <v>33</v>
      </c>
      <c r="G1255">
        <v>9</v>
      </c>
      <c r="H1255" s="3">
        <v>387.83</v>
      </c>
      <c r="I1255" s="3">
        <v>281.17</v>
      </c>
      <c r="J1255" s="3">
        <f t="shared" si="57"/>
        <v>3490.47</v>
      </c>
      <c r="K1255" s="3">
        <f t="shared" si="58"/>
        <v>2530.5300000000002</v>
      </c>
      <c r="L1255" s="3">
        <f t="shared" si="59"/>
        <v>959.9399999999996</v>
      </c>
    </row>
    <row r="1256" spans="1:12" x14ac:dyDescent="0.3">
      <c r="A1256">
        <v>1338</v>
      </c>
      <c r="B1256" s="2">
        <v>45827</v>
      </c>
      <c r="C1256" t="s">
        <v>12</v>
      </c>
      <c r="D1256" t="s">
        <v>29</v>
      </c>
      <c r="E1256" t="s">
        <v>41</v>
      </c>
      <c r="F1256" t="s">
        <v>15</v>
      </c>
      <c r="G1256">
        <v>11</v>
      </c>
      <c r="H1256" s="3">
        <v>167.23</v>
      </c>
      <c r="I1256" s="3">
        <v>97.44</v>
      </c>
      <c r="J1256" s="3">
        <f t="shared" si="57"/>
        <v>1839.53</v>
      </c>
      <c r="K1256" s="3">
        <f t="shared" si="58"/>
        <v>1071.8399999999999</v>
      </c>
      <c r="L1256" s="3">
        <f t="shared" si="59"/>
        <v>767.69</v>
      </c>
    </row>
    <row r="1257" spans="1:12" x14ac:dyDescent="0.3">
      <c r="A1257">
        <v>1468</v>
      </c>
      <c r="B1257" s="2">
        <v>45827</v>
      </c>
      <c r="C1257" t="s">
        <v>32</v>
      </c>
      <c r="D1257" t="s">
        <v>20</v>
      </c>
      <c r="E1257" t="s">
        <v>34</v>
      </c>
      <c r="F1257" t="s">
        <v>22</v>
      </c>
      <c r="G1257">
        <v>25</v>
      </c>
      <c r="H1257" s="3">
        <v>67.69</v>
      </c>
      <c r="I1257" s="3">
        <v>38.65</v>
      </c>
      <c r="J1257" s="3">
        <f t="shared" si="57"/>
        <v>1692.25</v>
      </c>
      <c r="K1257" s="3">
        <f t="shared" si="58"/>
        <v>966.25</v>
      </c>
      <c r="L1257" s="3">
        <f t="shared" si="59"/>
        <v>726</v>
      </c>
    </row>
    <row r="1258" spans="1:12" x14ac:dyDescent="0.3">
      <c r="A1258">
        <v>1907</v>
      </c>
      <c r="B1258" s="2">
        <v>45827</v>
      </c>
      <c r="C1258" t="s">
        <v>32</v>
      </c>
      <c r="D1258" t="s">
        <v>17</v>
      </c>
      <c r="E1258" t="s">
        <v>44</v>
      </c>
      <c r="F1258" t="s">
        <v>28</v>
      </c>
      <c r="G1258">
        <v>28</v>
      </c>
      <c r="H1258" s="3">
        <v>373.42</v>
      </c>
      <c r="I1258" s="3">
        <v>213.32</v>
      </c>
      <c r="J1258" s="3">
        <f t="shared" si="57"/>
        <v>10455.76</v>
      </c>
      <c r="K1258" s="3">
        <f t="shared" si="58"/>
        <v>5972.96</v>
      </c>
      <c r="L1258" s="3">
        <f t="shared" si="59"/>
        <v>4482.8</v>
      </c>
    </row>
    <row r="1259" spans="1:12" x14ac:dyDescent="0.3">
      <c r="A1259">
        <v>2052</v>
      </c>
      <c r="B1259" s="2">
        <v>45827</v>
      </c>
      <c r="C1259" t="s">
        <v>12</v>
      </c>
      <c r="D1259" t="s">
        <v>29</v>
      </c>
      <c r="E1259" t="s">
        <v>43</v>
      </c>
      <c r="F1259" t="s">
        <v>28</v>
      </c>
      <c r="G1259">
        <v>30</v>
      </c>
      <c r="H1259" s="3">
        <v>393.64</v>
      </c>
      <c r="I1259" s="3">
        <v>288.13</v>
      </c>
      <c r="J1259" s="3">
        <f t="shared" si="57"/>
        <v>11809.199999999999</v>
      </c>
      <c r="K1259" s="3">
        <f t="shared" si="58"/>
        <v>8643.9</v>
      </c>
      <c r="L1259" s="3">
        <f t="shared" si="59"/>
        <v>3165.2999999999993</v>
      </c>
    </row>
    <row r="1260" spans="1:12" x14ac:dyDescent="0.3">
      <c r="A1260">
        <v>1448</v>
      </c>
      <c r="B1260" s="2">
        <v>45828</v>
      </c>
      <c r="C1260" t="s">
        <v>23</v>
      </c>
      <c r="D1260" t="s">
        <v>13</v>
      </c>
      <c r="E1260" t="s">
        <v>46</v>
      </c>
      <c r="F1260" t="s">
        <v>15</v>
      </c>
      <c r="G1260">
        <v>21</v>
      </c>
      <c r="H1260" s="3">
        <v>21.36</v>
      </c>
      <c r="I1260" s="3">
        <v>10.91</v>
      </c>
      <c r="J1260" s="3">
        <f t="shared" si="57"/>
        <v>448.56</v>
      </c>
      <c r="K1260" s="3">
        <f t="shared" si="58"/>
        <v>229.11</v>
      </c>
      <c r="L1260" s="3">
        <f t="shared" si="59"/>
        <v>219.45</v>
      </c>
    </row>
    <row r="1261" spans="1:12" x14ac:dyDescent="0.3">
      <c r="A1261">
        <v>1464</v>
      </c>
      <c r="B1261" s="2">
        <v>45828</v>
      </c>
      <c r="C1261" t="s">
        <v>12</v>
      </c>
      <c r="D1261" t="s">
        <v>13</v>
      </c>
      <c r="E1261" t="s">
        <v>45</v>
      </c>
      <c r="F1261" t="s">
        <v>15</v>
      </c>
      <c r="G1261">
        <v>28</v>
      </c>
      <c r="H1261" s="3">
        <v>55.68</v>
      </c>
      <c r="I1261" s="3">
        <v>33.74</v>
      </c>
      <c r="J1261" s="3">
        <f t="shared" si="57"/>
        <v>1559.04</v>
      </c>
      <c r="K1261" s="3">
        <f t="shared" si="58"/>
        <v>944.72</v>
      </c>
      <c r="L1261" s="3">
        <f t="shared" si="59"/>
        <v>614.31999999999994</v>
      </c>
    </row>
    <row r="1262" spans="1:12" x14ac:dyDescent="0.3">
      <c r="A1262">
        <v>2081</v>
      </c>
      <c r="B1262" s="2">
        <v>45828</v>
      </c>
      <c r="C1262" t="s">
        <v>12</v>
      </c>
      <c r="D1262" t="s">
        <v>13</v>
      </c>
      <c r="E1262" t="s">
        <v>24</v>
      </c>
      <c r="F1262" t="s">
        <v>33</v>
      </c>
      <c r="G1262">
        <v>4</v>
      </c>
      <c r="H1262" s="3">
        <v>20.63</v>
      </c>
      <c r="I1262" s="3">
        <v>12.68</v>
      </c>
      <c r="J1262" s="3">
        <f t="shared" si="57"/>
        <v>82.52</v>
      </c>
      <c r="K1262" s="3">
        <f t="shared" si="58"/>
        <v>50.72</v>
      </c>
      <c r="L1262" s="3">
        <f t="shared" si="59"/>
        <v>31.799999999999997</v>
      </c>
    </row>
    <row r="1263" spans="1:12" x14ac:dyDescent="0.3">
      <c r="A1263">
        <v>2096</v>
      </c>
      <c r="B1263" s="2">
        <v>45828</v>
      </c>
      <c r="C1263" t="s">
        <v>16</v>
      </c>
      <c r="D1263" t="s">
        <v>20</v>
      </c>
      <c r="E1263" t="s">
        <v>42</v>
      </c>
      <c r="F1263" t="s">
        <v>25</v>
      </c>
      <c r="G1263">
        <v>21</v>
      </c>
      <c r="H1263" s="3">
        <v>198.59</v>
      </c>
      <c r="I1263" s="3">
        <v>143.09</v>
      </c>
      <c r="J1263" s="3">
        <f t="shared" si="57"/>
        <v>4170.3900000000003</v>
      </c>
      <c r="K1263" s="3">
        <f t="shared" si="58"/>
        <v>3004.89</v>
      </c>
      <c r="L1263" s="3">
        <f t="shared" si="59"/>
        <v>1165.5000000000005</v>
      </c>
    </row>
    <row r="1264" spans="1:12" x14ac:dyDescent="0.3">
      <c r="A1264">
        <v>2125</v>
      </c>
      <c r="B1264" s="2">
        <v>45828</v>
      </c>
      <c r="C1264" t="s">
        <v>12</v>
      </c>
      <c r="D1264" t="s">
        <v>13</v>
      </c>
      <c r="E1264" t="s">
        <v>31</v>
      </c>
      <c r="F1264" t="s">
        <v>22</v>
      </c>
      <c r="G1264">
        <v>26</v>
      </c>
      <c r="H1264" s="3">
        <v>57.27</v>
      </c>
      <c r="I1264" s="3">
        <v>42.4</v>
      </c>
      <c r="J1264" s="3">
        <f t="shared" si="57"/>
        <v>1489.02</v>
      </c>
      <c r="K1264" s="3">
        <f t="shared" si="58"/>
        <v>1102.3999999999999</v>
      </c>
      <c r="L1264" s="3">
        <f t="shared" si="59"/>
        <v>386.62000000000012</v>
      </c>
    </row>
    <row r="1265" spans="1:12" x14ac:dyDescent="0.3">
      <c r="A1265">
        <v>1537</v>
      </c>
      <c r="B1265" s="2">
        <v>45829</v>
      </c>
      <c r="C1265" t="s">
        <v>26</v>
      </c>
      <c r="D1265" t="s">
        <v>20</v>
      </c>
      <c r="E1265" t="s">
        <v>38</v>
      </c>
      <c r="F1265" t="s">
        <v>39</v>
      </c>
      <c r="G1265">
        <v>19</v>
      </c>
      <c r="H1265" s="3">
        <v>35.93</v>
      </c>
      <c r="I1265" s="3">
        <v>23.3</v>
      </c>
      <c r="J1265" s="3">
        <f t="shared" si="57"/>
        <v>682.67</v>
      </c>
      <c r="K1265" s="3">
        <f t="shared" si="58"/>
        <v>442.7</v>
      </c>
      <c r="L1265" s="3">
        <f t="shared" si="59"/>
        <v>239.96999999999997</v>
      </c>
    </row>
    <row r="1266" spans="1:12" x14ac:dyDescent="0.3">
      <c r="A1266">
        <v>2355</v>
      </c>
      <c r="B1266" s="2">
        <v>45829</v>
      </c>
      <c r="C1266" t="s">
        <v>23</v>
      </c>
      <c r="D1266" t="s">
        <v>29</v>
      </c>
      <c r="E1266" t="s">
        <v>41</v>
      </c>
      <c r="F1266" t="s">
        <v>15</v>
      </c>
      <c r="G1266">
        <v>34</v>
      </c>
      <c r="H1266" s="3">
        <v>440.33</v>
      </c>
      <c r="I1266" s="3">
        <v>224.17</v>
      </c>
      <c r="J1266" s="3">
        <f t="shared" si="57"/>
        <v>14971.22</v>
      </c>
      <c r="K1266" s="3">
        <f t="shared" si="58"/>
        <v>7621.78</v>
      </c>
      <c r="L1266" s="3">
        <f t="shared" si="59"/>
        <v>7349.44</v>
      </c>
    </row>
    <row r="1267" spans="1:12" x14ac:dyDescent="0.3">
      <c r="A1267">
        <v>2462</v>
      </c>
      <c r="B1267" s="2">
        <v>45829</v>
      </c>
      <c r="C1267" t="s">
        <v>26</v>
      </c>
      <c r="D1267" t="s">
        <v>17</v>
      </c>
      <c r="E1267" t="s">
        <v>44</v>
      </c>
      <c r="F1267" t="s">
        <v>39</v>
      </c>
      <c r="G1267">
        <v>2</v>
      </c>
      <c r="H1267" s="3">
        <v>897.7</v>
      </c>
      <c r="I1267" s="3">
        <v>473.99</v>
      </c>
      <c r="J1267" s="3">
        <f t="shared" si="57"/>
        <v>1795.4</v>
      </c>
      <c r="K1267" s="3">
        <f t="shared" si="58"/>
        <v>947.98</v>
      </c>
      <c r="L1267" s="3">
        <f t="shared" si="59"/>
        <v>847.42000000000007</v>
      </c>
    </row>
    <row r="1268" spans="1:12" x14ac:dyDescent="0.3">
      <c r="A1268">
        <v>2700</v>
      </c>
      <c r="B1268" s="2">
        <v>45829</v>
      </c>
      <c r="C1268" t="s">
        <v>26</v>
      </c>
      <c r="D1268" t="s">
        <v>17</v>
      </c>
      <c r="E1268" t="s">
        <v>18</v>
      </c>
      <c r="F1268" t="s">
        <v>33</v>
      </c>
      <c r="G1268">
        <v>37</v>
      </c>
      <c r="H1268" s="3">
        <v>566.04999999999995</v>
      </c>
      <c r="I1268" s="3">
        <v>371.8</v>
      </c>
      <c r="J1268" s="3">
        <f t="shared" si="57"/>
        <v>20943.849999999999</v>
      </c>
      <c r="K1268" s="3">
        <f t="shared" si="58"/>
        <v>13756.6</v>
      </c>
      <c r="L1268" s="3">
        <f t="shared" si="59"/>
        <v>7187.2499999999982</v>
      </c>
    </row>
    <row r="1269" spans="1:12" x14ac:dyDescent="0.3">
      <c r="A1269">
        <v>1526</v>
      </c>
      <c r="B1269" s="2">
        <v>45831</v>
      </c>
      <c r="C1269" t="s">
        <v>32</v>
      </c>
      <c r="D1269" t="s">
        <v>20</v>
      </c>
      <c r="E1269" t="s">
        <v>42</v>
      </c>
      <c r="F1269" t="s">
        <v>25</v>
      </c>
      <c r="G1269">
        <v>16</v>
      </c>
      <c r="H1269" s="3">
        <v>41.86</v>
      </c>
      <c r="I1269" s="3">
        <v>27.56</v>
      </c>
      <c r="J1269" s="3">
        <f t="shared" si="57"/>
        <v>669.76</v>
      </c>
      <c r="K1269" s="3">
        <f t="shared" si="58"/>
        <v>440.96</v>
      </c>
      <c r="L1269" s="3">
        <f t="shared" si="59"/>
        <v>228.8</v>
      </c>
    </row>
    <row r="1270" spans="1:12" x14ac:dyDescent="0.3">
      <c r="A1270">
        <v>2040</v>
      </c>
      <c r="B1270" s="2">
        <v>45831</v>
      </c>
      <c r="C1270" t="s">
        <v>26</v>
      </c>
      <c r="D1270" t="s">
        <v>20</v>
      </c>
      <c r="E1270" t="s">
        <v>21</v>
      </c>
      <c r="F1270" t="s">
        <v>22</v>
      </c>
      <c r="G1270">
        <v>11</v>
      </c>
      <c r="H1270" s="3">
        <v>212.66</v>
      </c>
      <c r="I1270" s="3">
        <v>108.13</v>
      </c>
      <c r="J1270" s="3">
        <f t="shared" si="57"/>
        <v>2339.2599999999998</v>
      </c>
      <c r="K1270" s="3">
        <f t="shared" si="58"/>
        <v>1189.4299999999998</v>
      </c>
      <c r="L1270" s="3">
        <f t="shared" si="59"/>
        <v>1149.83</v>
      </c>
    </row>
    <row r="1271" spans="1:12" x14ac:dyDescent="0.3">
      <c r="A1271">
        <v>1833</v>
      </c>
      <c r="B1271" s="2">
        <v>45832</v>
      </c>
      <c r="C1271" t="s">
        <v>16</v>
      </c>
      <c r="D1271" t="s">
        <v>17</v>
      </c>
      <c r="E1271" t="s">
        <v>35</v>
      </c>
      <c r="F1271" t="s">
        <v>28</v>
      </c>
      <c r="G1271">
        <v>11</v>
      </c>
      <c r="H1271" s="3">
        <v>626.6</v>
      </c>
      <c r="I1271" s="3">
        <v>325.07</v>
      </c>
      <c r="J1271" s="3">
        <f t="shared" si="57"/>
        <v>6892.6</v>
      </c>
      <c r="K1271" s="3">
        <f t="shared" si="58"/>
        <v>3575.77</v>
      </c>
      <c r="L1271" s="3">
        <f t="shared" si="59"/>
        <v>3316.8300000000004</v>
      </c>
    </row>
    <row r="1272" spans="1:12" x14ac:dyDescent="0.3">
      <c r="A1272">
        <v>1940</v>
      </c>
      <c r="B1272" s="2">
        <v>45832</v>
      </c>
      <c r="C1272" t="s">
        <v>16</v>
      </c>
      <c r="D1272" t="s">
        <v>29</v>
      </c>
      <c r="E1272" t="s">
        <v>43</v>
      </c>
      <c r="F1272" t="s">
        <v>28</v>
      </c>
      <c r="G1272">
        <v>10</v>
      </c>
      <c r="H1272" s="3">
        <v>134.63</v>
      </c>
      <c r="I1272" s="3">
        <v>80.290000000000006</v>
      </c>
      <c r="J1272" s="3">
        <f t="shared" si="57"/>
        <v>1346.3</v>
      </c>
      <c r="K1272" s="3">
        <f t="shared" si="58"/>
        <v>802.90000000000009</v>
      </c>
      <c r="L1272" s="3">
        <f t="shared" si="59"/>
        <v>543.39999999999986</v>
      </c>
    </row>
    <row r="1273" spans="1:12" x14ac:dyDescent="0.3">
      <c r="A1273">
        <v>2473</v>
      </c>
      <c r="B1273" s="2">
        <v>45832</v>
      </c>
      <c r="C1273" t="s">
        <v>23</v>
      </c>
      <c r="D1273" t="s">
        <v>13</v>
      </c>
      <c r="E1273" t="s">
        <v>31</v>
      </c>
      <c r="F1273" t="s">
        <v>15</v>
      </c>
      <c r="G1273">
        <v>16</v>
      </c>
      <c r="H1273" s="3">
        <v>41.03</v>
      </c>
      <c r="I1273" s="3">
        <v>21.92</v>
      </c>
      <c r="J1273" s="3">
        <f t="shared" si="57"/>
        <v>656.48</v>
      </c>
      <c r="K1273" s="3">
        <f t="shared" si="58"/>
        <v>350.72</v>
      </c>
      <c r="L1273" s="3">
        <f t="shared" si="59"/>
        <v>305.76</v>
      </c>
    </row>
    <row r="1274" spans="1:12" x14ac:dyDescent="0.3">
      <c r="A1274">
        <v>2573</v>
      </c>
      <c r="B1274" s="2">
        <v>45832</v>
      </c>
      <c r="C1274" t="s">
        <v>32</v>
      </c>
      <c r="D1274" t="s">
        <v>20</v>
      </c>
      <c r="E1274" t="s">
        <v>21</v>
      </c>
      <c r="F1274" t="s">
        <v>36</v>
      </c>
      <c r="G1274">
        <v>39</v>
      </c>
      <c r="H1274" s="3">
        <v>21.53</v>
      </c>
      <c r="I1274" s="3">
        <v>11.84</v>
      </c>
      <c r="J1274" s="3">
        <f t="shared" si="57"/>
        <v>839.67000000000007</v>
      </c>
      <c r="K1274" s="3">
        <f t="shared" si="58"/>
        <v>461.76</v>
      </c>
      <c r="L1274" s="3">
        <f t="shared" si="59"/>
        <v>377.91000000000008</v>
      </c>
    </row>
    <row r="1275" spans="1:12" x14ac:dyDescent="0.3">
      <c r="A1275">
        <v>2450</v>
      </c>
      <c r="B1275" s="2">
        <v>45833</v>
      </c>
      <c r="C1275" t="s">
        <v>26</v>
      </c>
      <c r="D1275" t="s">
        <v>17</v>
      </c>
      <c r="E1275" t="s">
        <v>40</v>
      </c>
      <c r="F1275" t="s">
        <v>15</v>
      </c>
      <c r="G1275">
        <v>12</v>
      </c>
      <c r="H1275" s="3">
        <v>519.88</v>
      </c>
      <c r="I1275" s="3">
        <v>285.14</v>
      </c>
      <c r="J1275" s="3">
        <f t="shared" si="57"/>
        <v>6238.5599999999995</v>
      </c>
      <c r="K1275" s="3">
        <f t="shared" si="58"/>
        <v>3421.68</v>
      </c>
      <c r="L1275" s="3">
        <f t="shared" si="59"/>
        <v>2816.8799999999997</v>
      </c>
    </row>
    <row r="1276" spans="1:12" x14ac:dyDescent="0.3">
      <c r="A1276">
        <v>2453</v>
      </c>
      <c r="B1276" s="2">
        <v>45833</v>
      </c>
      <c r="C1276" t="s">
        <v>23</v>
      </c>
      <c r="D1276" t="s">
        <v>13</v>
      </c>
      <c r="E1276" t="s">
        <v>45</v>
      </c>
      <c r="F1276" t="s">
        <v>15</v>
      </c>
      <c r="G1276">
        <v>17</v>
      </c>
      <c r="H1276" s="3">
        <v>52.79</v>
      </c>
      <c r="I1276" s="3">
        <v>39.36</v>
      </c>
      <c r="J1276" s="3">
        <f t="shared" si="57"/>
        <v>897.43</v>
      </c>
      <c r="K1276" s="3">
        <f t="shared" si="58"/>
        <v>669.12</v>
      </c>
      <c r="L1276" s="3">
        <f t="shared" si="59"/>
        <v>228.30999999999995</v>
      </c>
    </row>
    <row r="1277" spans="1:12" x14ac:dyDescent="0.3">
      <c r="A1277">
        <v>2728</v>
      </c>
      <c r="B1277" s="2">
        <v>45833</v>
      </c>
      <c r="C1277" t="s">
        <v>23</v>
      </c>
      <c r="D1277" t="s">
        <v>29</v>
      </c>
      <c r="E1277" t="s">
        <v>37</v>
      </c>
      <c r="F1277" t="s">
        <v>39</v>
      </c>
      <c r="G1277">
        <v>29</v>
      </c>
      <c r="H1277" s="3">
        <v>260.58999999999997</v>
      </c>
      <c r="I1277" s="3">
        <v>156.79</v>
      </c>
      <c r="J1277" s="3">
        <f t="shared" si="57"/>
        <v>7557.11</v>
      </c>
      <c r="K1277" s="3">
        <f t="shared" si="58"/>
        <v>4546.91</v>
      </c>
      <c r="L1277" s="3">
        <f t="shared" si="59"/>
        <v>3010.2</v>
      </c>
    </row>
    <row r="1278" spans="1:12" x14ac:dyDescent="0.3">
      <c r="A1278">
        <v>1045</v>
      </c>
      <c r="B1278" s="2">
        <v>45835</v>
      </c>
      <c r="C1278" t="s">
        <v>16</v>
      </c>
      <c r="D1278" t="s">
        <v>29</v>
      </c>
      <c r="E1278" t="s">
        <v>41</v>
      </c>
      <c r="F1278" t="s">
        <v>36</v>
      </c>
      <c r="G1278">
        <v>36</v>
      </c>
      <c r="H1278" s="3">
        <v>441.83</v>
      </c>
      <c r="I1278" s="3">
        <v>303.95</v>
      </c>
      <c r="J1278" s="3">
        <f t="shared" si="57"/>
        <v>15905.88</v>
      </c>
      <c r="K1278" s="3">
        <f t="shared" si="58"/>
        <v>10942.199999999999</v>
      </c>
      <c r="L1278" s="3">
        <f t="shared" si="59"/>
        <v>4963.68</v>
      </c>
    </row>
    <row r="1279" spans="1:12" x14ac:dyDescent="0.3">
      <c r="A1279">
        <v>1062</v>
      </c>
      <c r="B1279" s="2">
        <v>45835</v>
      </c>
      <c r="C1279" t="s">
        <v>32</v>
      </c>
      <c r="D1279" t="s">
        <v>20</v>
      </c>
      <c r="E1279" t="s">
        <v>38</v>
      </c>
      <c r="F1279" t="s">
        <v>33</v>
      </c>
      <c r="G1279">
        <v>30</v>
      </c>
      <c r="H1279" s="3">
        <v>73.92</v>
      </c>
      <c r="I1279" s="3">
        <v>39.17</v>
      </c>
      <c r="J1279" s="3">
        <f t="shared" si="57"/>
        <v>2217.6</v>
      </c>
      <c r="K1279" s="3">
        <f t="shared" si="58"/>
        <v>1175.1000000000001</v>
      </c>
      <c r="L1279" s="3">
        <f t="shared" si="59"/>
        <v>1042.4999999999998</v>
      </c>
    </row>
    <row r="1280" spans="1:12" x14ac:dyDescent="0.3">
      <c r="A1280">
        <v>1095</v>
      </c>
      <c r="B1280" s="2">
        <v>45835</v>
      </c>
      <c r="C1280" t="s">
        <v>16</v>
      </c>
      <c r="D1280" t="s">
        <v>29</v>
      </c>
      <c r="E1280" t="s">
        <v>37</v>
      </c>
      <c r="F1280" t="s">
        <v>15</v>
      </c>
      <c r="G1280">
        <v>31</v>
      </c>
      <c r="H1280" s="3">
        <v>445.57</v>
      </c>
      <c r="I1280" s="3">
        <v>274.95</v>
      </c>
      <c r="J1280" s="3">
        <f t="shared" si="57"/>
        <v>13812.67</v>
      </c>
      <c r="K1280" s="3">
        <f t="shared" si="58"/>
        <v>8523.4499999999989</v>
      </c>
      <c r="L1280" s="3">
        <f t="shared" si="59"/>
        <v>5289.2200000000012</v>
      </c>
    </row>
    <row r="1281" spans="1:12" x14ac:dyDescent="0.3">
      <c r="A1281">
        <v>1926</v>
      </c>
      <c r="B1281" s="2">
        <v>45835</v>
      </c>
      <c r="C1281" t="s">
        <v>32</v>
      </c>
      <c r="D1281" t="s">
        <v>20</v>
      </c>
      <c r="E1281" t="s">
        <v>42</v>
      </c>
      <c r="F1281" t="s">
        <v>25</v>
      </c>
      <c r="G1281">
        <v>12</v>
      </c>
      <c r="H1281" s="3">
        <v>88.69</v>
      </c>
      <c r="I1281" s="3">
        <v>49.12</v>
      </c>
      <c r="J1281" s="3">
        <f t="shared" si="57"/>
        <v>1064.28</v>
      </c>
      <c r="K1281" s="3">
        <f t="shared" si="58"/>
        <v>589.43999999999994</v>
      </c>
      <c r="L1281" s="3">
        <f t="shared" si="59"/>
        <v>474.84000000000003</v>
      </c>
    </row>
    <row r="1282" spans="1:12" x14ac:dyDescent="0.3">
      <c r="A1282">
        <v>2173</v>
      </c>
      <c r="B1282" s="2">
        <v>45835</v>
      </c>
      <c r="C1282" t="s">
        <v>16</v>
      </c>
      <c r="D1282" t="s">
        <v>17</v>
      </c>
      <c r="E1282" t="s">
        <v>35</v>
      </c>
      <c r="F1282" t="s">
        <v>33</v>
      </c>
      <c r="G1282">
        <v>35</v>
      </c>
      <c r="H1282" s="3">
        <v>253.56</v>
      </c>
      <c r="I1282" s="3">
        <v>133.13</v>
      </c>
      <c r="J1282" s="3">
        <f t="shared" ref="J1282:J1345" si="60">G1282*H1282</f>
        <v>8874.6</v>
      </c>
      <c r="K1282" s="3">
        <f t="shared" ref="K1282:K1345" si="61">G1282*I1282</f>
        <v>4659.55</v>
      </c>
      <c r="L1282" s="3">
        <f t="shared" ref="L1282:L1345" si="62">J1282-K1282</f>
        <v>4215.05</v>
      </c>
    </row>
    <row r="1283" spans="1:12" x14ac:dyDescent="0.3">
      <c r="A1283">
        <v>2456</v>
      </c>
      <c r="B1283" s="2">
        <v>45835</v>
      </c>
      <c r="C1283" t="s">
        <v>16</v>
      </c>
      <c r="D1283" t="s">
        <v>17</v>
      </c>
      <c r="E1283" t="s">
        <v>44</v>
      </c>
      <c r="F1283" t="s">
        <v>25</v>
      </c>
      <c r="G1283">
        <v>24</v>
      </c>
      <c r="H1283" s="3">
        <v>262.81</v>
      </c>
      <c r="I1283" s="3">
        <v>149.5</v>
      </c>
      <c r="J1283" s="3">
        <f t="shared" si="60"/>
        <v>6307.4400000000005</v>
      </c>
      <c r="K1283" s="3">
        <f t="shared" si="61"/>
        <v>3588</v>
      </c>
      <c r="L1283" s="3">
        <f t="shared" si="62"/>
        <v>2719.4400000000005</v>
      </c>
    </row>
    <row r="1284" spans="1:12" x14ac:dyDescent="0.3">
      <c r="A1284">
        <v>2610</v>
      </c>
      <c r="B1284" s="2">
        <v>45835</v>
      </c>
      <c r="C1284" t="s">
        <v>16</v>
      </c>
      <c r="D1284" t="s">
        <v>29</v>
      </c>
      <c r="E1284" t="s">
        <v>37</v>
      </c>
      <c r="F1284" t="s">
        <v>22</v>
      </c>
      <c r="G1284">
        <v>19</v>
      </c>
      <c r="H1284" s="3">
        <v>366.61</v>
      </c>
      <c r="I1284" s="3">
        <v>266.07</v>
      </c>
      <c r="J1284" s="3">
        <f t="shared" si="60"/>
        <v>6965.59</v>
      </c>
      <c r="K1284" s="3">
        <f t="shared" si="61"/>
        <v>5055.33</v>
      </c>
      <c r="L1284" s="3">
        <f t="shared" si="62"/>
        <v>1910.2600000000002</v>
      </c>
    </row>
    <row r="1285" spans="1:12" x14ac:dyDescent="0.3">
      <c r="A1285">
        <v>2706</v>
      </c>
      <c r="B1285" s="2">
        <v>45835</v>
      </c>
      <c r="C1285" t="s">
        <v>12</v>
      </c>
      <c r="D1285" t="s">
        <v>17</v>
      </c>
      <c r="E1285" t="s">
        <v>27</v>
      </c>
      <c r="F1285" t="s">
        <v>15</v>
      </c>
      <c r="G1285">
        <v>16</v>
      </c>
      <c r="H1285" s="3">
        <v>767.4</v>
      </c>
      <c r="I1285" s="3">
        <v>457.97</v>
      </c>
      <c r="J1285" s="3">
        <f t="shared" si="60"/>
        <v>12278.4</v>
      </c>
      <c r="K1285" s="3">
        <f t="shared" si="61"/>
        <v>7327.52</v>
      </c>
      <c r="L1285" s="3">
        <f t="shared" si="62"/>
        <v>4950.8799999999992</v>
      </c>
    </row>
    <row r="1286" spans="1:12" x14ac:dyDescent="0.3">
      <c r="A1286">
        <v>2630</v>
      </c>
      <c r="B1286" s="2">
        <v>45836</v>
      </c>
      <c r="C1286" t="s">
        <v>12</v>
      </c>
      <c r="D1286" t="s">
        <v>29</v>
      </c>
      <c r="E1286" t="s">
        <v>30</v>
      </c>
      <c r="F1286" t="s">
        <v>28</v>
      </c>
      <c r="G1286">
        <v>39</v>
      </c>
      <c r="H1286" s="3">
        <v>409.4</v>
      </c>
      <c r="I1286" s="3">
        <v>270.39</v>
      </c>
      <c r="J1286" s="3">
        <f t="shared" si="60"/>
        <v>15966.599999999999</v>
      </c>
      <c r="K1286" s="3">
        <f t="shared" si="61"/>
        <v>10545.21</v>
      </c>
      <c r="L1286" s="3">
        <f t="shared" si="62"/>
        <v>5421.3899999999994</v>
      </c>
    </row>
    <row r="1287" spans="1:12" x14ac:dyDescent="0.3">
      <c r="A1287">
        <v>1172</v>
      </c>
      <c r="B1287" s="2">
        <v>45837</v>
      </c>
      <c r="C1287" t="s">
        <v>23</v>
      </c>
      <c r="D1287" t="s">
        <v>29</v>
      </c>
      <c r="E1287" t="s">
        <v>41</v>
      </c>
      <c r="F1287" t="s">
        <v>22</v>
      </c>
      <c r="G1287">
        <v>24</v>
      </c>
      <c r="H1287" s="3">
        <v>254.95</v>
      </c>
      <c r="I1287" s="3">
        <v>184.76</v>
      </c>
      <c r="J1287" s="3">
        <f t="shared" si="60"/>
        <v>6118.7999999999993</v>
      </c>
      <c r="K1287" s="3">
        <f t="shared" si="61"/>
        <v>4434.24</v>
      </c>
      <c r="L1287" s="3">
        <f t="shared" si="62"/>
        <v>1684.5599999999995</v>
      </c>
    </row>
    <row r="1288" spans="1:12" x14ac:dyDescent="0.3">
      <c r="A1288">
        <v>1176</v>
      </c>
      <c r="B1288" s="2">
        <v>45837</v>
      </c>
      <c r="C1288" t="s">
        <v>32</v>
      </c>
      <c r="D1288" t="s">
        <v>29</v>
      </c>
      <c r="E1288" t="s">
        <v>43</v>
      </c>
      <c r="F1288" t="s">
        <v>28</v>
      </c>
      <c r="G1288">
        <v>13</v>
      </c>
      <c r="H1288" s="3">
        <v>205.37</v>
      </c>
      <c r="I1288" s="3">
        <v>153.12</v>
      </c>
      <c r="J1288" s="3">
        <f t="shared" si="60"/>
        <v>2669.81</v>
      </c>
      <c r="K1288" s="3">
        <f t="shared" si="61"/>
        <v>1990.56</v>
      </c>
      <c r="L1288" s="3">
        <f t="shared" si="62"/>
        <v>679.25</v>
      </c>
    </row>
    <row r="1289" spans="1:12" x14ac:dyDescent="0.3">
      <c r="A1289">
        <v>1855</v>
      </c>
      <c r="B1289" s="2">
        <v>45837</v>
      </c>
      <c r="C1289" t="s">
        <v>16</v>
      </c>
      <c r="D1289" t="s">
        <v>17</v>
      </c>
      <c r="E1289" t="s">
        <v>44</v>
      </c>
      <c r="F1289" t="s">
        <v>28</v>
      </c>
      <c r="G1289">
        <v>33</v>
      </c>
      <c r="H1289" s="3">
        <v>382.69</v>
      </c>
      <c r="I1289" s="3">
        <v>208.96</v>
      </c>
      <c r="J1289" s="3">
        <f t="shared" si="60"/>
        <v>12628.77</v>
      </c>
      <c r="K1289" s="3">
        <f t="shared" si="61"/>
        <v>6895.68</v>
      </c>
      <c r="L1289" s="3">
        <f t="shared" si="62"/>
        <v>5733.09</v>
      </c>
    </row>
    <row r="1290" spans="1:12" x14ac:dyDescent="0.3">
      <c r="A1290">
        <v>1007</v>
      </c>
      <c r="B1290" s="2">
        <v>45838</v>
      </c>
      <c r="C1290" t="s">
        <v>12</v>
      </c>
      <c r="D1290" t="s">
        <v>13</v>
      </c>
      <c r="E1290" t="s">
        <v>14</v>
      </c>
      <c r="F1290" t="s">
        <v>36</v>
      </c>
      <c r="G1290">
        <v>18</v>
      </c>
      <c r="H1290" s="3">
        <v>39.479999999999997</v>
      </c>
      <c r="I1290" s="3">
        <v>28.06</v>
      </c>
      <c r="J1290" s="3">
        <f t="shared" si="60"/>
        <v>710.64</v>
      </c>
      <c r="K1290" s="3">
        <f t="shared" si="61"/>
        <v>505.08</v>
      </c>
      <c r="L1290" s="3">
        <f t="shared" si="62"/>
        <v>205.56</v>
      </c>
    </row>
    <row r="1291" spans="1:12" x14ac:dyDescent="0.3">
      <c r="A1291">
        <v>1359</v>
      </c>
      <c r="B1291" s="2">
        <v>45838</v>
      </c>
      <c r="C1291" t="s">
        <v>32</v>
      </c>
      <c r="D1291" t="s">
        <v>20</v>
      </c>
      <c r="E1291" t="s">
        <v>42</v>
      </c>
      <c r="F1291" t="s">
        <v>25</v>
      </c>
      <c r="G1291">
        <v>2</v>
      </c>
      <c r="H1291" s="3">
        <v>94.75</v>
      </c>
      <c r="I1291" s="3">
        <v>65.98</v>
      </c>
      <c r="J1291" s="3">
        <f t="shared" si="60"/>
        <v>189.5</v>
      </c>
      <c r="K1291" s="3">
        <f t="shared" si="61"/>
        <v>131.96</v>
      </c>
      <c r="L1291" s="3">
        <f t="shared" si="62"/>
        <v>57.539999999999992</v>
      </c>
    </row>
    <row r="1292" spans="1:12" x14ac:dyDescent="0.3">
      <c r="A1292">
        <v>1502</v>
      </c>
      <c r="B1292" s="2">
        <v>45839</v>
      </c>
      <c r="C1292" t="s">
        <v>12</v>
      </c>
      <c r="D1292" t="s">
        <v>20</v>
      </c>
      <c r="E1292" t="s">
        <v>34</v>
      </c>
      <c r="F1292" t="s">
        <v>25</v>
      </c>
      <c r="G1292">
        <v>20</v>
      </c>
      <c r="H1292" s="3">
        <v>135.88</v>
      </c>
      <c r="I1292" s="3">
        <v>84.82</v>
      </c>
      <c r="J1292" s="3">
        <f t="shared" si="60"/>
        <v>2717.6</v>
      </c>
      <c r="K1292" s="3">
        <f t="shared" si="61"/>
        <v>1696.3999999999999</v>
      </c>
      <c r="L1292" s="3">
        <f t="shared" si="62"/>
        <v>1021.2</v>
      </c>
    </row>
    <row r="1293" spans="1:12" x14ac:dyDescent="0.3">
      <c r="A1293">
        <v>1801</v>
      </c>
      <c r="B1293" s="2">
        <v>45839</v>
      </c>
      <c r="C1293" t="s">
        <v>23</v>
      </c>
      <c r="D1293" t="s">
        <v>17</v>
      </c>
      <c r="E1293" t="s">
        <v>40</v>
      </c>
      <c r="F1293" t="s">
        <v>39</v>
      </c>
      <c r="G1293">
        <v>37</v>
      </c>
      <c r="H1293" s="3">
        <v>703.72</v>
      </c>
      <c r="I1293" s="3">
        <v>478.08</v>
      </c>
      <c r="J1293" s="3">
        <f t="shared" si="60"/>
        <v>26037.64</v>
      </c>
      <c r="K1293" s="3">
        <f t="shared" si="61"/>
        <v>17688.96</v>
      </c>
      <c r="L1293" s="3">
        <f t="shared" si="62"/>
        <v>8348.68</v>
      </c>
    </row>
    <row r="1294" spans="1:12" x14ac:dyDescent="0.3">
      <c r="A1294">
        <v>1063</v>
      </c>
      <c r="B1294" s="2">
        <v>45840</v>
      </c>
      <c r="C1294" t="s">
        <v>12</v>
      </c>
      <c r="D1294" t="s">
        <v>13</v>
      </c>
      <c r="E1294" t="s">
        <v>24</v>
      </c>
      <c r="F1294" t="s">
        <v>28</v>
      </c>
      <c r="G1294">
        <v>18</v>
      </c>
      <c r="H1294" s="3">
        <v>58.67</v>
      </c>
      <c r="I1294" s="3">
        <v>30.81</v>
      </c>
      <c r="J1294" s="3">
        <f t="shared" si="60"/>
        <v>1056.06</v>
      </c>
      <c r="K1294" s="3">
        <f t="shared" si="61"/>
        <v>554.57999999999993</v>
      </c>
      <c r="L1294" s="3">
        <f t="shared" si="62"/>
        <v>501.48</v>
      </c>
    </row>
    <row r="1295" spans="1:12" x14ac:dyDescent="0.3">
      <c r="A1295">
        <v>1211</v>
      </c>
      <c r="B1295" s="2">
        <v>45840</v>
      </c>
      <c r="C1295" t="s">
        <v>32</v>
      </c>
      <c r="D1295" t="s">
        <v>17</v>
      </c>
      <c r="E1295" t="s">
        <v>35</v>
      </c>
      <c r="F1295" t="s">
        <v>36</v>
      </c>
      <c r="G1295">
        <v>12</v>
      </c>
      <c r="H1295" s="3">
        <v>149.88999999999999</v>
      </c>
      <c r="I1295" s="3">
        <v>94.67</v>
      </c>
      <c r="J1295" s="3">
        <f t="shared" si="60"/>
        <v>1798.6799999999998</v>
      </c>
      <c r="K1295" s="3">
        <f t="shared" si="61"/>
        <v>1136.04</v>
      </c>
      <c r="L1295" s="3">
        <f t="shared" si="62"/>
        <v>662.63999999999987</v>
      </c>
    </row>
    <row r="1296" spans="1:12" x14ac:dyDescent="0.3">
      <c r="A1296">
        <v>1545</v>
      </c>
      <c r="B1296" s="2">
        <v>45840</v>
      </c>
      <c r="C1296" t="s">
        <v>32</v>
      </c>
      <c r="D1296" t="s">
        <v>29</v>
      </c>
      <c r="E1296" t="s">
        <v>43</v>
      </c>
      <c r="F1296" t="s">
        <v>36</v>
      </c>
      <c r="G1296">
        <v>4</v>
      </c>
      <c r="H1296" s="3">
        <v>118.08</v>
      </c>
      <c r="I1296" s="3">
        <v>87.41</v>
      </c>
      <c r="J1296" s="3">
        <f t="shared" si="60"/>
        <v>472.32</v>
      </c>
      <c r="K1296" s="3">
        <f t="shared" si="61"/>
        <v>349.64</v>
      </c>
      <c r="L1296" s="3">
        <f t="shared" si="62"/>
        <v>122.68</v>
      </c>
    </row>
    <row r="1297" spans="1:12" x14ac:dyDescent="0.3">
      <c r="A1297">
        <v>1902</v>
      </c>
      <c r="B1297" s="2">
        <v>45840</v>
      </c>
      <c r="C1297" t="s">
        <v>12</v>
      </c>
      <c r="D1297" t="s">
        <v>20</v>
      </c>
      <c r="E1297" t="s">
        <v>38</v>
      </c>
      <c r="F1297" t="s">
        <v>36</v>
      </c>
      <c r="G1297">
        <v>1</v>
      </c>
      <c r="H1297" s="3">
        <v>222.36</v>
      </c>
      <c r="I1297" s="3">
        <v>143.34</v>
      </c>
      <c r="J1297" s="3">
        <f t="shared" si="60"/>
        <v>222.36</v>
      </c>
      <c r="K1297" s="3">
        <f t="shared" si="61"/>
        <v>143.34</v>
      </c>
      <c r="L1297" s="3">
        <f t="shared" si="62"/>
        <v>79.02000000000001</v>
      </c>
    </row>
    <row r="1298" spans="1:12" x14ac:dyDescent="0.3">
      <c r="A1298">
        <v>1012</v>
      </c>
      <c r="B1298" s="2">
        <v>45841</v>
      </c>
      <c r="C1298" t="s">
        <v>32</v>
      </c>
      <c r="D1298" t="s">
        <v>29</v>
      </c>
      <c r="E1298" t="s">
        <v>30</v>
      </c>
      <c r="F1298" t="s">
        <v>15</v>
      </c>
      <c r="G1298">
        <v>28</v>
      </c>
      <c r="H1298" s="3">
        <v>383.28</v>
      </c>
      <c r="I1298" s="3">
        <v>284.77</v>
      </c>
      <c r="J1298" s="3">
        <f t="shared" si="60"/>
        <v>10731.84</v>
      </c>
      <c r="K1298" s="3">
        <f t="shared" si="61"/>
        <v>7973.5599999999995</v>
      </c>
      <c r="L1298" s="3">
        <f t="shared" si="62"/>
        <v>2758.2800000000007</v>
      </c>
    </row>
    <row r="1299" spans="1:12" x14ac:dyDescent="0.3">
      <c r="A1299">
        <v>1036</v>
      </c>
      <c r="B1299" s="2">
        <v>45841</v>
      </c>
      <c r="C1299" t="s">
        <v>32</v>
      </c>
      <c r="D1299" t="s">
        <v>17</v>
      </c>
      <c r="E1299" t="s">
        <v>27</v>
      </c>
      <c r="F1299" t="s">
        <v>15</v>
      </c>
      <c r="G1299">
        <v>12</v>
      </c>
      <c r="H1299" s="3">
        <v>547.70000000000005</v>
      </c>
      <c r="I1299" s="3">
        <v>321.18</v>
      </c>
      <c r="J1299" s="3">
        <f t="shared" si="60"/>
        <v>6572.4000000000005</v>
      </c>
      <c r="K1299" s="3">
        <f t="shared" si="61"/>
        <v>3854.16</v>
      </c>
      <c r="L1299" s="3">
        <f t="shared" si="62"/>
        <v>2718.2400000000007</v>
      </c>
    </row>
    <row r="1300" spans="1:12" x14ac:dyDescent="0.3">
      <c r="A1300">
        <v>1992</v>
      </c>
      <c r="B1300" s="2">
        <v>45841</v>
      </c>
      <c r="C1300" t="s">
        <v>16</v>
      </c>
      <c r="D1300" t="s">
        <v>17</v>
      </c>
      <c r="E1300" t="s">
        <v>27</v>
      </c>
      <c r="F1300" t="s">
        <v>39</v>
      </c>
      <c r="G1300">
        <v>4</v>
      </c>
      <c r="H1300" s="3">
        <v>124.35</v>
      </c>
      <c r="I1300" s="3">
        <v>73.05</v>
      </c>
      <c r="J1300" s="3">
        <f t="shared" si="60"/>
        <v>497.4</v>
      </c>
      <c r="K1300" s="3">
        <f t="shared" si="61"/>
        <v>292.2</v>
      </c>
      <c r="L1300" s="3">
        <f t="shared" si="62"/>
        <v>205.2</v>
      </c>
    </row>
    <row r="1301" spans="1:12" x14ac:dyDescent="0.3">
      <c r="A1301">
        <v>2223</v>
      </c>
      <c r="B1301" s="2">
        <v>45841</v>
      </c>
      <c r="C1301" t="s">
        <v>32</v>
      </c>
      <c r="D1301" t="s">
        <v>29</v>
      </c>
      <c r="E1301" t="s">
        <v>43</v>
      </c>
      <c r="F1301" t="s">
        <v>25</v>
      </c>
      <c r="G1301">
        <v>8</v>
      </c>
      <c r="H1301" s="3">
        <v>164.89</v>
      </c>
      <c r="I1301" s="3">
        <v>117.34</v>
      </c>
      <c r="J1301" s="3">
        <f t="shared" si="60"/>
        <v>1319.12</v>
      </c>
      <c r="K1301" s="3">
        <f t="shared" si="61"/>
        <v>938.72</v>
      </c>
      <c r="L1301" s="3">
        <f t="shared" si="62"/>
        <v>380.39999999999986</v>
      </c>
    </row>
    <row r="1302" spans="1:12" x14ac:dyDescent="0.3">
      <c r="A1302">
        <v>1099</v>
      </c>
      <c r="B1302" s="2">
        <v>45842</v>
      </c>
      <c r="C1302" t="s">
        <v>12</v>
      </c>
      <c r="D1302" t="s">
        <v>20</v>
      </c>
      <c r="E1302" t="s">
        <v>21</v>
      </c>
      <c r="F1302" t="s">
        <v>33</v>
      </c>
      <c r="G1302">
        <v>35</v>
      </c>
      <c r="H1302" s="3">
        <v>136.16999999999999</v>
      </c>
      <c r="I1302" s="3">
        <v>71.459999999999994</v>
      </c>
      <c r="J1302" s="3">
        <f t="shared" si="60"/>
        <v>4765.95</v>
      </c>
      <c r="K1302" s="3">
        <f t="shared" si="61"/>
        <v>2501.1</v>
      </c>
      <c r="L1302" s="3">
        <f t="shared" si="62"/>
        <v>2264.85</v>
      </c>
    </row>
    <row r="1303" spans="1:12" x14ac:dyDescent="0.3">
      <c r="A1303">
        <v>1201</v>
      </c>
      <c r="B1303" s="2">
        <v>45842</v>
      </c>
      <c r="C1303" t="s">
        <v>23</v>
      </c>
      <c r="D1303" t="s">
        <v>13</v>
      </c>
      <c r="E1303" t="s">
        <v>24</v>
      </c>
      <c r="F1303" t="s">
        <v>15</v>
      </c>
      <c r="G1303">
        <v>10</v>
      </c>
      <c r="H1303" s="3">
        <v>55.14</v>
      </c>
      <c r="I1303" s="3">
        <v>35.25</v>
      </c>
      <c r="J1303" s="3">
        <f t="shared" si="60"/>
        <v>551.4</v>
      </c>
      <c r="K1303" s="3">
        <f t="shared" si="61"/>
        <v>352.5</v>
      </c>
      <c r="L1303" s="3">
        <f t="shared" si="62"/>
        <v>198.89999999999998</v>
      </c>
    </row>
    <row r="1304" spans="1:12" x14ac:dyDescent="0.3">
      <c r="A1304">
        <v>1370</v>
      </c>
      <c r="B1304" s="2">
        <v>45842</v>
      </c>
      <c r="C1304" t="s">
        <v>16</v>
      </c>
      <c r="D1304" t="s">
        <v>17</v>
      </c>
      <c r="E1304" t="s">
        <v>27</v>
      </c>
      <c r="F1304" t="s">
        <v>39</v>
      </c>
      <c r="G1304">
        <v>14</v>
      </c>
      <c r="H1304" s="3">
        <v>786.56</v>
      </c>
      <c r="I1304" s="3">
        <v>531.47</v>
      </c>
      <c r="J1304" s="3">
        <f t="shared" si="60"/>
        <v>11011.84</v>
      </c>
      <c r="K1304" s="3">
        <f t="shared" si="61"/>
        <v>7440.58</v>
      </c>
      <c r="L1304" s="3">
        <f t="shared" si="62"/>
        <v>3571.26</v>
      </c>
    </row>
    <row r="1305" spans="1:12" x14ac:dyDescent="0.3">
      <c r="A1305">
        <v>2106</v>
      </c>
      <c r="B1305" s="2">
        <v>45842</v>
      </c>
      <c r="C1305" t="s">
        <v>12</v>
      </c>
      <c r="D1305" t="s">
        <v>20</v>
      </c>
      <c r="E1305" t="s">
        <v>42</v>
      </c>
      <c r="F1305" t="s">
        <v>25</v>
      </c>
      <c r="G1305">
        <v>26</v>
      </c>
      <c r="H1305" s="3">
        <v>70.010000000000005</v>
      </c>
      <c r="I1305" s="3">
        <v>37.79</v>
      </c>
      <c r="J1305" s="3">
        <f t="shared" si="60"/>
        <v>1820.2600000000002</v>
      </c>
      <c r="K1305" s="3">
        <f t="shared" si="61"/>
        <v>982.54</v>
      </c>
      <c r="L1305" s="3">
        <f t="shared" si="62"/>
        <v>837.72000000000025</v>
      </c>
    </row>
    <row r="1306" spans="1:12" x14ac:dyDescent="0.3">
      <c r="A1306">
        <v>2126</v>
      </c>
      <c r="B1306" s="2">
        <v>45842</v>
      </c>
      <c r="C1306" t="s">
        <v>26</v>
      </c>
      <c r="D1306" t="s">
        <v>17</v>
      </c>
      <c r="E1306" t="s">
        <v>18</v>
      </c>
      <c r="F1306" t="s">
        <v>39</v>
      </c>
      <c r="G1306">
        <v>16</v>
      </c>
      <c r="H1306" s="3">
        <v>275.10000000000002</v>
      </c>
      <c r="I1306" s="3">
        <v>154.41</v>
      </c>
      <c r="J1306" s="3">
        <f t="shared" si="60"/>
        <v>4401.6000000000004</v>
      </c>
      <c r="K1306" s="3">
        <f t="shared" si="61"/>
        <v>2470.56</v>
      </c>
      <c r="L1306" s="3">
        <f t="shared" si="62"/>
        <v>1931.0400000000004</v>
      </c>
    </row>
    <row r="1307" spans="1:12" x14ac:dyDescent="0.3">
      <c r="A1307">
        <v>2624</v>
      </c>
      <c r="B1307" s="2">
        <v>45842</v>
      </c>
      <c r="C1307" t="s">
        <v>16</v>
      </c>
      <c r="D1307" t="s">
        <v>20</v>
      </c>
      <c r="E1307" t="s">
        <v>42</v>
      </c>
      <c r="F1307" t="s">
        <v>28</v>
      </c>
      <c r="G1307">
        <v>29</v>
      </c>
      <c r="H1307" s="3">
        <v>206.06</v>
      </c>
      <c r="I1307" s="3">
        <v>136.26</v>
      </c>
      <c r="J1307" s="3">
        <f t="shared" si="60"/>
        <v>5975.74</v>
      </c>
      <c r="K1307" s="3">
        <f t="shared" si="61"/>
        <v>3951.54</v>
      </c>
      <c r="L1307" s="3">
        <f t="shared" si="62"/>
        <v>2024.1999999999998</v>
      </c>
    </row>
    <row r="1308" spans="1:12" x14ac:dyDescent="0.3">
      <c r="A1308">
        <v>2202</v>
      </c>
      <c r="B1308" s="2">
        <v>45843</v>
      </c>
      <c r="C1308" t="s">
        <v>32</v>
      </c>
      <c r="D1308" t="s">
        <v>29</v>
      </c>
      <c r="E1308" t="s">
        <v>37</v>
      </c>
      <c r="F1308" t="s">
        <v>36</v>
      </c>
      <c r="G1308">
        <v>10</v>
      </c>
      <c r="H1308" s="3">
        <v>326.49</v>
      </c>
      <c r="I1308" s="3">
        <v>242.49</v>
      </c>
      <c r="J1308" s="3">
        <f t="shared" si="60"/>
        <v>3264.9</v>
      </c>
      <c r="K1308" s="3">
        <f t="shared" si="61"/>
        <v>2424.9</v>
      </c>
      <c r="L1308" s="3">
        <f t="shared" si="62"/>
        <v>840</v>
      </c>
    </row>
    <row r="1309" spans="1:12" x14ac:dyDescent="0.3">
      <c r="A1309">
        <v>2310</v>
      </c>
      <c r="B1309" s="2">
        <v>45843</v>
      </c>
      <c r="C1309" t="s">
        <v>26</v>
      </c>
      <c r="D1309" t="s">
        <v>20</v>
      </c>
      <c r="E1309" t="s">
        <v>38</v>
      </c>
      <c r="F1309" t="s">
        <v>28</v>
      </c>
      <c r="G1309">
        <v>2</v>
      </c>
      <c r="H1309" s="3">
        <v>44.31</v>
      </c>
      <c r="I1309" s="3">
        <v>24.95</v>
      </c>
      <c r="J1309" s="3">
        <f t="shared" si="60"/>
        <v>88.62</v>
      </c>
      <c r="K1309" s="3">
        <f t="shared" si="61"/>
        <v>49.9</v>
      </c>
      <c r="L1309" s="3">
        <f t="shared" si="62"/>
        <v>38.720000000000006</v>
      </c>
    </row>
    <row r="1310" spans="1:12" x14ac:dyDescent="0.3">
      <c r="A1310">
        <v>2439</v>
      </c>
      <c r="B1310" s="2">
        <v>45843</v>
      </c>
      <c r="C1310" t="s">
        <v>16</v>
      </c>
      <c r="D1310" t="s">
        <v>17</v>
      </c>
      <c r="E1310" t="s">
        <v>40</v>
      </c>
      <c r="F1310" t="s">
        <v>25</v>
      </c>
      <c r="G1310">
        <v>17</v>
      </c>
      <c r="H1310" s="3">
        <v>279.36</v>
      </c>
      <c r="I1310" s="3">
        <v>173.94</v>
      </c>
      <c r="J1310" s="3">
        <f t="shared" si="60"/>
        <v>4749.12</v>
      </c>
      <c r="K1310" s="3">
        <f t="shared" si="61"/>
        <v>2956.98</v>
      </c>
      <c r="L1310" s="3">
        <f t="shared" si="62"/>
        <v>1792.1399999999999</v>
      </c>
    </row>
    <row r="1311" spans="1:12" x14ac:dyDescent="0.3">
      <c r="A1311">
        <v>2528</v>
      </c>
      <c r="B1311" s="2">
        <v>45843</v>
      </c>
      <c r="C1311" t="s">
        <v>23</v>
      </c>
      <c r="D1311" t="s">
        <v>29</v>
      </c>
      <c r="E1311" t="s">
        <v>43</v>
      </c>
      <c r="F1311" t="s">
        <v>19</v>
      </c>
      <c r="G1311">
        <v>9</v>
      </c>
      <c r="H1311" s="3">
        <v>221.66</v>
      </c>
      <c r="I1311" s="3">
        <v>147.91999999999999</v>
      </c>
      <c r="J1311" s="3">
        <f t="shared" si="60"/>
        <v>1994.94</v>
      </c>
      <c r="K1311" s="3">
        <f t="shared" si="61"/>
        <v>1331.28</v>
      </c>
      <c r="L1311" s="3">
        <f t="shared" si="62"/>
        <v>663.66000000000008</v>
      </c>
    </row>
    <row r="1312" spans="1:12" x14ac:dyDescent="0.3">
      <c r="A1312">
        <v>1835</v>
      </c>
      <c r="B1312" s="2">
        <v>45844</v>
      </c>
      <c r="C1312" t="s">
        <v>26</v>
      </c>
      <c r="D1312" t="s">
        <v>29</v>
      </c>
      <c r="E1312" t="s">
        <v>43</v>
      </c>
      <c r="F1312" t="s">
        <v>28</v>
      </c>
      <c r="G1312">
        <v>19</v>
      </c>
      <c r="H1312" s="3">
        <v>345.09</v>
      </c>
      <c r="I1312" s="3">
        <v>252.18</v>
      </c>
      <c r="J1312" s="3">
        <f t="shared" si="60"/>
        <v>6556.7099999999991</v>
      </c>
      <c r="K1312" s="3">
        <f t="shared" si="61"/>
        <v>4791.42</v>
      </c>
      <c r="L1312" s="3">
        <f t="shared" si="62"/>
        <v>1765.2899999999991</v>
      </c>
    </row>
    <row r="1313" spans="1:12" x14ac:dyDescent="0.3">
      <c r="A1313">
        <v>2302</v>
      </c>
      <c r="B1313" s="2">
        <v>45844</v>
      </c>
      <c r="C1313" t="s">
        <v>12</v>
      </c>
      <c r="D1313" t="s">
        <v>17</v>
      </c>
      <c r="E1313" t="s">
        <v>40</v>
      </c>
      <c r="F1313" t="s">
        <v>19</v>
      </c>
      <c r="G1313">
        <v>39</v>
      </c>
      <c r="H1313" s="3">
        <v>346.99</v>
      </c>
      <c r="I1313" s="3">
        <v>223.26</v>
      </c>
      <c r="J1313" s="3">
        <f t="shared" si="60"/>
        <v>13532.61</v>
      </c>
      <c r="K1313" s="3">
        <f t="shared" si="61"/>
        <v>8707.14</v>
      </c>
      <c r="L1313" s="3">
        <f t="shared" si="62"/>
        <v>4825.4700000000012</v>
      </c>
    </row>
    <row r="1314" spans="1:12" x14ac:dyDescent="0.3">
      <c r="A1314">
        <v>1302</v>
      </c>
      <c r="B1314" s="2">
        <v>45845</v>
      </c>
      <c r="C1314" t="s">
        <v>32</v>
      </c>
      <c r="D1314" t="s">
        <v>29</v>
      </c>
      <c r="E1314" t="s">
        <v>43</v>
      </c>
      <c r="F1314" t="s">
        <v>39</v>
      </c>
      <c r="G1314">
        <v>7</v>
      </c>
      <c r="H1314" s="3">
        <v>432.74</v>
      </c>
      <c r="I1314" s="3">
        <v>255.41</v>
      </c>
      <c r="J1314" s="3">
        <f t="shared" si="60"/>
        <v>3029.1800000000003</v>
      </c>
      <c r="K1314" s="3">
        <f t="shared" si="61"/>
        <v>1787.87</v>
      </c>
      <c r="L1314" s="3">
        <f t="shared" si="62"/>
        <v>1241.3100000000004</v>
      </c>
    </row>
    <row r="1315" spans="1:12" x14ac:dyDescent="0.3">
      <c r="A1315">
        <v>1416</v>
      </c>
      <c r="B1315" s="2">
        <v>45845</v>
      </c>
      <c r="C1315" t="s">
        <v>26</v>
      </c>
      <c r="D1315" t="s">
        <v>29</v>
      </c>
      <c r="E1315" t="s">
        <v>41</v>
      </c>
      <c r="F1315" t="s">
        <v>19</v>
      </c>
      <c r="G1315">
        <v>30</v>
      </c>
      <c r="H1315" s="3">
        <v>273.23</v>
      </c>
      <c r="I1315" s="3">
        <v>137.41999999999999</v>
      </c>
      <c r="J1315" s="3">
        <f t="shared" si="60"/>
        <v>8196.9000000000015</v>
      </c>
      <c r="K1315" s="3">
        <f t="shared" si="61"/>
        <v>4122.5999999999995</v>
      </c>
      <c r="L1315" s="3">
        <f t="shared" si="62"/>
        <v>4074.300000000002</v>
      </c>
    </row>
    <row r="1316" spans="1:12" x14ac:dyDescent="0.3">
      <c r="A1316">
        <v>2588</v>
      </c>
      <c r="B1316" s="2">
        <v>45845</v>
      </c>
      <c r="C1316" t="s">
        <v>26</v>
      </c>
      <c r="D1316" t="s">
        <v>20</v>
      </c>
      <c r="E1316" t="s">
        <v>21</v>
      </c>
      <c r="F1316" t="s">
        <v>33</v>
      </c>
      <c r="G1316">
        <v>31</v>
      </c>
      <c r="H1316" s="3">
        <v>72.900000000000006</v>
      </c>
      <c r="I1316" s="3">
        <v>46.72</v>
      </c>
      <c r="J1316" s="3">
        <f t="shared" si="60"/>
        <v>2259.9</v>
      </c>
      <c r="K1316" s="3">
        <f t="shared" si="61"/>
        <v>1448.32</v>
      </c>
      <c r="L1316" s="3">
        <f t="shared" si="62"/>
        <v>811.58000000000015</v>
      </c>
    </row>
    <row r="1317" spans="1:12" x14ac:dyDescent="0.3">
      <c r="A1317">
        <v>1768</v>
      </c>
      <c r="B1317" s="2">
        <v>45846</v>
      </c>
      <c r="C1317" t="s">
        <v>23</v>
      </c>
      <c r="D1317" t="s">
        <v>20</v>
      </c>
      <c r="E1317" t="s">
        <v>42</v>
      </c>
      <c r="F1317" t="s">
        <v>39</v>
      </c>
      <c r="G1317">
        <v>14</v>
      </c>
      <c r="H1317" s="3">
        <v>203.12</v>
      </c>
      <c r="I1317" s="3">
        <v>102.17</v>
      </c>
      <c r="J1317" s="3">
        <f t="shared" si="60"/>
        <v>2843.6800000000003</v>
      </c>
      <c r="K1317" s="3">
        <f t="shared" si="61"/>
        <v>1430.38</v>
      </c>
      <c r="L1317" s="3">
        <f t="shared" si="62"/>
        <v>1413.3000000000002</v>
      </c>
    </row>
    <row r="1318" spans="1:12" x14ac:dyDescent="0.3">
      <c r="A1318">
        <v>2042</v>
      </c>
      <c r="B1318" s="2">
        <v>45846</v>
      </c>
      <c r="C1318" t="s">
        <v>16</v>
      </c>
      <c r="D1318" t="s">
        <v>13</v>
      </c>
      <c r="E1318" t="s">
        <v>45</v>
      </c>
      <c r="F1318" t="s">
        <v>36</v>
      </c>
      <c r="G1318">
        <v>13</v>
      </c>
      <c r="H1318" s="3">
        <v>51.98</v>
      </c>
      <c r="I1318" s="3">
        <v>35.65</v>
      </c>
      <c r="J1318" s="3">
        <f t="shared" si="60"/>
        <v>675.74</v>
      </c>
      <c r="K1318" s="3">
        <f t="shared" si="61"/>
        <v>463.45</v>
      </c>
      <c r="L1318" s="3">
        <f t="shared" si="62"/>
        <v>212.29000000000002</v>
      </c>
    </row>
    <row r="1319" spans="1:12" x14ac:dyDescent="0.3">
      <c r="A1319">
        <v>2056</v>
      </c>
      <c r="B1319" s="2">
        <v>45846</v>
      </c>
      <c r="C1319" t="s">
        <v>12</v>
      </c>
      <c r="D1319" t="s">
        <v>17</v>
      </c>
      <c r="E1319" t="s">
        <v>35</v>
      </c>
      <c r="F1319" t="s">
        <v>19</v>
      </c>
      <c r="G1319">
        <v>7</v>
      </c>
      <c r="H1319" s="3">
        <v>673.75</v>
      </c>
      <c r="I1319" s="3">
        <v>471.1</v>
      </c>
      <c r="J1319" s="3">
        <f t="shared" si="60"/>
        <v>4716.25</v>
      </c>
      <c r="K1319" s="3">
        <f t="shared" si="61"/>
        <v>3297.7000000000003</v>
      </c>
      <c r="L1319" s="3">
        <f t="shared" si="62"/>
        <v>1418.5499999999997</v>
      </c>
    </row>
    <row r="1320" spans="1:12" x14ac:dyDescent="0.3">
      <c r="A1320">
        <v>2529</v>
      </c>
      <c r="B1320" s="2">
        <v>45846</v>
      </c>
      <c r="C1320" t="s">
        <v>32</v>
      </c>
      <c r="D1320" t="s">
        <v>20</v>
      </c>
      <c r="E1320" t="s">
        <v>38</v>
      </c>
      <c r="F1320" t="s">
        <v>33</v>
      </c>
      <c r="G1320">
        <v>40</v>
      </c>
      <c r="H1320" s="3">
        <v>192.03</v>
      </c>
      <c r="I1320" s="3">
        <v>101.71</v>
      </c>
      <c r="J1320" s="3">
        <f t="shared" si="60"/>
        <v>7681.2</v>
      </c>
      <c r="K1320" s="3">
        <f t="shared" si="61"/>
        <v>4068.3999999999996</v>
      </c>
      <c r="L1320" s="3">
        <f t="shared" si="62"/>
        <v>3612.8</v>
      </c>
    </row>
    <row r="1321" spans="1:12" x14ac:dyDescent="0.3">
      <c r="A1321">
        <v>2668</v>
      </c>
      <c r="B1321" s="2">
        <v>45846</v>
      </c>
      <c r="C1321" t="s">
        <v>16</v>
      </c>
      <c r="D1321" t="s">
        <v>13</v>
      </c>
      <c r="E1321" t="s">
        <v>46</v>
      </c>
      <c r="F1321" t="s">
        <v>15</v>
      </c>
      <c r="G1321">
        <v>12</v>
      </c>
      <c r="H1321" s="3">
        <v>15.99</v>
      </c>
      <c r="I1321" s="3">
        <v>10.52</v>
      </c>
      <c r="J1321" s="3">
        <f t="shared" si="60"/>
        <v>191.88</v>
      </c>
      <c r="K1321" s="3">
        <f t="shared" si="61"/>
        <v>126.24</v>
      </c>
      <c r="L1321" s="3">
        <f t="shared" si="62"/>
        <v>65.64</v>
      </c>
    </row>
    <row r="1322" spans="1:12" x14ac:dyDescent="0.3">
      <c r="A1322">
        <v>1209</v>
      </c>
      <c r="B1322" s="2">
        <v>45847</v>
      </c>
      <c r="C1322" t="s">
        <v>26</v>
      </c>
      <c r="D1322" t="s">
        <v>17</v>
      </c>
      <c r="E1322" t="s">
        <v>27</v>
      </c>
      <c r="F1322" t="s">
        <v>22</v>
      </c>
      <c r="G1322">
        <v>1</v>
      </c>
      <c r="H1322" s="3">
        <v>406.41</v>
      </c>
      <c r="I1322" s="3">
        <v>204.13</v>
      </c>
      <c r="J1322" s="3">
        <f t="shared" si="60"/>
        <v>406.41</v>
      </c>
      <c r="K1322" s="3">
        <f t="shared" si="61"/>
        <v>204.13</v>
      </c>
      <c r="L1322" s="3">
        <f t="shared" si="62"/>
        <v>202.28000000000003</v>
      </c>
    </row>
    <row r="1323" spans="1:12" x14ac:dyDescent="0.3">
      <c r="A1323">
        <v>1445</v>
      </c>
      <c r="B1323" s="2">
        <v>45847</v>
      </c>
      <c r="C1323" t="s">
        <v>23</v>
      </c>
      <c r="D1323" t="s">
        <v>13</v>
      </c>
      <c r="E1323" t="s">
        <v>46</v>
      </c>
      <c r="F1323" t="s">
        <v>19</v>
      </c>
      <c r="G1323">
        <v>35</v>
      </c>
      <c r="H1323" s="3">
        <v>44.75</v>
      </c>
      <c r="I1323" s="3">
        <v>32.61</v>
      </c>
      <c r="J1323" s="3">
        <f t="shared" si="60"/>
        <v>1566.25</v>
      </c>
      <c r="K1323" s="3">
        <f t="shared" si="61"/>
        <v>1141.3499999999999</v>
      </c>
      <c r="L1323" s="3">
        <f t="shared" si="62"/>
        <v>424.90000000000009</v>
      </c>
    </row>
    <row r="1324" spans="1:12" x14ac:dyDescent="0.3">
      <c r="A1324">
        <v>2257</v>
      </c>
      <c r="B1324" s="2">
        <v>45847</v>
      </c>
      <c r="C1324" t="s">
        <v>16</v>
      </c>
      <c r="D1324" t="s">
        <v>13</v>
      </c>
      <c r="E1324" t="s">
        <v>45</v>
      </c>
      <c r="F1324" t="s">
        <v>25</v>
      </c>
      <c r="G1324">
        <v>13</v>
      </c>
      <c r="H1324" s="3">
        <v>21.32</v>
      </c>
      <c r="I1324" s="3">
        <v>14.05</v>
      </c>
      <c r="J1324" s="3">
        <f t="shared" si="60"/>
        <v>277.16000000000003</v>
      </c>
      <c r="K1324" s="3">
        <f t="shared" si="61"/>
        <v>182.65</v>
      </c>
      <c r="L1324" s="3">
        <f t="shared" si="62"/>
        <v>94.510000000000019</v>
      </c>
    </row>
    <row r="1325" spans="1:12" x14ac:dyDescent="0.3">
      <c r="A1325">
        <v>1178</v>
      </c>
      <c r="B1325" s="2">
        <v>45848</v>
      </c>
      <c r="C1325" t="s">
        <v>23</v>
      </c>
      <c r="D1325" t="s">
        <v>20</v>
      </c>
      <c r="E1325" t="s">
        <v>38</v>
      </c>
      <c r="F1325" t="s">
        <v>19</v>
      </c>
      <c r="G1325">
        <v>19</v>
      </c>
      <c r="H1325" s="3">
        <v>278.72000000000003</v>
      </c>
      <c r="I1325" s="3">
        <v>185.07</v>
      </c>
      <c r="J1325" s="3">
        <f t="shared" si="60"/>
        <v>5295.68</v>
      </c>
      <c r="K1325" s="3">
        <f t="shared" si="61"/>
        <v>3516.33</v>
      </c>
      <c r="L1325" s="3">
        <f t="shared" si="62"/>
        <v>1779.3500000000004</v>
      </c>
    </row>
    <row r="1326" spans="1:12" x14ac:dyDescent="0.3">
      <c r="A1326">
        <v>1184</v>
      </c>
      <c r="B1326" s="2">
        <v>45848</v>
      </c>
      <c r="C1326" t="s">
        <v>16</v>
      </c>
      <c r="D1326" t="s">
        <v>20</v>
      </c>
      <c r="E1326" t="s">
        <v>34</v>
      </c>
      <c r="F1326" t="s">
        <v>28</v>
      </c>
      <c r="G1326">
        <v>18</v>
      </c>
      <c r="H1326" s="3">
        <v>148.5</v>
      </c>
      <c r="I1326" s="3">
        <v>83.8</v>
      </c>
      <c r="J1326" s="3">
        <f t="shared" si="60"/>
        <v>2673</v>
      </c>
      <c r="K1326" s="3">
        <f t="shared" si="61"/>
        <v>1508.3999999999999</v>
      </c>
      <c r="L1326" s="3">
        <f t="shared" si="62"/>
        <v>1164.6000000000001</v>
      </c>
    </row>
    <row r="1327" spans="1:12" x14ac:dyDescent="0.3">
      <c r="A1327">
        <v>2318</v>
      </c>
      <c r="B1327" s="2">
        <v>45848</v>
      </c>
      <c r="C1327" t="s">
        <v>26</v>
      </c>
      <c r="D1327" t="s">
        <v>20</v>
      </c>
      <c r="E1327" t="s">
        <v>21</v>
      </c>
      <c r="F1327" t="s">
        <v>22</v>
      </c>
      <c r="G1327">
        <v>18</v>
      </c>
      <c r="H1327" s="3">
        <v>44.43</v>
      </c>
      <c r="I1327" s="3">
        <v>31.96</v>
      </c>
      <c r="J1327" s="3">
        <f t="shared" si="60"/>
        <v>799.74</v>
      </c>
      <c r="K1327" s="3">
        <f t="shared" si="61"/>
        <v>575.28</v>
      </c>
      <c r="L1327" s="3">
        <f t="shared" si="62"/>
        <v>224.46000000000004</v>
      </c>
    </row>
    <row r="1328" spans="1:12" x14ac:dyDescent="0.3">
      <c r="A1328">
        <v>1071</v>
      </c>
      <c r="B1328" s="2">
        <v>45849</v>
      </c>
      <c r="C1328" t="s">
        <v>12</v>
      </c>
      <c r="D1328" t="s">
        <v>13</v>
      </c>
      <c r="E1328" t="s">
        <v>31</v>
      </c>
      <c r="F1328" t="s">
        <v>19</v>
      </c>
      <c r="G1328">
        <v>5</v>
      </c>
      <c r="H1328" s="3">
        <v>48.18</v>
      </c>
      <c r="I1328" s="3">
        <v>35.19</v>
      </c>
      <c r="J1328" s="3">
        <f t="shared" si="60"/>
        <v>240.9</v>
      </c>
      <c r="K1328" s="3">
        <f t="shared" si="61"/>
        <v>175.95</v>
      </c>
      <c r="L1328" s="3">
        <f t="shared" si="62"/>
        <v>64.950000000000017</v>
      </c>
    </row>
    <row r="1329" spans="1:12" x14ac:dyDescent="0.3">
      <c r="A1329">
        <v>2483</v>
      </c>
      <c r="B1329" s="2">
        <v>45849</v>
      </c>
      <c r="C1329" t="s">
        <v>12</v>
      </c>
      <c r="D1329" t="s">
        <v>20</v>
      </c>
      <c r="E1329" t="s">
        <v>38</v>
      </c>
      <c r="F1329" t="s">
        <v>25</v>
      </c>
      <c r="G1329">
        <v>36</v>
      </c>
      <c r="H1329" s="3">
        <v>40.39</v>
      </c>
      <c r="I1329" s="3">
        <v>28.57</v>
      </c>
      <c r="J1329" s="3">
        <f t="shared" si="60"/>
        <v>1454.04</v>
      </c>
      <c r="K1329" s="3">
        <f t="shared" si="61"/>
        <v>1028.52</v>
      </c>
      <c r="L1329" s="3">
        <f t="shared" si="62"/>
        <v>425.52</v>
      </c>
    </row>
    <row r="1330" spans="1:12" x14ac:dyDescent="0.3">
      <c r="A1330">
        <v>2723</v>
      </c>
      <c r="B1330" s="2">
        <v>45849</v>
      </c>
      <c r="C1330" t="s">
        <v>16</v>
      </c>
      <c r="D1330" t="s">
        <v>13</v>
      </c>
      <c r="E1330" t="s">
        <v>24</v>
      </c>
      <c r="F1330" t="s">
        <v>19</v>
      </c>
      <c r="G1330">
        <v>27</v>
      </c>
      <c r="H1330" s="3">
        <v>20.16</v>
      </c>
      <c r="I1330" s="3">
        <v>13.7</v>
      </c>
      <c r="J1330" s="3">
        <f t="shared" si="60"/>
        <v>544.32000000000005</v>
      </c>
      <c r="K1330" s="3">
        <f t="shared" si="61"/>
        <v>369.9</v>
      </c>
      <c r="L1330" s="3">
        <f t="shared" si="62"/>
        <v>174.42000000000007</v>
      </c>
    </row>
    <row r="1331" spans="1:12" x14ac:dyDescent="0.3">
      <c r="A1331">
        <v>1227</v>
      </c>
      <c r="B1331" s="2">
        <v>45850</v>
      </c>
      <c r="C1331" t="s">
        <v>12</v>
      </c>
      <c r="D1331" t="s">
        <v>17</v>
      </c>
      <c r="E1331" t="s">
        <v>18</v>
      </c>
      <c r="F1331" t="s">
        <v>39</v>
      </c>
      <c r="G1331">
        <v>29</v>
      </c>
      <c r="H1331" s="3">
        <v>730.06</v>
      </c>
      <c r="I1331" s="3">
        <v>510.14</v>
      </c>
      <c r="J1331" s="3">
        <f t="shared" si="60"/>
        <v>21171.739999999998</v>
      </c>
      <c r="K1331" s="3">
        <f t="shared" si="61"/>
        <v>14794.06</v>
      </c>
      <c r="L1331" s="3">
        <f t="shared" si="62"/>
        <v>6377.6799999999985</v>
      </c>
    </row>
    <row r="1332" spans="1:12" x14ac:dyDescent="0.3">
      <c r="A1332">
        <v>2667</v>
      </c>
      <c r="B1332" s="2">
        <v>45850</v>
      </c>
      <c r="C1332" t="s">
        <v>23</v>
      </c>
      <c r="D1332" t="s">
        <v>17</v>
      </c>
      <c r="E1332" t="s">
        <v>18</v>
      </c>
      <c r="F1332" t="s">
        <v>28</v>
      </c>
      <c r="G1332">
        <v>13</v>
      </c>
      <c r="H1332" s="3">
        <v>554.16</v>
      </c>
      <c r="I1332" s="3">
        <v>318.58</v>
      </c>
      <c r="J1332" s="3">
        <f t="shared" si="60"/>
        <v>7204.08</v>
      </c>
      <c r="K1332" s="3">
        <f t="shared" si="61"/>
        <v>4141.54</v>
      </c>
      <c r="L1332" s="3">
        <f t="shared" si="62"/>
        <v>3062.54</v>
      </c>
    </row>
    <row r="1333" spans="1:12" x14ac:dyDescent="0.3">
      <c r="A1333">
        <v>1525</v>
      </c>
      <c r="B1333" s="2">
        <v>45851</v>
      </c>
      <c r="C1333" t="s">
        <v>16</v>
      </c>
      <c r="D1333" t="s">
        <v>29</v>
      </c>
      <c r="E1333" t="s">
        <v>30</v>
      </c>
      <c r="F1333" t="s">
        <v>22</v>
      </c>
      <c r="G1333">
        <v>37</v>
      </c>
      <c r="H1333" s="3">
        <v>323.70999999999998</v>
      </c>
      <c r="I1333" s="3">
        <v>168.33</v>
      </c>
      <c r="J1333" s="3">
        <f t="shared" si="60"/>
        <v>11977.269999999999</v>
      </c>
      <c r="K1333" s="3">
        <f t="shared" si="61"/>
        <v>6228.21</v>
      </c>
      <c r="L1333" s="3">
        <f t="shared" si="62"/>
        <v>5749.0599999999986</v>
      </c>
    </row>
    <row r="1334" spans="1:12" x14ac:dyDescent="0.3">
      <c r="A1334">
        <v>1971</v>
      </c>
      <c r="B1334" s="2">
        <v>45851</v>
      </c>
      <c r="C1334" t="s">
        <v>12</v>
      </c>
      <c r="D1334" t="s">
        <v>20</v>
      </c>
      <c r="E1334" t="s">
        <v>21</v>
      </c>
      <c r="F1334" t="s">
        <v>15</v>
      </c>
      <c r="G1334">
        <v>19</v>
      </c>
      <c r="H1334" s="3">
        <v>206.96</v>
      </c>
      <c r="I1334" s="3">
        <v>123.72</v>
      </c>
      <c r="J1334" s="3">
        <f t="shared" si="60"/>
        <v>3932.2400000000002</v>
      </c>
      <c r="K1334" s="3">
        <f t="shared" si="61"/>
        <v>2350.6799999999998</v>
      </c>
      <c r="L1334" s="3">
        <f t="shared" si="62"/>
        <v>1581.5600000000004</v>
      </c>
    </row>
    <row r="1335" spans="1:12" x14ac:dyDescent="0.3">
      <c r="A1335">
        <v>2045</v>
      </c>
      <c r="B1335" s="2">
        <v>45851</v>
      </c>
      <c r="C1335" t="s">
        <v>26</v>
      </c>
      <c r="D1335" t="s">
        <v>20</v>
      </c>
      <c r="E1335" t="s">
        <v>34</v>
      </c>
      <c r="F1335" t="s">
        <v>22</v>
      </c>
      <c r="G1335">
        <v>26</v>
      </c>
      <c r="H1335" s="3">
        <v>50.51</v>
      </c>
      <c r="I1335" s="3">
        <v>29.18</v>
      </c>
      <c r="J1335" s="3">
        <f t="shared" si="60"/>
        <v>1313.26</v>
      </c>
      <c r="K1335" s="3">
        <f t="shared" si="61"/>
        <v>758.68</v>
      </c>
      <c r="L1335" s="3">
        <f t="shared" si="62"/>
        <v>554.58000000000004</v>
      </c>
    </row>
    <row r="1336" spans="1:12" x14ac:dyDescent="0.3">
      <c r="A1336">
        <v>2320</v>
      </c>
      <c r="B1336" s="2">
        <v>45851</v>
      </c>
      <c r="C1336" t="s">
        <v>32</v>
      </c>
      <c r="D1336" t="s">
        <v>29</v>
      </c>
      <c r="E1336" t="s">
        <v>41</v>
      </c>
      <c r="F1336" t="s">
        <v>25</v>
      </c>
      <c r="G1336">
        <v>12</v>
      </c>
      <c r="H1336" s="3">
        <v>96.7</v>
      </c>
      <c r="I1336" s="3">
        <v>55.61</v>
      </c>
      <c r="J1336" s="3">
        <f t="shared" si="60"/>
        <v>1160.4000000000001</v>
      </c>
      <c r="K1336" s="3">
        <f t="shared" si="61"/>
        <v>667.31999999999994</v>
      </c>
      <c r="L1336" s="3">
        <f t="shared" si="62"/>
        <v>493.08000000000015</v>
      </c>
    </row>
    <row r="1337" spans="1:12" x14ac:dyDescent="0.3">
      <c r="A1337">
        <v>1252</v>
      </c>
      <c r="B1337" s="2">
        <v>45852</v>
      </c>
      <c r="C1337" t="s">
        <v>16</v>
      </c>
      <c r="D1337" t="s">
        <v>13</v>
      </c>
      <c r="E1337" t="s">
        <v>46</v>
      </c>
      <c r="F1337" t="s">
        <v>28</v>
      </c>
      <c r="G1337">
        <v>22</v>
      </c>
      <c r="H1337" s="3">
        <v>46.45</v>
      </c>
      <c r="I1337" s="3">
        <v>32.94</v>
      </c>
      <c r="J1337" s="3">
        <f t="shared" si="60"/>
        <v>1021.9000000000001</v>
      </c>
      <c r="K1337" s="3">
        <f t="shared" si="61"/>
        <v>724.68</v>
      </c>
      <c r="L1337" s="3">
        <f t="shared" si="62"/>
        <v>297.22000000000014</v>
      </c>
    </row>
    <row r="1338" spans="1:12" x14ac:dyDescent="0.3">
      <c r="A1338">
        <v>1336</v>
      </c>
      <c r="B1338" s="2">
        <v>45852</v>
      </c>
      <c r="C1338" t="s">
        <v>32</v>
      </c>
      <c r="D1338" t="s">
        <v>20</v>
      </c>
      <c r="E1338" t="s">
        <v>34</v>
      </c>
      <c r="F1338" t="s">
        <v>39</v>
      </c>
      <c r="G1338">
        <v>1</v>
      </c>
      <c r="H1338" s="3">
        <v>95.59</v>
      </c>
      <c r="I1338" s="3">
        <v>62.27</v>
      </c>
      <c r="J1338" s="3">
        <f t="shared" si="60"/>
        <v>95.59</v>
      </c>
      <c r="K1338" s="3">
        <f t="shared" si="61"/>
        <v>62.27</v>
      </c>
      <c r="L1338" s="3">
        <f t="shared" si="62"/>
        <v>33.32</v>
      </c>
    </row>
    <row r="1339" spans="1:12" x14ac:dyDescent="0.3">
      <c r="A1339">
        <v>1376</v>
      </c>
      <c r="B1339" s="2">
        <v>45852</v>
      </c>
      <c r="C1339" t="s">
        <v>26</v>
      </c>
      <c r="D1339" t="s">
        <v>29</v>
      </c>
      <c r="E1339" t="s">
        <v>37</v>
      </c>
      <c r="F1339" t="s">
        <v>33</v>
      </c>
      <c r="G1339">
        <v>14</v>
      </c>
      <c r="H1339" s="3">
        <v>295.27</v>
      </c>
      <c r="I1339" s="3">
        <v>163.93</v>
      </c>
      <c r="J1339" s="3">
        <f t="shared" si="60"/>
        <v>4133.78</v>
      </c>
      <c r="K1339" s="3">
        <f t="shared" si="61"/>
        <v>2295.02</v>
      </c>
      <c r="L1339" s="3">
        <f t="shared" si="62"/>
        <v>1838.7599999999998</v>
      </c>
    </row>
    <row r="1340" spans="1:12" x14ac:dyDescent="0.3">
      <c r="A1340">
        <v>1638</v>
      </c>
      <c r="B1340" s="2">
        <v>45852</v>
      </c>
      <c r="C1340" t="s">
        <v>32</v>
      </c>
      <c r="D1340" t="s">
        <v>20</v>
      </c>
      <c r="E1340" t="s">
        <v>42</v>
      </c>
      <c r="F1340" t="s">
        <v>22</v>
      </c>
      <c r="G1340">
        <v>12</v>
      </c>
      <c r="H1340" s="3">
        <v>132.19</v>
      </c>
      <c r="I1340" s="3">
        <v>86.86</v>
      </c>
      <c r="J1340" s="3">
        <f t="shared" si="60"/>
        <v>1586.28</v>
      </c>
      <c r="K1340" s="3">
        <f t="shared" si="61"/>
        <v>1042.32</v>
      </c>
      <c r="L1340" s="3">
        <f t="shared" si="62"/>
        <v>543.96</v>
      </c>
    </row>
    <row r="1341" spans="1:12" x14ac:dyDescent="0.3">
      <c r="A1341">
        <v>1433</v>
      </c>
      <c r="B1341" s="2">
        <v>45853</v>
      </c>
      <c r="C1341" t="s">
        <v>32</v>
      </c>
      <c r="D1341" t="s">
        <v>13</v>
      </c>
      <c r="E1341" t="s">
        <v>14</v>
      </c>
      <c r="F1341" t="s">
        <v>36</v>
      </c>
      <c r="G1341">
        <v>26</v>
      </c>
      <c r="H1341" s="3">
        <v>43.75</v>
      </c>
      <c r="I1341" s="3">
        <v>24.29</v>
      </c>
      <c r="J1341" s="3">
        <f t="shared" si="60"/>
        <v>1137.5</v>
      </c>
      <c r="K1341" s="3">
        <f t="shared" si="61"/>
        <v>631.54</v>
      </c>
      <c r="L1341" s="3">
        <f t="shared" si="62"/>
        <v>505.96000000000004</v>
      </c>
    </row>
    <row r="1342" spans="1:12" x14ac:dyDescent="0.3">
      <c r="A1342">
        <v>1809</v>
      </c>
      <c r="B1342" s="2">
        <v>45853</v>
      </c>
      <c r="C1342" t="s">
        <v>23</v>
      </c>
      <c r="D1342" t="s">
        <v>17</v>
      </c>
      <c r="E1342" t="s">
        <v>44</v>
      </c>
      <c r="F1342" t="s">
        <v>33</v>
      </c>
      <c r="G1342">
        <v>38</v>
      </c>
      <c r="H1342" s="3">
        <v>787.32</v>
      </c>
      <c r="I1342" s="3">
        <v>522.51</v>
      </c>
      <c r="J1342" s="3">
        <f t="shared" si="60"/>
        <v>29918.160000000003</v>
      </c>
      <c r="K1342" s="3">
        <f t="shared" si="61"/>
        <v>19855.38</v>
      </c>
      <c r="L1342" s="3">
        <f t="shared" si="62"/>
        <v>10062.780000000002</v>
      </c>
    </row>
    <row r="1343" spans="1:12" x14ac:dyDescent="0.3">
      <c r="A1343">
        <v>2337</v>
      </c>
      <c r="B1343" s="2">
        <v>45853</v>
      </c>
      <c r="C1343" t="s">
        <v>16</v>
      </c>
      <c r="D1343" t="s">
        <v>29</v>
      </c>
      <c r="E1343" t="s">
        <v>37</v>
      </c>
      <c r="F1343" t="s">
        <v>25</v>
      </c>
      <c r="G1343">
        <v>28</v>
      </c>
      <c r="H1343" s="3">
        <v>317.95999999999998</v>
      </c>
      <c r="I1343" s="3">
        <v>185.82</v>
      </c>
      <c r="J1343" s="3">
        <f t="shared" si="60"/>
        <v>8902.8799999999992</v>
      </c>
      <c r="K1343" s="3">
        <f t="shared" si="61"/>
        <v>5202.96</v>
      </c>
      <c r="L1343" s="3">
        <f t="shared" si="62"/>
        <v>3699.9199999999992</v>
      </c>
    </row>
    <row r="1344" spans="1:12" x14ac:dyDescent="0.3">
      <c r="A1344">
        <v>1350</v>
      </c>
      <c r="B1344" s="2">
        <v>45854</v>
      </c>
      <c r="C1344" t="s">
        <v>26</v>
      </c>
      <c r="D1344" t="s">
        <v>17</v>
      </c>
      <c r="E1344" t="s">
        <v>35</v>
      </c>
      <c r="F1344" t="s">
        <v>15</v>
      </c>
      <c r="G1344">
        <v>33</v>
      </c>
      <c r="H1344" s="3">
        <v>532.36</v>
      </c>
      <c r="I1344" s="3">
        <v>376.02</v>
      </c>
      <c r="J1344" s="3">
        <f t="shared" si="60"/>
        <v>17567.88</v>
      </c>
      <c r="K1344" s="3">
        <f t="shared" si="61"/>
        <v>12408.66</v>
      </c>
      <c r="L1344" s="3">
        <f t="shared" si="62"/>
        <v>5159.2200000000012</v>
      </c>
    </row>
    <row r="1345" spans="1:12" x14ac:dyDescent="0.3">
      <c r="A1345">
        <v>2266</v>
      </c>
      <c r="B1345" s="2">
        <v>45854</v>
      </c>
      <c r="C1345" t="s">
        <v>32</v>
      </c>
      <c r="D1345" t="s">
        <v>13</v>
      </c>
      <c r="E1345" t="s">
        <v>24</v>
      </c>
      <c r="F1345" t="s">
        <v>28</v>
      </c>
      <c r="G1345">
        <v>39</v>
      </c>
      <c r="H1345" s="3">
        <v>27.67</v>
      </c>
      <c r="I1345" s="3">
        <v>20.54</v>
      </c>
      <c r="J1345" s="3">
        <f t="shared" si="60"/>
        <v>1079.1300000000001</v>
      </c>
      <c r="K1345" s="3">
        <f t="shared" si="61"/>
        <v>801.06</v>
      </c>
      <c r="L1345" s="3">
        <f t="shared" si="62"/>
        <v>278.07000000000016</v>
      </c>
    </row>
    <row r="1346" spans="1:12" x14ac:dyDescent="0.3">
      <c r="A1346">
        <v>1181</v>
      </c>
      <c r="B1346" s="2">
        <v>45855</v>
      </c>
      <c r="C1346" t="s">
        <v>12</v>
      </c>
      <c r="D1346" t="s">
        <v>20</v>
      </c>
      <c r="E1346" t="s">
        <v>21</v>
      </c>
      <c r="F1346" t="s">
        <v>28</v>
      </c>
      <c r="G1346">
        <v>13</v>
      </c>
      <c r="H1346" s="3">
        <v>36.57</v>
      </c>
      <c r="I1346" s="3">
        <v>25.31</v>
      </c>
      <c r="J1346" s="3">
        <f t="shared" ref="J1346:J1409" si="63">G1346*H1346</f>
        <v>475.41</v>
      </c>
      <c r="K1346" s="3">
        <f t="shared" ref="K1346:K1409" si="64">G1346*I1346</f>
        <v>329.03</v>
      </c>
      <c r="L1346" s="3">
        <f t="shared" ref="L1346:L1409" si="65">J1346-K1346</f>
        <v>146.38000000000005</v>
      </c>
    </row>
    <row r="1347" spans="1:12" x14ac:dyDescent="0.3">
      <c r="A1347">
        <v>1402</v>
      </c>
      <c r="B1347" s="2">
        <v>45855</v>
      </c>
      <c r="C1347" t="s">
        <v>16</v>
      </c>
      <c r="D1347" t="s">
        <v>17</v>
      </c>
      <c r="E1347" t="s">
        <v>44</v>
      </c>
      <c r="F1347" t="s">
        <v>36</v>
      </c>
      <c r="G1347">
        <v>1</v>
      </c>
      <c r="H1347" s="3">
        <v>735.67</v>
      </c>
      <c r="I1347" s="3">
        <v>384.05</v>
      </c>
      <c r="J1347" s="3">
        <f t="shared" si="63"/>
        <v>735.67</v>
      </c>
      <c r="K1347" s="3">
        <f t="shared" si="64"/>
        <v>384.05</v>
      </c>
      <c r="L1347" s="3">
        <f t="shared" si="65"/>
        <v>351.61999999999995</v>
      </c>
    </row>
    <row r="1348" spans="1:12" x14ac:dyDescent="0.3">
      <c r="A1348">
        <v>2640</v>
      </c>
      <c r="B1348" s="2">
        <v>45855</v>
      </c>
      <c r="C1348" t="s">
        <v>12</v>
      </c>
      <c r="D1348" t="s">
        <v>13</v>
      </c>
      <c r="E1348" t="s">
        <v>31</v>
      </c>
      <c r="F1348" t="s">
        <v>15</v>
      </c>
      <c r="G1348">
        <v>27</v>
      </c>
      <c r="H1348" s="3">
        <v>36.56</v>
      </c>
      <c r="I1348" s="3">
        <v>18.600000000000001</v>
      </c>
      <c r="J1348" s="3">
        <f t="shared" si="63"/>
        <v>987.12000000000012</v>
      </c>
      <c r="K1348" s="3">
        <f t="shared" si="64"/>
        <v>502.20000000000005</v>
      </c>
      <c r="L1348" s="3">
        <f t="shared" si="65"/>
        <v>484.92000000000007</v>
      </c>
    </row>
    <row r="1349" spans="1:12" x14ac:dyDescent="0.3">
      <c r="A1349">
        <v>1079</v>
      </c>
      <c r="B1349" s="2">
        <v>45856</v>
      </c>
      <c r="C1349" t="s">
        <v>26</v>
      </c>
      <c r="D1349" t="s">
        <v>20</v>
      </c>
      <c r="E1349" t="s">
        <v>42</v>
      </c>
      <c r="F1349" t="s">
        <v>39</v>
      </c>
      <c r="G1349">
        <v>8</v>
      </c>
      <c r="H1349" s="3">
        <v>159.55000000000001</v>
      </c>
      <c r="I1349" s="3">
        <v>108.36</v>
      </c>
      <c r="J1349" s="3">
        <f t="shared" si="63"/>
        <v>1276.4000000000001</v>
      </c>
      <c r="K1349" s="3">
        <f t="shared" si="64"/>
        <v>866.88</v>
      </c>
      <c r="L1349" s="3">
        <f t="shared" si="65"/>
        <v>409.5200000000001</v>
      </c>
    </row>
    <row r="1350" spans="1:12" x14ac:dyDescent="0.3">
      <c r="A1350">
        <v>1157</v>
      </c>
      <c r="B1350" s="2">
        <v>45856</v>
      </c>
      <c r="C1350" t="s">
        <v>12</v>
      </c>
      <c r="D1350" t="s">
        <v>17</v>
      </c>
      <c r="E1350" t="s">
        <v>27</v>
      </c>
      <c r="F1350" t="s">
        <v>15</v>
      </c>
      <c r="G1350">
        <v>26</v>
      </c>
      <c r="H1350" s="3">
        <v>899.66</v>
      </c>
      <c r="I1350" s="3">
        <v>635.01</v>
      </c>
      <c r="J1350" s="3">
        <f t="shared" si="63"/>
        <v>23391.16</v>
      </c>
      <c r="K1350" s="3">
        <f t="shared" si="64"/>
        <v>16510.259999999998</v>
      </c>
      <c r="L1350" s="3">
        <f t="shared" si="65"/>
        <v>6880.9000000000015</v>
      </c>
    </row>
    <row r="1351" spans="1:12" x14ac:dyDescent="0.3">
      <c r="A1351">
        <v>2249</v>
      </c>
      <c r="B1351" s="2">
        <v>45856</v>
      </c>
      <c r="C1351" t="s">
        <v>26</v>
      </c>
      <c r="D1351" t="s">
        <v>13</v>
      </c>
      <c r="E1351" t="s">
        <v>46</v>
      </c>
      <c r="F1351" t="s">
        <v>22</v>
      </c>
      <c r="G1351">
        <v>37</v>
      </c>
      <c r="H1351" s="3">
        <v>24.7</v>
      </c>
      <c r="I1351" s="3">
        <v>12.57</v>
      </c>
      <c r="J1351" s="3">
        <f t="shared" si="63"/>
        <v>913.9</v>
      </c>
      <c r="K1351" s="3">
        <f t="shared" si="64"/>
        <v>465.09000000000003</v>
      </c>
      <c r="L1351" s="3">
        <f t="shared" si="65"/>
        <v>448.80999999999995</v>
      </c>
    </row>
    <row r="1352" spans="1:12" x14ac:dyDescent="0.3">
      <c r="A1352">
        <v>2402</v>
      </c>
      <c r="B1352" s="2">
        <v>45856</v>
      </c>
      <c r="C1352" t="s">
        <v>32</v>
      </c>
      <c r="D1352" t="s">
        <v>17</v>
      </c>
      <c r="E1352" t="s">
        <v>35</v>
      </c>
      <c r="F1352" t="s">
        <v>22</v>
      </c>
      <c r="G1352">
        <v>21</v>
      </c>
      <c r="H1352" s="3">
        <v>266.67</v>
      </c>
      <c r="I1352" s="3">
        <v>140.44</v>
      </c>
      <c r="J1352" s="3">
        <f t="shared" si="63"/>
        <v>5600.0700000000006</v>
      </c>
      <c r="K1352" s="3">
        <f t="shared" si="64"/>
        <v>2949.24</v>
      </c>
      <c r="L1352" s="3">
        <f t="shared" si="65"/>
        <v>2650.8300000000008</v>
      </c>
    </row>
    <row r="1353" spans="1:12" x14ac:dyDescent="0.3">
      <c r="A1353">
        <v>2420</v>
      </c>
      <c r="B1353" s="2">
        <v>45856</v>
      </c>
      <c r="C1353" t="s">
        <v>16</v>
      </c>
      <c r="D1353" t="s">
        <v>13</v>
      </c>
      <c r="E1353" t="s">
        <v>45</v>
      </c>
      <c r="F1353" t="s">
        <v>15</v>
      </c>
      <c r="G1353">
        <v>24</v>
      </c>
      <c r="H1353" s="3">
        <v>42.32</v>
      </c>
      <c r="I1353" s="3">
        <v>29.62</v>
      </c>
      <c r="J1353" s="3">
        <f t="shared" si="63"/>
        <v>1015.6800000000001</v>
      </c>
      <c r="K1353" s="3">
        <f t="shared" si="64"/>
        <v>710.88</v>
      </c>
      <c r="L1353" s="3">
        <f t="shared" si="65"/>
        <v>304.80000000000007</v>
      </c>
    </row>
    <row r="1354" spans="1:12" x14ac:dyDescent="0.3">
      <c r="A1354">
        <v>1362</v>
      </c>
      <c r="B1354" s="2">
        <v>45857</v>
      </c>
      <c r="C1354" t="s">
        <v>26</v>
      </c>
      <c r="D1354" t="s">
        <v>17</v>
      </c>
      <c r="E1354" t="s">
        <v>40</v>
      </c>
      <c r="F1354" t="s">
        <v>39</v>
      </c>
      <c r="G1354">
        <v>40</v>
      </c>
      <c r="H1354" s="3">
        <v>789.83</v>
      </c>
      <c r="I1354" s="3">
        <v>520.05999999999995</v>
      </c>
      <c r="J1354" s="3">
        <f t="shared" si="63"/>
        <v>31593.200000000001</v>
      </c>
      <c r="K1354" s="3">
        <f t="shared" si="64"/>
        <v>20802.399999999998</v>
      </c>
      <c r="L1354" s="3">
        <f t="shared" si="65"/>
        <v>10790.800000000003</v>
      </c>
    </row>
    <row r="1355" spans="1:12" x14ac:dyDescent="0.3">
      <c r="A1355">
        <v>1272</v>
      </c>
      <c r="B1355" s="2">
        <v>45858</v>
      </c>
      <c r="C1355" t="s">
        <v>23</v>
      </c>
      <c r="D1355" t="s">
        <v>17</v>
      </c>
      <c r="E1355" t="s">
        <v>40</v>
      </c>
      <c r="F1355" t="s">
        <v>39</v>
      </c>
      <c r="G1355">
        <v>19</v>
      </c>
      <c r="H1355" s="3">
        <v>533.6</v>
      </c>
      <c r="I1355" s="3">
        <v>345.73</v>
      </c>
      <c r="J1355" s="3">
        <f t="shared" si="63"/>
        <v>10138.4</v>
      </c>
      <c r="K1355" s="3">
        <f t="shared" si="64"/>
        <v>6568.8700000000008</v>
      </c>
      <c r="L1355" s="3">
        <f t="shared" si="65"/>
        <v>3569.5299999999988</v>
      </c>
    </row>
    <row r="1356" spans="1:12" x14ac:dyDescent="0.3">
      <c r="A1356">
        <v>1760</v>
      </c>
      <c r="B1356" s="2">
        <v>45858</v>
      </c>
      <c r="C1356" t="s">
        <v>26</v>
      </c>
      <c r="D1356" t="s">
        <v>29</v>
      </c>
      <c r="E1356" t="s">
        <v>30</v>
      </c>
      <c r="F1356" t="s">
        <v>25</v>
      </c>
      <c r="G1356">
        <v>33</v>
      </c>
      <c r="H1356" s="3">
        <v>269.39</v>
      </c>
      <c r="I1356" s="3">
        <v>168.78</v>
      </c>
      <c r="J1356" s="3">
        <f t="shared" si="63"/>
        <v>8889.869999999999</v>
      </c>
      <c r="K1356" s="3">
        <f t="shared" si="64"/>
        <v>5569.74</v>
      </c>
      <c r="L1356" s="3">
        <f t="shared" si="65"/>
        <v>3320.1299999999992</v>
      </c>
    </row>
    <row r="1357" spans="1:12" x14ac:dyDescent="0.3">
      <c r="A1357">
        <v>2038</v>
      </c>
      <c r="B1357" s="2">
        <v>45858</v>
      </c>
      <c r="C1357" t="s">
        <v>26</v>
      </c>
      <c r="D1357" t="s">
        <v>17</v>
      </c>
      <c r="E1357" t="s">
        <v>35</v>
      </c>
      <c r="F1357" t="s">
        <v>39</v>
      </c>
      <c r="G1357">
        <v>24</v>
      </c>
      <c r="H1357" s="3">
        <v>509.8</v>
      </c>
      <c r="I1357" s="3">
        <v>346.39</v>
      </c>
      <c r="J1357" s="3">
        <f t="shared" si="63"/>
        <v>12235.2</v>
      </c>
      <c r="K1357" s="3">
        <f t="shared" si="64"/>
        <v>8313.36</v>
      </c>
      <c r="L1357" s="3">
        <f t="shared" si="65"/>
        <v>3921.84</v>
      </c>
    </row>
    <row r="1358" spans="1:12" x14ac:dyDescent="0.3">
      <c r="A1358">
        <v>2348</v>
      </c>
      <c r="B1358" s="2">
        <v>45858</v>
      </c>
      <c r="C1358" t="s">
        <v>26</v>
      </c>
      <c r="D1358" t="s">
        <v>29</v>
      </c>
      <c r="E1358" t="s">
        <v>30</v>
      </c>
      <c r="F1358" t="s">
        <v>15</v>
      </c>
      <c r="G1358">
        <v>29</v>
      </c>
      <c r="H1358" s="3">
        <v>263.08</v>
      </c>
      <c r="I1358" s="3">
        <v>143.77000000000001</v>
      </c>
      <c r="J1358" s="3">
        <f t="shared" si="63"/>
        <v>7629.32</v>
      </c>
      <c r="K1358" s="3">
        <f t="shared" si="64"/>
        <v>4169.33</v>
      </c>
      <c r="L1358" s="3">
        <f t="shared" si="65"/>
        <v>3459.99</v>
      </c>
    </row>
    <row r="1359" spans="1:12" x14ac:dyDescent="0.3">
      <c r="A1359">
        <v>2739</v>
      </c>
      <c r="B1359" s="2">
        <v>45858</v>
      </c>
      <c r="C1359" t="s">
        <v>12</v>
      </c>
      <c r="D1359" t="s">
        <v>13</v>
      </c>
      <c r="E1359" t="s">
        <v>45</v>
      </c>
      <c r="F1359" t="s">
        <v>28</v>
      </c>
      <c r="G1359">
        <v>28</v>
      </c>
      <c r="H1359" s="3">
        <v>46.44</v>
      </c>
      <c r="I1359" s="3">
        <v>27.89</v>
      </c>
      <c r="J1359" s="3">
        <f t="shared" si="63"/>
        <v>1300.32</v>
      </c>
      <c r="K1359" s="3">
        <f t="shared" si="64"/>
        <v>780.92000000000007</v>
      </c>
      <c r="L1359" s="3">
        <f t="shared" si="65"/>
        <v>519.39999999999986</v>
      </c>
    </row>
    <row r="1360" spans="1:12" x14ac:dyDescent="0.3">
      <c r="A1360">
        <v>1446</v>
      </c>
      <c r="B1360" s="2">
        <v>45859</v>
      </c>
      <c r="C1360" t="s">
        <v>12</v>
      </c>
      <c r="D1360" t="s">
        <v>17</v>
      </c>
      <c r="E1360" t="s">
        <v>35</v>
      </c>
      <c r="F1360" t="s">
        <v>19</v>
      </c>
      <c r="G1360">
        <v>29</v>
      </c>
      <c r="H1360" s="3">
        <v>308.37</v>
      </c>
      <c r="I1360" s="3">
        <v>203.37</v>
      </c>
      <c r="J1360" s="3">
        <f t="shared" si="63"/>
        <v>8942.73</v>
      </c>
      <c r="K1360" s="3">
        <f t="shared" si="64"/>
        <v>5897.7300000000005</v>
      </c>
      <c r="L1360" s="3">
        <f t="shared" si="65"/>
        <v>3044.9999999999991</v>
      </c>
    </row>
    <row r="1361" spans="1:12" x14ac:dyDescent="0.3">
      <c r="A1361">
        <v>1831</v>
      </c>
      <c r="B1361" s="2">
        <v>45859</v>
      </c>
      <c r="C1361" t="s">
        <v>23</v>
      </c>
      <c r="D1361" t="s">
        <v>17</v>
      </c>
      <c r="E1361" t="s">
        <v>18</v>
      </c>
      <c r="F1361" t="s">
        <v>19</v>
      </c>
      <c r="G1361">
        <v>31</v>
      </c>
      <c r="H1361" s="3">
        <v>478.16</v>
      </c>
      <c r="I1361" s="3">
        <v>253.99</v>
      </c>
      <c r="J1361" s="3">
        <f t="shared" si="63"/>
        <v>14822.960000000001</v>
      </c>
      <c r="K1361" s="3">
        <f t="shared" si="64"/>
        <v>7873.6900000000005</v>
      </c>
      <c r="L1361" s="3">
        <f t="shared" si="65"/>
        <v>6949.27</v>
      </c>
    </row>
    <row r="1362" spans="1:12" x14ac:dyDescent="0.3">
      <c r="A1362">
        <v>1221</v>
      </c>
      <c r="B1362" s="2">
        <v>45860</v>
      </c>
      <c r="C1362" t="s">
        <v>16</v>
      </c>
      <c r="D1362" t="s">
        <v>20</v>
      </c>
      <c r="E1362" t="s">
        <v>42</v>
      </c>
      <c r="F1362" t="s">
        <v>22</v>
      </c>
      <c r="G1362">
        <v>6</v>
      </c>
      <c r="H1362" s="3">
        <v>110.84</v>
      </c>
      <c r="I1362" s="3">
        <v>66.09</v>
      </c>
      <c r="J1362" s="3">
        <f t="shared" si="63"/>
        <v>665.04</v>
      </c>
      <c r="K1362" s="3">
        <f t="shared" si="64"/>
        <v>396.54</v>
      </c>
      <c r="L1362" s="3">
        <f t="shared" si="65"/>
        <v>268.49999999999994</v>
      </c>
    </row>
    <row r="1363" spans="1:12" x14ac:dyDescent="0.3">
      <c r="A1363">
        <v>1817</v>
      </c>
      <c r="B1363" s="2">
        <v>45860</v>
      </c>
      <c r="C1363" t="s">
        <v>23</v>
      </c>
      <c r="D1363" t="s">
        <v>29</v>
      </c>
      <c r="E1363" t="s">
        <v>30</v>
      </c>
      <c r="F1363" t="s">
        <v>22</v>
      </c>
      <c r="G1363">
        <v>9</v>
      </c>
      <c r="H1363" s="3">
        <v>116.88</v>
      </c>
      <c r="I1363" s="3">
        <v>80.44</v>
      </c>
      <c r="J1363" s="3">
        <f t="shared" si="63"/>
        <v>1051.92</v>
      </c>
      <c r="K1363" s="3">
        <f t="shared" si="64"/>
        <v>723.96</v>
      </c>
      <c r="L1363" s="3">
        <f t="shared" si="65"/>
        <v>327.96000000000004</v>
      </c>
    </row>
    <row r="1364" spans="1:12" x14ac:dyDescent="0.3">
      <c r="A1364">
        <v>2608</v>
      </c>
      <c r="B1364" s="2">
        <v>45860</v>
      </c>
      <c r="C1364" t="s">
        <v>23</v>
      </c>
      <c r="D1364" t="s">
        <v>13</v>
      </c>
      <c r="E1364" t="s">
        <v>14</v>
      </c>
      <c r="F1364" t="s">
        <v>33</v>
      </c>
      <c r="G1364">
        <v>16</v>
      </c>
      <c r="H1364" s="3">
        <v>43.43</v>
      </c>
      <c r="I1364" s="3">
        <v>24.54</v>
      </c>
      <c r="J1364" s="3">
        <f t="shared" si="63"/>
        <v>694.88</v>
      </c>
      <c r="K1364" s="3">
        <f t="shared" si="64"/>
        <v>392.64</v>
      </c>
      <c r="L1364" s="3">
        <f t="shared" si="65"/>
        <v>302.24</v>
      </c>
    </row>
    <row r="1365" spans="1:12" x14ac:dyDescent="0.3">
      <c r="A1365">
        <v>1111</v>
      </c>
      <c r="B1365" s="2">
        <v>45861</v>
      </c>
      <c r="C1365" t="s">
        <v>26</v>
      </c>
      <c r="D1365" t="s">
        <v>29</v>
      </c>
      <c r="E1365" t="s">
        <v>30</v>
      </c>
      <c r="F1365" t="s">
        <v>36</v>
      </c>
      <c r="G1365">
        <v>23</v>
      </c>
      <c r="H1365" s="3">
        <v>257.63</v>
      </c>
      <c r="I1365" s="3">
        <v>132.13</v>
      </c>
      <c r="J1365" s="3">
        <f t="shared" si="63"/>
        <v>5925.49</v>
      </c>
      <c r="K1365" s="3">
        <f t="shared" si="64"/>
        <v>3038.99</v>
      </c>
      <c r="L1365" s="3">
        <f t="shared" si="65"/>
        <v>2886.5</v>
      </c>
    </row>
    <row r="1366" spans="1:12" x14ac:dyDescent="0.3">
      <c r="A1366">
        <v>1113</v>
      </c>
      <c r="B1366" s="2">
        <v>45861</v>
      </c>
      <c r="C1366" t="s">
        <v>32</v>
      </c>
      <c r="D1366" t="s">
        <v>17</v>
      </c>
      <c r="E1366" t="s">
        <v>40</v>
      </c>
      <c r="F1366" t="s">
        <v>39</v>
      </c>
      <c r="G1366">
        <v>28</v>
      </c>
      <c r="H1366" s="3">
        <v>769.93</v>
      </c>
      <c r="I1366" s="3">
        <v>508.67</v>
      </c>
      <c r="J1366" s="3">
        <f t="shared" si="63"/>
        <v>21558.039999999997</v>
      </c>
      <c r="K1366" s="3">
        <f t="shared" si="64"/>
        <v>14242.76</v>
      </c>
      <c r="L1366" s="3">
        <f t="shared" si="65"/>
        <v>7315.279999999997</v>
      </c>
    </row>
    <row r="1367" spans="1:12" x14ac:dyDescent="0.3">
      <c r="A1367">
        <v>2696</v>
      </c>
      <c r="B1367" s="2">
        <v>45861</v>
      </c>
      <c r="C1367" t="s">
        <v>16</v>
      </c>
      <c r="D1367" t="s">
        <v>17</v>
      </c>
      <c r="E1367" t="s">
        <v>27</v>
      </c>
      <c r="F1367" t="s">
        <v>33</v>
      </c>
      <c r="G1367">
        <v>16</v>
      </c>
      <c r="H1367" s="3">
        <v>462.15</v>
      </c>
      <c r="I1367" s="3">
        <v>238.84</v>
      </c>
      <c r="J1367" s="3">
        <f t="shared" si="63"/>
        <v>7394.4</v>
      </c>
      <c r="K1367" s="3">
        <f t="shared" si="64"/>
        <v>3821.44</v>
      </c>
      <c r="L1367" s="3">
        <f t="shared" si="65"/>
        <v>3572.9599999999996</v>
      </c>
    </row>
    <row r="1368" spans="1:12" x14ac:dyDescent="0.3">
      <c r="A1368">
        <v>2782</v>
      </c>
      <c r="B1368" s="2">
        <v>45861</v>
      </c>
      <c r="C1368" t="s">
        <v>32</v>
      </c>
      <c r="D1368" t="s">
        <v>20</v>
      </c>
      <c r="E1368" t="s">
        <v>34</v>
      </c>
      <c r="F1368" t="s">
        <v>39</v>
      </c>
      <c r="G1368">
        <v>2</v>
      </c>
      <c r="H1368" s="3">
        <v>56.91</v>
      </c>
      <c r="I1368" s="3">
        <v>30.26</v>
      </c>
      <c r="J1368" s="3">
        <f t="shared" si="63"/>
        <v>113.82</v>
      </c>
      <c r="K1368" s="3">
        <f t="shared" si="64"/>
        <v>60.52</v>
      </c>
      <c r="L1368" s="3">
        <f t="shared" si="65"/>
        <v>53.29999999999999</v>
      </c>
    </row>
    <row r="1369" spans="1:12" x14ac:dyDescent="0.3">
      <c r="A1369">
        <v>2611</v>
      </c>
      <c r="B1369" s="2">
        <v>45862</v>
      </c>
      <c r="C1369" t="s">
        <v>16</v>
      </c>
      <c r="D1369" t="s">
        <v>20</v>
      </c>
      <c r="E1369" t="s">
        <v>21</v>
      </c>
      <c r="F1369" t="s">
        <v>28</v>
      </c>
      <c r="G1369">
        <v>27</v>
      </c>
      <c r="H1369" s="3">
        <v>24.02</v>
      </c>
      <c r="I1369" s="3">
        <v>16.760000000000002</v>
      </c>
      <c r="J1369" s="3">
        <f t="shared" si="63"/>
        <v>648.54</v>
      </c>
      <c r="K1369" s="3">
        <f t="shared" si="64"/>
        <v>452.52000000000004</v>
      </c>
      <c r="L1369" s="3">
        <f t="shared" si="65"/>
        <v>196.01999999999992</v>
      </c>
    </row>
    <row r="1370" spans="1:12" x14ac:dyDescent="0.3">
      <c r="A1370">
        <v>2622</v>
      </c>
      <c r="B1370" s="2">
        <v>45862</v>
      </c>
      <c r="C1370" t="s">
        <v>12</v>
      </c>
      <c r="D1370" t="s">
        <v>29</v>
      </c>
      <c r="E1370" t="s">
        <v>43</v>
      </c>
      <c r="F1370" t="s">
        <v>33</v>
      </c>
      <c r="G1370">
        <v>18</v>
      </c>
      <c r="H1370" s="3">
        <v>260.27999999999997</v>
      </c>
      <c r="I1370" s="3">
        <v>154.05000000000001</v>
      </c>
      <c r="J1370" s="3">
        <f t="shared" si="63"/>
        <v>4685.0399999999991</v>
      </c>
      <c r="K1370" s="3">
        <f t="shared" si="64"/>
        <v>2772.9</v>
      </c>
      <c r="L1370" s="3">
        <f t="shared" si="65"/>
        <v>1912.139999999999</v>
      </c>
    </row>
    <row r="1371" spans="1:12" x14ac:dyDescent="0.3">
      <c r="A1371">
        <v>1347</v>
      </c>
      <c r="B1371" s="2">
        <v>45863</v>
      </c>
      <c r="C1371" t="s">
        <v>16</v>
      </c>
      <c r="D1371" t="s">
        <v>17</v>
      </c>
      <c r="E1371" t="s">
        <v>27</v>
      </c>
      <c r="F1371" t="s">
        <v>19</v>
      </c>
      <c r="G1371">
        <v>33</v>
      </c>
      <c r="H1371" s="3">
        <v>773.03</v>
      </c>
      <c r="I1371" s="3">
        <v>481.53</v>
      </c>
      <c r="J1371" s="3">
        <f t="shared" si="63"/>
        <v>25509.989999999998</v>
      </c>
      <c r="K1371" s="3">
        <f t="shared" si="64"/>
        <v>15890.49</v>
      </c>
      <c r="L1371" s="3">
        <f t="shared" si="65"/>
        <v>9619.4999999999982</v>
      </c>
    </row>
    <row r="1372" spans="1:12" x14ac:dyDescent="0.3">
      <c r="A1372">
        <v>2283</v>
      </c>
      <c r="B1372" s="2">
        <v>45863</v>
      </c>
      <c r="C1372" t="s">
        <v>26</v>
      </c>
      <c r="D1372" t="s">
        <v>17</v>
      </c>
      <c r="E1372" t="s">
        <v>44</v>
      </c>
      <c r="F1372" t="s">
        <v>28</v>
      </c>
      <c r="G1372">
        <v>3</v>
      </c>
      <c r="H1372" s="3">
        <v>95.43</v>
      </c>
      <c r="I1372" s="3">
        <v>51</v>
      </c>
      <c r="J1372" s="3">
        <f t="shared" si="63"/>
        <v>286.29000000000002</v>
      </c>
      <c r="K1372" s="3">
        <f t="shared" si="64"/>
        <v>153</v>
      </c>
      <c r="L1372" s="3">
        <f t="shared" si="65"/>
        <v>133.29000000000002</v>
      </c>
    </row>
    <row r="1373" spans="1:12" x14ac:dyDescent="0.3">
      <c r="A1373">
        <v>1407</v>
      </c>
      <c r="B1373" s="2">
        <v>45864</v>
      </c>
      <c r="C1373" t="s">
        <v>16</v>
      </c>
      <c r="D1373" t="s">
        <v>29</v>
      </c>
      <c r="E1373" t="s">
        <v>43</v>
      </c>
      <c r="F1373" t="s">
        <v>15</v>
      </c>
      <c r="G1373">
        <v>15</v>
      </c>
      <c r="H1373" s="3">
        <v>470.48</v>
      </c>
      <c r="I1373" s="3">
        <v>265.95</v>
      </c>
      <c r="J1373" s="3">
        <f t="shared" si="63"/>
        <v>7057.2000000000007</v>
      </c>
      <c r="K1373" s="3">
        <f t="shared" si="64"/>
        <v>3989.25</v>
      </c>
      <c r="L1373" s="3">
        <f t="shared" si="65"/>
        <v>3067.9500000000007</v>
      </c>
    </row>
    <row r="1374" spans="1:12" x14ac:dyDescent="0.3">
      <c r="A1374">
        <v>1571</v>
      </c>
      <c r="B1374" s="2">
        <v>45864</v>
      </c>
      <c r="C1374" t="s">
        <v>26</v>
      </c>
      <c r="D1374" t="s">
        <v>13</v>
      </c>
      <c r="E1374" t="s">
        <v>24</v>
      </c>
      <c r="F1374" t="s">
        <v>33</v>
      </c>
      <c r="G1374">
        <v>16</v>
      </c>
      <c r="H1374" s="3">
        <v>40</v>
      </c>
      <c r="I1374" s="3">
        <v>28.71</v>
      </c>
      <c r="J1374" s="3">
        <f t="shared" si="63"/>
        <v>640</v>
      </c>
      <c r="K1374" s="3">
        <f t="shared" si="64"/>
        <v>459.36</v>
      </c>
      <c r="L1374" s="3">
        <f t="shared" si="65"/>
        <v>180.64</v>
      </c>
    </row>
    <row r="1375" spans="1:12" x14ac:dyDescent="0.3">
      <c r="A1375">
        <v>1649</v>
      </c>
      <c r="B1375" s="2">
        <v>45864</v>
      </c>
      <c r="C1375" t="s">
        <v>26</v>
      </c>
      <c r="D1375" t="s">
        <v>13</v>
      </c>
      <c r="E1375" t="s">
        <v>31</v>
      </c>
      <c r="F1375" t="s">
        <v>19</v>
      </c>
      <c r="G1375">
        <v>33</v>
      </c>
      <c r="H1375" s="3">
        <v>22.33</v>
      </c>
      <c r="I1375" s="3">
        <v>15.13</v>
      </c>
      <c r="J1375" s="3">
        <f t="shared" si="63"/>
        <v>736.89</v>
      </c>
      <c r="K1375" s="3">
        <f t="shared" si="64"/>
        <v>499.29</v>
      </c>
      <c r="L1375" s="3">
        <f t="shared" si="65"/>
        <v>237.59999999999997</v>
      </c>
    </row>
    <row r="1376" spans="1:12" x14ac:dyDescent="0.3">
      <c r="A1376">
        <v>2299</v>
      </c>
      <c r="B1376" s="2">
        <v>45864</v>
      </c>
      <c r="C1376" t="s">
        <v>23</v>
      </c>
      <c r="D1376" t="s">
        <v>13</v>
      </c>
      <c r="E1376" t="s">
        <v>45</v>
      </c>
      <c r="F1376" t="s">
        <v>15</v>
      </c>
      <c r="G1376">
        <v>24</v>
      </c>
      <c r="H1376" s="3">
        <v>23.94</v>
      </c>
      <c r="I1376" s="3">
        <v>14.2</v>
      </c>
      <c r="J1376" s="3">
        <f t="shared" si="63"/>
        <v>574.56000000000006</v>
      </c>
      <c r="K1376" s="3">
        <f t="shared" si="64"/>
        <v>340.79999999999995</v>
      </c>
      <c r="L1376" s="3">
        <f t="shared" si="65"/>
        <v>233.7600000000001</v>
      </c>
    </row>
    <row r="1377" spans="1:12" x14ac:dyDescent="0.3">
      <c r="A1377">
        <v>1853</v>
      </c>
      <c r="B1377" s="2">
        <v>45865</v>
      </c>
      <c r="C1377" t="s">
        <v>32</v>
      </c>
      <c r="D1377" t="s">
        <v>29</v>
      </c>
      <c r="E1377" t="s">
        <v>41</v>
      </c>
      <c r="F1377" t="s">
        <v>25</v>
      </c>
      <c r="G1377">
        <v>28</v>
      </c>
      <c r="H1377" s="3">
        <v>471.16</v>
      </c>
      <c r="I1377" s="3">
        <v>238.16</v>
      </c>
      <c r="J1377" s="3">
        <f t="shared" si="63"/>
        <v>13192.480000000001</v>
      </c>
      <c r="K1377" s="3">
        <f t="shared" si="64"/>
        <v>6668.48</v>
      </c>
      <c r="L1377" s="3">
        <f t="shared" si="65"/>
        <v>6524.0000000000018</v>
      </c>
    </row>
    <row r="1378" spans="1:12" x14ac:dyDescent="0.3">
      <c r="A1378">
        <v>1587</v>
      </c>
      <c r="B1378" s="2">
        <v>45866</v>
      </c>
      <c r="C1378" t="s">
        <v>26</v>
      </c>
      <c r="D1378" t="s">
        <v>13</v>
      </c>
      <c r="E1378" t="s">
        <v>14</v>
      </c>
      <c r="F1378" t="s">
        <v>36</v>
      </c>
      <c r="G1378">
        <v>29</v>
      </c>
      <c r="H1378" s="3">
        <v>48.92</v>
      </c>
      <c r="I1378" s="3">
        <v>35.42</v>
      </c>
      <c r="J1378" s="3">
        <f t="shared" si="63"/>
        <v>1418.68</v>
      </c>
      <c r="K1378" s="3">
        <f t="shared" si="64"/>
        <v>1027.18</v>
      </c>
      <c r="L1378" s="3">
        <f t="shared" si="65"/>
        <v>391.5</v>
      </c>
    </row>
    <row r="1379" spans="1:12" x14ac:dyDescent="0.3">
      <c r="A1379">
        <v>1361</v>
      </c>
      <c r="B1379" s="2">
        <v>45867</v>
      </c>
      <c r="C1379" t="s">
        <v>12</v>
      </c>
      <c r="D1379" t="s">
        <v>20</v>
      </c>
      <c r="E1379" t="s">
        <v>34</v>
      </c>
      <c r="F1379" t="s">
        <v>15</v>
      </c>
      <c r="G1379">
        <v>4</v>
      </c>
      <c r="H1379" s="3">
        <v>293.23</v>
      </c>
      <c r="I1379" s="3">
        <v>169.53</v>
      </c>
      <c r="J1379" s="3">
        <f t="shared" si="63"/>
        <v>1172.92</v>
      </c>
      <c r="K1379" s="3">
        <f t="shared" si="64"/>
        <v>678.12</v>
      </c>
      <c r="L1379" s="3">
        <f t="shared" si="65"/>
        <v>494.80000000000007</v>
      </c>
    </row>
    <row r="1380" spans="1:12" x14ac:dyDescent="0.3">
      <c r="A1380">
        <v>2035</v>
      </c>
      <c r="B1380" s="2">
        <v>45867</v>
      </c>
      <c r="C1380" t="s">
        <v>32</v>
      </c>
      <c r="D1380" t="s">
        <v>29</v>
      </c>
      <c r="E1380" t="s">
        <v>43</v>
      </c>
      <c r="F1380" t="s">
        <v>36</v>
      </c>
      <c r="G1380">
        <v>26</v>
      </c>
      <c r="H1380" s="3">
        <v>189.49</v>
      </c>
      <c r="I1380" s="3">
        <v>117.74</v>
      </c>
      <c r="J1380" s="3">
        <f t="shared" si="63"/>
        <v>4926.74</v>
      </c>
      <c r="K1380" s="3">
        <f t="shared" si="64"/>
        <v>3061.24</v>
      </c>
      <c r="L1380" s="3">
        <f t="shared" si="65"/>
        <v>1865.5</v>
      </c>
    </row>
    <row r="1381" spans="1:12" x14ac:dyDescent="0.3">
      <c r="A1381">
        <v>2745</v>
      </c>
      <c r="B1381" s="2">
        <v>45867</v>
      </c>
      <c r="C1381" t="s">
        <v>32</v>
      </c>
      <c r="D1381" t="s">
        <v>13</v>
      </c>
      <c r="E1381" t="s">
        <v>45</v>
      </c>
      <c r="F1381" t="s">
        <v>25</v>
      </c>
      <c r="G1381">
        <v>15</v>
      </c>
      <c r="H1381" s="3">
        <v>12.95</v>
      </c>
      <c r="I1381" s="3">
        <v>7.4</v>
      </c>
      <c r="J1381" s="3">
        <f t="shared" si="63"/>
        <v>194.25</v>
      </c>
      <c r="K1381" s="3">
        <f t="shared" si="64"/>
        <v>111</v>
      </c>
      <c r="L1381" s="3">
        <f t="shared" si="65"/>
        <v>83.25</v>
      </c>
    </row>
    <row r="1382" spans="1:12" x14ac:dyDescent="0.3">
      <c r="A1382">
        <v>1311</v>
      </c>
      <c r="B1382" s="2">
        <v>45868</v>
      </c>
      <c r="C1382" t="s">
        <v>26</v>
      </c>
      <c r="D1382" t="s">
        <v>29</v>
      </c>
      <c r="E1382" t="s">
        <v>43</v>
      </c>
      <c r="F1382" t="s">
        <v>36</v>
      </c>
      <c r="G1382">
        <v>17</v>
      </c>
      <c r="H1382" s="3">
        <v>335.76</v>
      </c>
      <c r="I1382" s="3">
        <v>191</v>
      </c>
      <c r="J1382" s="3">
        <f t="shared" si="63"/>
        <v>5707.92</v>
      </c>
      <c r="K1382" s="3">
        <f t="shared" si="64"/>
        <v>3247</v>
      </c>
      <c r="L1382" s="3">
        <f t="shared" si="65"/>
        <v>2460.92</v>
      </c>
    </row>
    <row r="1383" spans="1:12" x14ac:dyDescent="0.3">
      <c r="A1383">
        <v>1661</v>
      </c>
      <c r="B1383" s="2">
        <v>45868</v>
      </c>
      <c r="C1383" t="s">
        <v>16</v>
      </c>
      <c r="D1383" t="s">
        <v>20</v>
      </c>
      <c r="E1383" t="s">
        <v>42</v>
      </c>
      <c r="F1383" t="s">
        <v>36</v>
      </c>
      <c r="G1383">
        <v>24</v>
      </c>
      <c r="H1383" s="3">
        <v>31.32</v>
      </c>
      <c r="I1383" s="3">
        <v>18.34</v>
      </c>
      <c r="J1383" s="3">
        <f t="shared" si="63"/>
        <v>751.68000000000006</v>
      </c>
      <c r="K1383" s="3">
        <f t="shared" si="64"/>
        <v>440.15999999999997</v>
      </c>
      <c r="L1383" s="3">
        <f t="shared" si="65"/>
        <v>311.5200000000001</v>
      </c>
    </row>
    <row r="1384" spans="1:12" x14ac:dyDescent="0.3">
      <c r="A1384">
        <v>2230</v>
      </c>
      <c r="B1384" s="2">
        <v>45868</v>
      </c>
      <c r="C1384" t="s">
        <v>26</v>
      </c>
      <c r="D1384" t="s">
        <v>20</v>
      </c>
      <c r="E1384" t="s">
        <v>42</v>
      </c>
      <c r="F1384" t="s">
        <v>39</v>
      </c>
      <c r="G1384">
        <v>3</v>
      </c>
      <c r="H1384" s="3">
        <v>275.02999999999997</v>
      </c>
      <c r="I1384" s="3">
        <v>201.96</v>
      </c>
      <c r="J1384" s="3">
        <f t="shared" si="63"/>
        <v>825.08999999999992</v>
      </c>
      <c r="K1384" s="3">
        <f t="shared" si="64"/>
        <v>605.88</v>
      </c>
      <c r="L1384" s="3">
        <f t="shared" si="65"/>
        <v>219.20999999999992</v>
      </c>
    </row>
    <row r="1385" spans="1:12" x14ac:dyDescent="0.3">
      <c r="A1385">
        <v>1190</v>
      </c>
      <c r="B1385" s="2">
        <v>45869</v>
      </c>
      <c r="C1385" t="s">
        <v>26</v>
      </c>
      <c r="D1385" t="s">
        <v>17</v>
      </c>
      <c r="E1385" t="s">
        <v>35</v>
      </c>
      <c r="F1385" t="s">
        <v>39</v>
      </c>
      <c r="G1385">
        <v>37</v>
      </c>
      <c r="H1385" s="3">
        <v>510.79</v>
      </c>
      <c r="I1385" s="3">
        <v>342.27</v>
      </c>
      <c r="J1385" s="3">
        <f t="shared" si="63"/>
        <v>18899.23</v>
      </c>
      <c r="K1385" s="3">
        <f t="shared" si="64"/>
        <v>12663.99</v>
      </c>
      <c r="L1385" s="3">
        <f t="shared" si="65"/>
        <v>6235.24</v>
      </c>
    </row>
    <row r="1386" spans="1:12" x14ac:dyDescent="0.3">
      <c r="A1386">
        <v>1392</v>
      </c>
      <c r="B1386" s="2">
        <v>45869</v>
      </c>
      <c r="C1386" t="s">
        <v>26</v>
      </c>
      <c r="D1386" t="s">
        <v>29</v>
      </c>
      <c r="E1386" t="s">
        <v>30</v>
      </c>
      <c r="F1386" t="s">
        <v>39</v>
      </c>
      <c r="G1386">
        <v>29</v>
      </c>
      <c r="H1386" s="3">
        <v>282.3</v>
      </c>
      <c r="I1386" s="3">
        <v>170.14</v>
      </c>
      <c r="J1386" s="3">
        <f t="shared" si="63"/>
        <v>8186.7000000000007</v>
      </c>
      <c r="K1386" s="3">
        <f t="shared" si="64"/>
        <v>4934.0599999999995</v>
      </c>
      <c r="L1386" s="3">
        <f t="shared" si="65"/>
        <v>3252.6400000000012</v>
      </c>
    </row>
    <row r="1387" spans="1:12" x14ac:dyDescent="0.3">
      <c r="A1387">
        <v>1823</v>
      </c>
      <c r="B1387" s="2">
        <v>45869</v>
      </c>
      <c r="C1387" t="s">
        <v>16</v>
      </c>
      <c r="D1387" t="s">
        <v>13</v>
      </c>
      <c r="E1387" t="s">
        <v>14</v>
      </c>
      <c r="F1387" t="s">
        <v>19</v>
      </c>
      <c r="G1387">
        <v>21</v>
      </c>
      <c r="H1387" s="3">
        <v>27.72</v>
      </c>
      <c r="I1387" s="3">
        <v>14.4</v>
      </c>
      <c r="J1387" s="3">
        <f t="shared" si="63"/>
        <v>582.12</v>
      </c>
      <c r="K1387" s="3">
        <f t="shared" si="64"/>
        <v>302.40000000000003</v>
      </c>
      <c r="L1387" s="3">
        <f t="shared" si="65"/>
        <v>279.71999999999997</v>
      </c>
    </row>
    <row r="1388" spans="1:12" x14ac:dyDescent="0.3">
      <c r="A1388">
        <v>1476</v>
      </c>
      <c r="B1388" s="2">
        <v>45870</v>
      </c>
      <c r="C1388" t="s">
        <v>12</v>
      </c>
      <c r="D1388" t="s">
        <v>29</v>
      </c>
      <c r="E1388" t="s">
        <v>30</v>
      </c>
      <c r="F1388" t="s">
        <v>25</v>
      </c>
      <c r="G1388">
        <v>12</v>
      </c>
      <c r="H1388" s="3">
        <v>385.37</v>
      </c>
      <c r="I1388" s="3">
        <v>277.48</v>
      </c>
      <c r="J1388" s="3">
        <f t="shared" si="63"/>
        <v>4624.4400000000005</v>
      </c>
      <c r="K1388" s="3">
        <f t="shared" si="64"/>
        <v>3329.76</v>
      </c>
      <c r="L1388" s="3">
        <f t="shared" si="65"/>
        <v>1294.6800000000003</v>
      </c>
    </row>
    <row r="1389" spans="1:12" x14ac:dyDescent="0.3">
      <c r="A1389">
        <v>1056</v>
      </c>
      <c r="B1389" s="2">
        <v>45871</v>
      </c>
      <c r="C1389" t="s">
        <v>26</v>
      </c>
      <c r="D1389" t="s">
        <v>29</v>
      </c>
      <c r="E1389" t="s">
        <v>41</v>
      </c>
      <c r="F1389" t="s">
        <v>33</v>
      </c>
      <c r="G1389">
        <v>5</v>
      </c>
      <c r="H1389" s="3">
        <v>436.82</v>
      </c>
      <c r="I1389" s="3">
        <v>229.94</v>
      </c>
      <c r="J1389" s="3">
        <f t="shared" si="63"/>
        <v>2184.1</v>
      </c>
      <c r="K1389" s="3">
        <f t="shared" si="64"/>
        <v>1149.7</v>
      </c>
      <c r="L1389" s="3">
        <f t="shared" si="65"/>
        <v>1034.3999999999999</v>
      </c>
    </row>
    <row r="1390" spans="1:12" x14ac:dyDescent="0.3">
      <c r="A1390">
        <v>1115</v>
      </c>
      <c r="B1390" s="2">
        <v>45871</v>
      </c>
      <c r="C1390" t="s">
        <v>23</v>
      </c>
      <c r="D1390" t="s">
        <v>17</v>
      </c>
      <c r="E1390" t="s">
        <v>44</v>
      </c>
      <c r="F1390" t="s">
        <v>22</v>
      </c>
      <c r="G1390">
        <v>6</v>
      </c>
      <c r="H1390" s="3">
        <v>686.73</v>
      </c>
      <c r="I1390" s="3">
        <v>406.9</v>
      </c>
      <c r="J1390" s="3">
        <f t="shared" si="63"/>
        <v>4120.38</v>
      </c>
      <c r="K1390" s="3">
        <f t="shared" si="64"/>
        <v>2441.3999999999996</v>
      </c>
      <c r="L1390" s="3">
        <f t="shared" si="65"/>
        <v>1678.9800000000005</v>
      </c>
    </row>
    <row r="1391" spans="1:12" x14ac:dyDescent="0.3">
      <c r="A1391">
        <v>1717</v>
      </c>
      <c r="B1391" s="2">
        <v>45871</v>
      </c>
      <c r="C1391" t="s">
        <v>16</v>
      </c>
      <c r="D1391" t="s">
        <v>13</v>
      </c>
      <c r="E1391" t="s">
        <v>45</v>
      </c>
      <c r="F1391" t="s">
        <v>19</v>
      </c>
      <c r="G1391">
        <v>5</v>
      </c>
      <c r="H1391" s="3">
        <v>56.21</v>
      </c>
      <c r="I1391" s="3">
        <v>38.35</v>
      </c>
      <c r="J1391" s="3">
        <f t="shared" si="63"/>
        <v>281.05</v>
      </c>
      <c r="K1391" s="3">
        <f t="shared" si="64"/>
        <v>191.75</v>
      </c>
      <c r="L1391" s="3">
        <f t="shared" si="65"/>
        <v>89.300000000000011</v>
      </c>
    </row>
    <row r="1392" spans="1:12" x14ac:dyDescent="0.3">
      <c r="A1392">
        <v>2070</v>
      </c>
      <c r="B1392" s="2">
        <v>45871</v>
      </c>
      <c r="C1392" t="s">
        <v>23</v>
      </c>
      <c r="D1392" t="s">
        <v>17</v>
      </c>
      <c r="E1392" t="s">
        <v>27</v>
      </c>
      <c r="F1392" t="s">
        <v>25</v>
      </c>
      <c r="G1392">
        <v>12</v>
      </c>
      <c r="H1392" s="3">
        <v>672.82</v>
      </c>
      <c r="I1392" s="3">
        <v>465.38</v>
      </c>
      <c r="J1392" s="3">
        <f t="shared" si="63"/>
        <v>8073.84</v>
      </c>
      <c r="K1392" s="3">
        <f t="shared" si="64"/>
        <v>5584.5599999999995</v>
      </c>
      <c r="L1392" s="3">
        <f t="shared" si="65"/>
        <v>2489.2800000000007</v>
      </c>
    </row>
    <row r="1393" spans="1:12" x14ac:dyDescent="0.3">
      <c r="A1393">
        <v>1643</v>
      </c>
      <c r="B1393" s="2">
        <v>45872</v>
      </c>
      <c r="C1393" t="s">
        <v>26</v>
      </c>
      <c r="D1393" t="s">
        <v>17</v>
      </c>
      <c r="E1393" t="s">
        <v>35</v>
      </c>
      <c r="F1393" t="s">
        <v>36</v>
      </c>
      <c r="G1393">
        <v>30</v>
      </c>
      <c r="H1393" s="3">
        <v>754.9</v>
      </c>
      <c r="I1393" s="3">
        <v>555.99</v>
      </c>
      <c r="J1393" s="3">
        <f t="shared" si="63"/>
        <v>22647</v>
      </c>
      <c r="K1393" s="3">
        <f t="shared" si="64"/>
        <v>16679.7</v>
      </c>
      <c r="L1393" s="3">
        <f t="shared" si="65"/>
        <v>5967.2999999999993</v>
      </c>
    </row>
    <row r="1394" spans="1:12" x14ac:dyDescent="0.3">
      <c r="A1394">
        <v>2187</v>
      </c>
      <c r="B1394" s="2">
        <v>45872</v>
      </c>
      <c r="C1394" t="s">
        <v>12</v>
      </c>
      <c r="D1394" t="s">
        <v>17</v>
      </c>
      <c r="E1394" t="s">
        <v>40</v>
      </c>
      <c r="F1394" t="s">
        <v>25</v>
      </c>
      <c r="G1394">
        <v>19</v>
      </c>
      <c r="H1394" s="3">
        <v>833.36</v>
      </c>
      <c r="I1394" s="3">
        <v>469.5</v>
      </c>
      <c r="J1394" s="3">
        <f t="shared" si="63"/>
        <v>15833.84</v>
      </c>
      <c r="K1394" s="3">
        <f t="shared" si="64"/>
        <v>8920.5</v>
      </c>
      <c r="L1394" s="3">
        <f t="shared" si="65"/>
        <v>6913.34</v>
      </c>
    </row>
    <row r="1395" spans="1:12" x14ac:dyDescent="0.3">
      <c r="A1395">
        <v>2635</v>
      </c>
      <c r="B1395" s="2">
        <v>45873</v>
      </c>
      <c r="C1395" t="s">
        <v>26</v>
      </c>
      <c r="D1395" t="s">
        <v>13</v>
      </c>
      <c r="E1395" t="s">
        <v>45</v>
      </c>
      <c r="F1395" t="s">
        <v>28</v>
      </c>
      <c r="G1395">
        <v>2</v>
      </c>
      <c r="H1395" s="3">
        <v>49.56</v>
      </c>
      <c r="I1395" s="3">
        <v>36.96</v>
      </c>
      <c r="J1395" s="3">
        <f t="shared" si="63"/>
        <v>99.12</v>
      </c>
      <c r="K1395" s="3">
        <f t="shared" si="64"/>
        <v>73.92</v>
      </c>
      <c r="L1395" s="3">
        <f t="shared" si="65"/>
        <v>25.200000000000003</v>
      </c>
    </row>
    <row r="1396" spans="1:12" x14ac:dyDescent="0.3">
      <c r="A1396">
        <v>1344</v>
      </c>
      <c r="B1396" s="2">
        <v>45874</v>
      </c>
      <c r="C1396" t="s">
        <v>23</v>
      </c>
      <c r="D1396" t="s">
        <v>13</v>
      </c>
      <c r="E1396" t="s">
        <v>46</v>
      </c>
      <c r="F1396" t="s">
        <v>36</v>
      </c>
      <c r="G1396">
        <v>23</v>
      </c>
      <c r="H1396" s="3">
        <v>52.17</v>
      </c>
      <c r="I1396" s="3">
        <v>37.72</v>
      </c>
      <c r="J1396" s="3">
        <f t="shared" si="63"/>
        <v>1199.9100000000001</v>
      </c>
      <c r="K1396" s="3">
        <f t="shared" si="64"/>
        <v>867.56</v>
      </c>
      <c r="L1396" s="3">
        <f t="shared" si="65"/>
        <v>332.35000000000014</v>
      </c>
    </row>
    <row r="1397" spans="1:12" x14ac:dyDescent="0.3">
      <c r="A1397">
        <v>1499</v>
      </c>
      <c r="B1397" s="2">
        <v>45874</v>
      </c>
      <c r="C1397" t="s">
        <v>16</v>
      </c>
      <c r="D1397" t="s">
        <v>17</v>
      </c>
      <c r="E1397" t="s">
        <v>44</v>
      </c>
      <c r="F1397" t="s">
        <v>39</v>
      </c>
      <c r="G1397">
        <v>22</v>
      </c>
      <c r="H1397" s="3">
        <v>760.41</v>
      </c>
      <c r="I1397" s="3">
        <v>386.96</v>
      </c>
      <c r="J1397" s="3">
        <f t="shared" si="63"/>
        <v>16729.02</v>
      </c>
      <c r="K1397" s="3">
        <f t="shared" si="64"/>
        <v>8513.119999999999</v>
      </c>
      <c r="L1397" s="3">
        <f t="shared" si="65"/>
        <v>8215.9000000000015</v>
      </c>
    </row>
    <row r="1398" spans="1:12" x14ac:dyDescent="0.3">
      <c r="A1398">
        <v>1893</v>
      </c>
      <c r="B1398" s="2">
        <v>45874</v>
      </c>
      <c r="C1398" t="s">
        <v>23</v>
      </c>
      <c r="D1398" t="s">
        <v>17</v>
      </c>
      <c r="E1398" t="s">
        <v>40</v>
      </c>
      <c r="F1398" t="s">
        <v>15</v>
      </c>
      <c r="G1398">
        <v>26</v>
      </c>
      <c r="H1398" s="3">
        <v>403.59</v>
      </c>
      <c r="I1398" s="3">
        <v>253.5</v>
      </c>
      <c r="J1398" s="3">
        <f t="shared" si="63"/>
        <v>10493.34</v>
      </c>
      <c r="K1398" s="3">
        <f t="shared" si="64"/>
        <v>6591</v>
      </c>
      <c r="L1398" s="3">
        <f t="shared" si="65"/>
        <v>3902.34</v>
      </c>
    </row>
    <row r="1399" spans="1:12" x14ac:dyDescent="0.3">
      <c r="A1399">
        <v>2261</v>
      </c>
      <c r="B1399" s="2">
        <v>45874</v>
      </c>
      <c r="C1399" t="s">
        <v>32</v>
      </c>
      <c r="D1399" t="s">
        <v>29</v>
      </c>
      <c r="E1399" t="s">
        <v>41</v>
      </c>
      <c r="F1399" t="s">
        <v>33</v>
      </c>
      <c r="G1399">
        <v>31</v>
      </c>
      <c r="H1399" s="3">
        <v>285.42</v>
      </c>
      <c r="I1399" s="3">
        <v>195.87</v>
      </c>
      <c r="J1399" s="3">
        <f t="shared" si="63"/>
        <v>8848.02</v>
      </c>
      <c r="K1399" s="3">
        <f t="shared" si="64"/>
        <v>6071.97</v>
      </c>
      <c r="L1399" s="3">
        <f t="shared" si="65"/>
        <v>2776.05</v>
      </c>
    </row>
    <row r="1400" spans="1:12" x14ac:dyDescent="0.3">
      <c r="A1400">
        <v>2280</v>
      </c>
      <c r="B1400" s="2">
        <v>45874</v>
      </c>
      <c r="C1400" t="s">
        <v>26</v>
      </c>
      <c r="D1400" t="s">
        <v>17</v>
      </c>
      <c r="E1400" t="s">
        <v>44</v>
      </c>
      <c r="F1400" t="s">
        <v>28</v>
      </c>
      <c r="G1400">
        <v>5</v>
      </c>
      <c r="H1400" s="3">
        <v>838.64</v>
      </c>
      <c r="I1400" s="3">
        <v>568.99</v>
      </c>
      <c r="J1400" s="3">
        <f t="shared" si="63"/>
        <v>4193.2</v>
      </c>
      <c r="K1400" s="3">
        <f t="shared" si="64"/>
        <v>2844.95</v>
      </c>
      <c r="L1400" s="3">
        <f t="shared" si="65"/>
        <v>1348.25</v>
      </c>
    </row>
    <row r="1401" spans="1:12" x14ac:dyDescent="0.3">
      <c r="A1401">
        <v>2549</v>
      </c>
      <c r="B1401" s="2">
        <v>45874</v>
      </c>
      <c r="C1401" t="s">
        <v>23</v>
      </c>
      <c r="D1401" t="s">
        <v>29</v>
      </c>
      <c r="E1401" t="s">
        <v>37</v>
      </c>
      <c r="F1401" t="s">
        <v>33</v>
      </c>
      <c r="G1401">
        <v>33</v>
      </c>
      <c r="H1401" s="3">
        <v>304.7</v>
      </c>
      <c r="I1401" s="3">
        <v>213.19</v>
      </c>
      <c r="J1401" s="3">
        <f t="shared" si="63"/>
        <v>10055.1</v>
      </c>
      <c r="K1401" s="3">
        <f t="shared" si="64"/>
        <v>7035.2699999999995</v>
      </c>
      <c r="L1401" s="3">
        <f t="shared" si="65"/>
        <v>3019.8300000000008</v>
      </c>
    </row>
    <row r="1402" spans="1:12" x14ac:dyDescent="0.3">
      <c r="A1402">
        <v>2201</v>
      </c>
      <c r="B1402" s="2">
        <v>45875</v>
      </c>
      <c r="C1402" t="s">
        <v>32</v>
      </c>
      <c r="D1402" t="s">
        <v>17</v>
      </c>
      <c r="E1402" t="s">
        <v>35</v>
      </c>
      <c r="F1402" t="s">
        <v>28</v>
      </c>
      <c r="G1402">
        <v>28</v>
      </c>
      <c r="H1402" s="3">
        <v>651.54</v>
      </c>
      <c r="I1402" s="3">
        <v>399.41</v>
      </c>
      <c r="J1402" s="3">
        <f t="shared" si="63"/>
        <v>18243.12</v>
      </c>
      <c r="K1402" s="3">
        <f t="shared" si="64"/>
        <v>11183.480000000001</v>
      </c>
      <c r="L1402" s="3">
        <f t="shared" si="65"/>
        <v>7059.6399999999976</v>
      </c>
    </row>
    <row r="1403" spans="1:12" x14ac:dyDescent="0.3">
      <c r="A1403">
        <v>2289</v>
      </c>
      <c r="B1403" s="2">
        <v>45875</v>
      </c>
      <c r="C1403" t="s">
        <v>32</v>
      </c>
      <c r="D1403" t="s">
        <v>13</v>
      </c>
      <c r="E1403" t="s">
        <v>46</v>
      </c>
      <c r="F1403" t="s">
        <v>15</v>
      </c>
      <c r="G1403">
        <v>24</v>
      </c>
      <c r="H1403" s="3">
        <v>39.93</v>
      </c>
      <c r="I1403" s="3">
        <v>28.39</v>
      </c>
      <c r="J1403" s="3">
        <f t="shared" si="63"/>
        <v>958.31999999999994</v>
      </c>
      <c r="K1403" s="3">
        <f t="shared" si="64"/>
        <v>681.36</v>
      </c>
      <c r="L1403" s="3">
        <f t="shared" si="65"/>
        <v>276.95999999999992</v>
      </c>
    </row>
    <row r="1404" spans="1:12" x14ac:dyDescent="0.3">
      <c r="A1404">
        <v>1655</v>
      </c>
      <c r="B1404" s="2">
        <v>45876</v>
      </c>
      <c r="C1404" t="s">
        <v>12</v>
      </c>
      <c r="D1404" t="s">
        <v>20</v>
      </c>
      <c r="E1404" t="s">
        <v>42</v>
      </c>
      <c r="F1404" t="s">
        <v>39</v>
      </c>
      <c r="G1404">
        <v>32</v>
      </c>
      <c r="H1404" s="3">
        <v>210.77</v>
      </c>
      <c r="I1404" s="3">
        <v>141.25</v>
      </c>
      <c r="J1404" s="3">
        <f t="shared" si="63"/>
        <v>6744.64</v>
      </c>
      <c r="K1404" s="3">
        <f t="shared" si="64"/>
        <v>4520</v>
      </c>
      <c r="L1404" s="3">
        <f t="shared" si="65"/>
        <v>2224.6400000000003</v>
      </c>
    </row>
    <row r="1405" spans="1:12" x14ac:dyDescent="0.3">
      <c r="A1405">
        <v>2714</v>
      </c>
      <c r="B1405" s="2">
        <v>45876</v>
      </c>
      <c r="C1405" t="s">
        <v>23</v>
      </c>
      <c r="D1405" t="s">
        <v>29</v>
      </c>
      <c r="E1405" t="s">
        <v>37</v>
      </c>
      <c r="F1405" t="s">
        <v>39</v>
      </c>
      <c r="G1405">
        <v>36</v>
      </c>
      <c r="H1405" s="3">
        <v>136.27000000000001</v>
      </c>
      <c r="I1405" s="3">
        <v>101.84</v>
      </c>
      <c r="J1405" s="3">
        <f t="shared" si="63"/>
        <v>4905.72</v>
      </c>
      <c r="K1405" s="3">
        <f t="shared" si="64"/>
        <v>3666.2400000000002</v>
      </c>
      <c r="L1405" s="3">
        <f t="shared" si="65"/>
        <v>1239.48</v>
      </c>
    </row>
    <row r="1406" spans="1:12" x14ac:dyDescent="0.3">
      <c r="A1406">
        <v>1419</v>
      </c>
      <c r="B1406" s="2">
        <v>45877</v>
      </c>
      <c r="C1406" t="s">
        <v>12</v>
      </c>
      <c r="D1406" t="s">
        <v>13</v>
      </c>
      <c r="E1406" t="s">
        <v>45</v>
      </c>
      <c r="F1406" t="s">
        <v>15</v>
      </c>
      <c r="G1406">
        <v>16</v>
      </c>
      <c r="H1406" s="3">
        <v>51.81</v>
      </c>
      <c r="I1406" s="3">
        <v>35.47</v>
      </c>
      <c r="J1406" s="3">
        <f t="shared" si="63"/>
        <v>828.96</v>
      </c>
      <c r="K1406" s="3">
        <f t="shared" si="64"/>
        <v>567.52</v>
      </c>
      <c r="L1406" s="3">
        <f t="shared" si="65"/>
        <v>261.44000000000005</v>
      </c>
    </row>
    <row r="1407" spans="1:12" x14ac:dyDescent="0.3">
      <c r="A1407">
        <v>1495</v>
      </c>
      <c r="B1407" s="2">
        <v>45877</v>
      </c>
      <c r="C1407" t="s">
        <v>16</v>
      </c>
      <c r="D1407" t="s">
        <v>17</v>
      </c>
      <c r="E1407" t="s">
        <v>18</v>
      </c>
      <c r="F1407" t="s">
        <v>15</v>
      </c>
      <c r="G1407">
        <v>28</v>
      </c>
      <c r="H1407" s="3">
        <v>571.42999999999995</v>
      </c>
      <c r="I1407" s="3">
        <v>336.27</v>
      </c>
      <c r="J1407" s="3">
        <f t="shared" si="63"/>
        <v>16000.039999999999</v>
      </c>
      <c r="K1407" s="3">
        <f t="shared" si="64"/>
        <v>9415.56</v>
      </c>
      <c r="L1407" s="3">
        <f t="shared" si="65"/>
        <v>6584.48</v>
      </c>
    </row>
    <row r="1408" spans="1:12" x14ac:dyDescent="0.3">
      <c r="A1408">
        <v>1798</v>
      </c>
      <c r="B1408" s="2">
        <v>45877</v>
      </c>
      <c r="C1408" t="s">
        <v>16</v>
      </c>
      <c r="D1408" t="s">
        <v>17</v>
      </c>
      <c r="E1408" t="s">
        <v>44</v>
      </c>
      <c r="F1408" t="s">
        <v>28</v>
      </c>
      <c r="G1408">
        <v>6</v>
      </c>
      <c r="H1408" s="3">
        <v>313.13</v>
      </c>
      <c r="I1408" s="3">
        <v>169.72</v>
      </c>
      <c r="J1408" s="3">
        <f t="shared" si="63"/>
        <v>1878.78</v>
      </c>
      <c r="K1408" s="3">
        <f t="shared" si="64"/>
        <v>1018.3199999999999</v>
      </c>
      <c r="L1408" s="3">
        <f t="shared" si="65"/>
        <v>860.46</v>
      </c>
    </row>
    <row r="1409" spans="1:12" x14ac:dyDescent="0.3">
      <c r="A1409">
        <v>2099</v>
      </c>
      <c r="B1409" s="2">
        <v>45879</v>
      </c>
      <c r="C1409" t="s">
        <v>23</v>
      </c>
      <c r="D1409" t="s">
        <v>13</v>
      </c>
      <c r="E1409" t="s">
        <v>14</v>
      </c>
      <c r="F1409" t="s">
        <v>15</v>
      </c>
      <c r="G1409">
        <v>12</v>
      </c>
      <c r="H1409" s="3">
        <v>41.27</v>
      </c>
      <c r="I1409" s="3">
        <v>27.63</v>
      </c>
      <c r="J1409" s="3">
        <f t="shared" si="63"/>
        <v>495.24</v>
      </c>
      <c r="K1409" s="3">
        <f t="shared" si="64"/>
        <v>331.56</v>
      </c>
      <c r="L1409" s="3">
        <f t="shared" si="65"/>
        <v>163.68</v>
      </c>
    </row>
    <row r="1410" spans="1:12" x14ac:dyDescent="0.3">
      <c r="A1410">
        <v>2496</v>
      </c>
      <c r="B1410" s="2">
        <v>45879</v>
      </c>
      <c r="C1410" t="s">
        <v>32</v>
      </c>
      <c r="D1410" t="s">
        <v>20</v>
      </c>
      <c r="E1410" t="s">
        <v>42</v>
      </c>
      <c r="F1410" t="s">
        <v>39</v>
      </c>
      <c r="G1410">
        <v>14</v>
      </c>
      <c r="H1410" s="3">
        <v>105.99</v>
      </c>
      <c r="I1410" s="3">
        <v>68.7</v>
      </c>
      <c r="J1410" s="3">
        <f t="shared" ref="J1410:J1473" si="66">G1410*H1410</f>
        <v>1483.86</v>
      </c>
      <c r="K1410" s="3">
        <f t="shared" ref="K1410:K1473" si="67">G1410*I1410</f>
        <v>961.80000000000007</v>
      </c>
      <c r="L1410" s="3">
        <f t="shared" ref="L1410:L1473" si="68">J1410-K1410</f>
        <v>522.05999999999983</v>
      </c>
    </row>
    <row r="1411" spans="1:12" x14ac:dyDescent="0.3">
      <c r="A1411">
        <v>1409</v>
      </c>
      <c r="B1411" s="2">
        <v>45880</v>
      </c>
      <c r="C1411" t="s">
        <v>32</v>
      </c>
      <c r="D1411" t="s">
        <v>20</v>
      </c>
      <c r="E1411" t="s">
        <v>21</v>
      </c>
      <c r="F1411" t="s">
        <v>28</v>
      </c>
      <c r="G1411">
        <v>16</v>
      </c>
      <c r="H1411" s="3">
        <v>149</v>
      </c>
      <c r="I1411" s="3">
        <v>96.36</v>
      </c>
      <c r="J1411" s="3">
        <f t="shared" si="66"/>
        <v>2384</v>
      </c>
      <c r="K1411" s="3">
        <f t="shared" si="67"/>
        <v>1541.76</v>
      </c>
      <c r="L1411" s="3">
        <f t="shared" si="68"/>
        <v>842.24</v>
      </c>
    </row>
    <row r="1412" spans="1:12" x14ac:dyDescent="0.3">
      <c r="A1412">
        <v>2151</v>
      </c>
      <c r="B1412" s="2">
        <v>45880</v>
      </c>
      <c r="C1412" t="s">
        <v>32</v>
      </c>
      <c r="D1412" t="s">
        <v>13</v>
      </c>
      <c r="E1412" t="s">
        <v>24</v>
      </c>
      <c r="F1412" t="s">
        <v>19</v>
      </c>
      <c r="G1412">
        <v>14</v>
      </c>
      <c r="H1412" s="3">
        <v>8.75</v>
      </c>
      <c r="I1412" s="3">
        <v>4.46</v>
      </c>
      <c r="J1412" s="3">
        <f t="shared" si="66"/>
        <v>122.5</v>
      </c>
      <c r="K1412" s="3">
        <f t="shared" si="67"/>
        <v>62.44</v>
      </c>
      <c r="L1412" s="3">
        <f t="shared" si="68"/>
        <v>60.06</v>
      </c>
    </row>
    <row r="1413" spans="1:12" x14ac:dyDescent="0.3">
      <c r="A1413">
        <v>1423</v>
      </c>
      <c r="B1413" s="2">
        <v>45881</v>
      </c>
      <c r="C1413" t="s">
        <v>16</v>
      </c>
      <c r="D1413" t="s">
        <v>13</v>
      </c>
      <c r="E1413" t="s">
        <v>31</v>
      </c>
      <c r="F1413" t="s">
        <v>33</v>
      </c>
      <c r="G1413">
        <v>21</v>
      </c>
      <c r="H1413" s="3">
        <v>30.79</v>
      </c>
      <c r="I1413" s="3">
        <v>18.329999999999998</v>
      </c>
      <c r="J1413" s="3">
        <f t="shared" si="66"/>
        <v>646.59</v>
      </c>
      <c r="K1413" s="3">
        <f t="shared" si="67"/>
        <v>384.92999999999995</v>
      </c>
      <c r="L1413" s="3">
        <f t="shared" si="68"/>
        <v>261.66000000000008</v>
      </c>
    </row>
    <row r="1414" spans="1:12" x14ac:dyDescent="0.3">
      <c r="A1414">
        <v>1593</v>
      </c>
      <c r="B1414" s="2">
        <v>45881</v>
      </c>
      <c r="C1414" t="s">
        <v>26</v>
      </c>
      <c r="D1414" t="s">
        <v>29</v>
      </c>
      <c r="E1414" t="s">
        <v>37</v>
      </c>
      <c r="F1414" t="s">
        <v>22</v>
      </c>
      <c r="G1414">
        <v>10</v>
      </c>
      <c r="H1414" s="3">
        <v>136.91</v>
      </c>
      <c r="I1414" s="3">
        <v>77.790000000000006</v>
      </c>
      <c r="J1414" s="3">
        <f t="shared" si="66"/>
        <v>1369.1</v>
      </c>
      <c r="K1414" s="3">
        <f t="shared" si="67"/>
        <v>777.90000000000009</v>
      </c>
      <c r="L1414" s="3">
        <f t="shared" si="68"/>
        <v>591.19999999999982</v>
      </c>
    </row>
    <row r="1415" spans="1:12" x14ac:dyDescent="0.3">
      <c r="A1415">
        <v>1811</v>
      </c>
      <c r="B1415" s="2">
        <v>45881</v>
      </c>
      <c r="C1415" t="s">
        <v>26</v>
      </c>
      <c r="D1415" t="s">
        <v>13</v>
      </c>
      <c r="E1415" t="s">
        <v>14</v>
      </c>
      <c r="F1415" t="s">
        <v>36</v>
      </c>
      <c r="G1415">
        <v>11</v>
      </c>
      <c r="H1415" s="3">
        <v>8.4700000000000006</v>
      </c>
      <c r="I1415" s="3">
        <v>4.3499999999999996</v>
      </c>
      <c r="J1415" s="3">
        <f t="shared" si="66"/>
        <v>93.17</v>
      </c>
      <c r="K1415" s="3">
        <f t="shared" si="67"/>
        <v>47.849999999999994</v>
      </c>
      <c r="L1415" s="3">
        <f t="shared" si="68"/>
        <v>45.320000000000007</v>
      </c>
    </row>
    <row r="1416" spans="1:12" x14ac:dyDescent="0.3">
      <c r="A1416">
        <v>2734</v>
      </c>
      <c r="B1416" s="2">
        <v>45881</v>
      </c>
      <c r="C1416" t="s">
        <v>23</v>
      </c>
      <c r="D1416" t="s">
        <v>13</v>
      </c>
      <c r="E1416" t="s">
        <v>31</v>
      </c>
      <c r="F1416" t="s">
        <v>19</v>
      </c>
      <c r="G1416">
        <v>24</v>
      </c>
      <c r="H1416" s="3">
        <v>23.08</v>
      </c>
      <c r="I1416" s="3">
        <v>12.77</v>
      </c>
      <c r="J1416" s="3">
        <f t="shared" si="66"/>
        <v>553.91999999999996</v>
      </c>
      <c r="K1416" s="3">
        <f t="shared" si="67"/>
        <v>306.48</v>
      </c>
      <c r="L1416" s="3">
        <f t="shared" si="68"/>
        <v>247.43999999999994</v>
      </c>
    </row>
    <row r="1417" spans="1:12" x14ac:dyDescent="0.3">
      <c r="A1417">
        <v>1346</v>
      </c>
      <c r="B1417" s="2">
        <v>45882</v>
      </c>
      <c r="C1417" t="s">
        <v>16</v>
      </c>
      <c r="D1417" t="s">
        <v>13</v>
      </c>
      <c r="E1417" t="s">
        <v>31</v>
      </c>
      <c r="F1417" t="s">
        <v>25</v>
      </c>
      <c r="G1417">
        <v>28</v>
      </c>
      <c r="H1417" s="3">
        <v>17.170000000000002</v>
      </c>
      <c r="I1417" s="3">
        <v>10.24</v>
      </c>
      <c r="J1417" s="3">
        <f t="shared" si="66"/>
        <v>480.76000000000005</v>
      </c>
      <c r="K1417" s="3">
        <f t="shared" si="67"/>
        <v>286.72000000000003</v>
      </c>
      <c r="L1417" s="3">
        <f t="shared" si="68"/>
        <v>194.04000000000002</v>
      </c>
    </row>
    <row r="1418" spans="1:12" x14ac:dyDescent="0.3">
      <c r="A1418">
        <v>2448</v>
      </c>
      <c r="B1418" s="2">
        <v>45882</v>
      </c>
      <c r="C1418" t="s">
        <v>23</v>
      </c>
      <c r="D1418" t="s">
        <v>17</v>
      </c>
      <c r="E1418" t="s">
        <v>35</v>
      </c>
      <c r="F1418" t="s">
        <v>22</v>
      </c>
      <c r="G1418">
        <v>31</v>
      </c>
      <c r="H1418" s="3">
        <v>104.55</v>
      </c>
      <c r="I1418" s="3">
        <v>66.87</v>
      </c>
      <c r="J1418" s="3">
        <f t="shared" si="66"/>
        <v>3241.0499999999997</v>
      </c>
      <c r="K1418" s="3">
        <f t="shared" si="67"/>
        <v>2072.9700000000003</v>
      </c>
      <c r="L1418" s="3">
        <f t="shared" si="68"/>
        <v>1168.0799999999995</v>
      </c>
    </row>
    <row r="1419" spans="1:12" x14ac:dyDescent="0.3">
      <c r="A1419">
        <v>2753</v>
      </c>
      <c r="B1419" s="2">
        <v>45882</v>
      </c>
      <c r="C1419" t="s">
        <v>16</v>
      </c>
      <c r="D1419" t="s">
        <v>20</v>
      </c>
      <c r="E1419" t="s">
        <v>21</v>
      </c>
      <c r="F1419" t="s">
        <v>33</v>
      </c>
      <c r="G1419">
        <v>16</v>
      </c>
      <c r="H1419" s="3">
        <v>211.78</v>
      </c>
      <c r="I1419" s="3">
        <v>153.55000000000001</v>
      </c>
      <c r="J1419" s="3">
        <f t="shared" si="66"/>
        <v>3388.48</v>
      </c>
      <c r="K1419" s="3">
        <f t="shared" si="67"/>
        <v>2456.8000000000002</v>
      </c>
      <c r="L1419" s="3">
        <f t="shared" si="68"/>
        <v>931.67999999999984</v>
      </c>
    </row>
    <row r="1420" spans="1:12" x14ac:dyDescent="0.3">
      <c r="A1420">
        <v>1237</v>
      </c>
      <c r="B1420" s="2">
        <v>45883</v>
      </c>
      <c r="C1420" t="s">
        <v>26</v>
      </c>
      <c r="D1420" t="s">
        <v>13</v>
      </c>
      <c r="E1420" t="s">
        <v>31</v>
      </c>
      <c r="F1420" t="s">
        <v>33</v>
      </c>
      <c r="G1420">
        <v>13</v>
      </c>
      <c r="H1420" s="3">
        <v>17.95</v>
      </c>
      <c r="I1420" s="3">
        <v>11.84</v>
      </c>
      <c r="J1420" s="3">
        <f t="shared" si="66"/>
        <v>233.35</v>
      </c>
      <c r="K1420" s="3">
        <f t="shared" si="67"/>
        <v>153.91999999999999</v>
      </c>
      <c r="L1420" s="3">
        <f t="shared" si="68"/>
        <v>79.430000000000007</v>
      </c>
    </row>
    <row r="1421" spans="1:12" x14ac:dyDescent="0.3">
      <c r="A1421">
        <v>1299</v>
      </c>
      <c r="B1421" s="2">
        <v>45883</v>
      </c>
      <c r="C1421" t="s">
        <v>12</v>
      </c>
      <c r="D1421" t="s">
        <v>13</v>
      </c>
      <c r="E1421" t="s">
        <v>14</v>
      </c>
      <c r="F1421" t="s">
        <v>25</v>
      </c>
      <c r="G1421">
        <v>3</v>
      </c>
      <c r="H1421" s="3">
        <v>21.17</v>
      </c>
      <c r="I1421" s="3">
        <v>11.49</v>
      </c>
      <c r="J1421" s="3">
        <f t="shared" si="66"/>
        <v>63.510000000000005</v>
      </c>
      <c r="K1421" s="3">
        <f t="shared" si="67"/>
        <v>34.47</v>
      </c>
      <c r="L1421" s="3">
        <f t="shared" si="68"/>
        <v>29.040000000000006</v>
      </c>
    </row>
    <row r="1422" spans="1:12" x14ac:dyDescent="0.3">
      <c r="A1422">
        <v>1810</v>
      </c>
      <c r="B1422" s="2">
        <v>45883</v>
      </c>
      <c r="C1422" t="s">
        <v>12</v>
      </c>
      <c r="D1422" t="s">
        <v>20</v>
      </c>
      <c r="E1422" t="s">
        <v>21</v>
      </c>
      <c r="F1422" t="s">
        <v>15</v>
      </c>
      <c r="G1422">
        <v>10</v>
      </c>
      <c r="H1422" s="3">
        <v>202.35</v>
      </c>
      <c r="I1422" s="3">
        <v>119.5</v>
      </c>
      <c r="J1422" s="3">
        <f t="shared" si="66"/>
        <v>2023.5</v>
      </c>
      <c r="K1422" s="3">
        <f t="shared" si="67"/>
        <v>1195</v>
      </c>
      <c r="L1422" s="3">
        <f t="shared" si="68"/>
        <v>828.5</v>
      </c>
    </row>
    <row r="1423" spans="1:12" x14ac:dyDescent="0.3">
      <c r="A1423">
        <v>1913</v>
      </c>
      <c r="B1423" s="2">
        <v>45883</v>
      </c>
      <c r="C1423" t="s">
        <v>23</v>
      </c>
      <c r="D1423" t="s">
        <v>13</v>
      </c>
      <c r="E1423" t="s">
        <v>14</v>
      </c>
      <c r="F1423" t="s">
        <v>19</v>
      </c>
      <c r="G1423">
        <v>26</v>
      </c>
      <c r="H1423" s="3">
        <v>32.479999999999997</v>
      </c>
      <c r="I1423" s="3">
        <v>22.75</v>
      </c>
      <c r="J1423" s="3">
        <f t="shared" si="66"/>
        <v>844.4799999999999</v>
      </c>
      <c r="K1423" s="3">
        <f t="shared" si="67"/>
        <v>591.5</v>
      </c>
      <c r="L1423" s="3">
        <f t="shared" si="68"/>
        <v>252.9799999999999</v>
      </c>
    </row>
    <row r="1424" spans="1:12" x14ac:dyDescent="0.3">
      <c r="A1424">
        <v>1387</v>
      </c>
      <c r="B1424" s="2">
        <v>45884</v>
      </c>
      <c r="C1424" t="s">
        <v>16</v>
      </c>
      <c r="D1424" t="s">
        <v>13</v>
      </c>
      <c r="E1424" t="s">
        <v>14</v>
      </c>
      <c r="F1424" t="s">
        <v>36</v>
      </c>
      <c r="G1424">
        <v>24</v>
      </c>
      <c r="H1424" s="3">
        <v>54.2</v>
      </c>
      <c r="I1424" s="3">
        <v>40.28</v>
      </c>
      <c r="J1424" s="3">
        <f t="shared" si="66"/>
        <v>1300.8000000000002</v>
      </c>
      <c r="K1424" s="3">
        <f t="shared" si="67"/>
        <v>966.72</v>
      </c>
      <c r="L1424" s="3">
        <f t="shared" si="68"/>
        <v>334.08000000000015</v>
      </c>
    </row>
    <row r="1425" spans="1:12" x14ac:dyDescent="0.3">
      <c r="A1425">
        <v>1622</v>
      </c>
      <c r="B1425" s="2">
        <v>45884</v>
      </c>
      <c r="C1425" t="s">
        <v>26</v>
      </c>
      <c r="D1425" t="s">
        <v>29</v>
      </c>
      <c r="E1425" t="s">
        <v>43</v>
      </c>
      <c r="F1425" t="s">
        <v>25</v>
      </c>
      <c r="G1425">
        <v>37</v>
      </c>
      <c r="H1425" s="3">
        <v>168.09</v>
      </c>
      <c r="I1425" s="3">
        <v>111.42</v>
      </c>
      <c r="J1425" s="3">
        <f t="shared" si="66"/>
        <v>6219.33</v>
      </c>
      <c r="K1425" s="3">
        <f t="shared" si="67"/>
        <v>4122.54</v>
      </c>
      <c r="L1425" s="3">
        <f t="shared" si="68"/>
        <v>2096.79</v>
      </c>
    </row>
    <row r="1426" spans="1:12" x14ac:dyDescent="0.3">
      <c r="A1426">
        <v>1094</v>
      </c>
      <c r="B1426" s="2">
        <v>45885</v>
      </c>
      <c r="C1426" t="s">
        <v>32</v>
      </c>
      <c r="D1426" t="s">
        <v>13</v>
      </c>
      <c r="E1426" t="s">
        <v>45</v>
      </c>
      <c r="F1426" t="s">
        <v>15</v>
      </c>
      <c r="G1426">
        <v>21</v>
      </c>
      <c r="H1426" s="3">
        <v>13.01</v>
      </c>
      <c r="I1426" s="3">
        <v>9.66</v>
      </c>
      <c r="J1426" s="3">
        <f t="shared" si="66"/>
        <v>273.20999999999998</v>
      </c>
      <c r="K1426" s="3">
        <f t="shared" si="67"/>
        <v>202.86</v>
      </c>
      <c r="L1426" s="3">
        <f t="shared" si="68"/>
        <v>70.349999999999966</v>
      </c>
    </row>
    <row r="1427" spans="1:12" x14ac:dyDescent="0.3">
      <c r="A1427">
        <v>1527</v>
      </c>
      <c r="B1427" s="2">
        <v>45885</v>
      </c>
      <c r="C1427" t="s">
        <v>32</v>
      </c>
      <c r="D1427" t="s">
        <v>17</v>
      </c>
      <c r="E1427" t="s">
        <v>40</v>
      </c>
      <c r="F1427" t="s">
        <v>22</v>
      </c>
      <c r="G1427">
        <v>31</v>
      </c>
      <c r="H1427" s="3">
        <v>441.39</v>
      </c>
      <c r="I1427" s="3">
        <v>259.64</v>
      </c>
      <c r="J1427" s="3">
        <f t="shared" si="66"/>
        <v>13683.09</v>
      </c>
      <c r="K1427" s="3">
        <f t="shared" si="67"/>
        <v>8048.8399999999992</v>
      </c>
      <c r="L1427" s="3">
        <f t="shared" si="68"/>
        <v>5634.2500000000009</v>
      </c>
    </row>
    <row r="1428" spans="1:12" x14ac:dyDescent="0.3">
      <c r="A1428">
        <v>1602</v>
      </c>
      <c r="B1428" s="2">
        <v>45885</v>
      </c>
      <c r="C1428" t="s">
        <v>32</v>
      </c>
      <c r="D1428" t="s">
        <v>29</v>
      </c>
      <c r="E1428" t="s">
        <v>37</v>
      </c>
      <c r="F1428" t="s">
        <v>39</v>
      </c>
      <c r="G1428">
        <v>33</v>
      </c>
      <c r="H1428" s="3">
        <v>322.82</v>
      </c>
      <c r="I1428" s="3">
        <v>178.92</v>
      </c>
      <c r="J1428" s="3">
        <f t="shared" si="66"/>
        <v>10653.06</v>
      </c>
      <c r="K1428" s="3">
        <f t="shared" si="67"/>
        <v>5904.36</v>
      </c>
      <c r="L1428" s="3">
        <f t="shared" si="68"/>
        <v>4748.7</v>
      </c>
    </row>
    <row r="1429" spans="1:12" x14ac:dyDescent="0.3">
      <c r="A1429">
        <v>1747</v>
      </c>
      <c r="B1429" s="2">
        <v>45885</v>
      </c>
      <c r="C1429" t="s">
        <v>26</v>
      </c>
      <c r="D1429" t="s">
        <v>20</v>
      </c>
      <c r="E1429" t="s">
        <v>34</v>
      </c>
      <c r="F1429" t="s">
        <v>36</v>
      </c>
      <c r="G1429">
        <v>15</v>
      </c>
      <c r="H1429" s="3">
        <v>164.43</v>
      </c>
      <c r="I1429" s="3">
        <v>114.52</v>
      </c>
      <c r="J1429" s="3">
        <f t="shared" si="66"/>
        <v>2466.4500000000003</v>
      </c>
      <c r="K1429" s="3">
        <f t="shared" si="67"/>
        <v>1717.8</v>
      </c>
      <c r="L1429" s="3">
        <f t="shared" si="68"/>
        <v>748.65000000000032</v>
      </c>
    </row>
    <row r="1430" spans="1:12" x14ac:dyDescent="0.3">
      <c r="A1430">
        <v>2117</v>
      </c>
      <c r="B1430" s="2">
        <v>45885</v>
      </c>
      <c r="C1430" t="s">
        <v>26</v>
      </c>
      <c r="D1430" t="s">
        <v>13</v>
      </c>
      <c r="E1430" t="s">
        <v>31</v>
      </c>
      <c r="F1430" t="s">
        <v>36</v>
      </c>
      <c r="G1430">
        <v>22</v>
      </c>
      <c r="H1430" s="3">
        <v>16.850000000000001</v>
      </c>
      <c r="I1430" s="3">
        <v>9.82</v>
      </c>
      <c r="J1430" s="3">
        <f t="shared" si="66"/>
        <v>370.70000000000005</v>
      </c>
      <c r="K1430" s="3">
        <f t="shared" si="67"/>
        <v>216.04000000000002</v>
      </c>
      <c r="L1430" s="3">
        <f t="shared" si="68"/>
        <v>154.66000000000003</v>
      </c>
    </row>
    <row r="1431" spans="1:12" x14ac:dyDescent="0.3">
      <c r="A1431">
        <v>2389</v>
      </c>
      <c r="B1431" s="2">
        <v>45885</v>
      </c>
      <c r="C1431" t="s">
        <v>32</v>
      </c>
      <c r="D1431" t="s">
        <v>20</v>
      </c>
      <c r="E1431" t="s">
        <v>38</v>
      </c>
      <c r="F1431" t="s">
        <v>22</v>
      </c>
      <c r="G1431">
        <v>34</v>
      </c>
      <c r="H1431" s="3">
        <v>86.91</v>
      </c>
      <c r="I1431" s="3">
        <v>43.5</v>
      </c>
      <c r="J1431" s="3">
        <f t="shared" si="66"/>
        <v>2954.94</v>
      </c>
      <c r="K1431" s="3">
        <f t="shared" si="67"/>
        <v>1479</v>
      </c>
      <c r="L1431" s="3">
        <f t="shared" si="68"/>
        <v>1475.94</v>
      </c>
    </row>
    <row r="1432" spans="1:12" x14ac:dyDescent="0.3">
      <c r="A1432">
        <v>1378</v>
      </c>
      <c r="B1432" s="2">
        <v>45886</v>
      </c>
      <c r="C1432" t="s">
        <v>23</v>
      </c>
      <c r="D1432" t="s">
        <v>29</v>
      </c>
      <c r="E1432" t="s">
        <v>43</v>
      </c>
      <c r="F1432" t="s">
        <v>19</v>
      </c>
      <c r="G1432">
        <v>16</v>
      </c>
      <c r="H1432" s="3">
        <v>458.05</v>
      </c>
      <c r="I1432" s="3">
        <v>280.63</v>
      </c>
      <c r="J1432" s="3">
        <f t="shared" si="66"/>
        <v>7328.8</v>
      </c>
      <c r="K1432" s="3">
        <f t="shared" si="67"/>
        <v>4490.08</v>
      </c>
      <c r="L1432" s="3">
        <f t="shared" si="68"/>
        <v>2838.7200000000003</v>
      </c>
    </row>
    <row r="1433" spans="1:12" x14ac:dyDescent="0.3">
      <c r="A1433">
        <v>1690</v>
      </c>
      <c r="B1433" s="2">
        <v>45887</v>
      </c>
      <c r="C1433" t="s">
        <v>16</v>
      </c>
      <c r="D1433" t="s">
        <v>13</v>
      </c>
      <c r="E1433" t="s">
        <v>31</v>
      </c>
      <c r="F1433" t="s">
        <v>15</v>
      </c>
      <c r="G1433">
        <v>19</v>
      </c>
      <c r="H1433" s="3">
        <v>49.46</v>
      </c>
      <c r="I1433" s="3">
        <v>29.4</v>
      </c>
      <c r="J1433" s="3">
        <f t="shared" si="66"/>
        <v>939.74</v>
      </c>
      <c r="K1433" s="3">
        <f t="shared" si="67"/>
        <v>558.6</v>
      </c>
      <c r="L1433" s="3">
        <f t="shared" si="68"/>
        <v>381.14</v>
      </c>
    </row>
    <row r="1434" spans="1:12" x14ac:dyDescent="0.3">
      <c r="A1434">
        <v>2011</v>
      </c>
      <c r="B1434" s="2">
        <v>45887</v>
      </c>
      <c r="C1434" t="s">
        <v>32</v>
      </c>
      <c r="D1434" t="s">
        <v>13</v>
      </c>
      <c r="E1434" t="s">
        <v>14</v>
      </c>
      <c r="F1434" t="s">
        <v>22</v>
      </c>
      <c r="G1434">
        <v>10</v>
      </c>
      <c r="H1434" s="3">
        <v>59.88</v>
      </c>
      <c r="I1434" s="3">
        <v>43.94</v>
      </c>
      <c r="J1434" s="3">
        <f t="shared" si="66"/>
        <v>598.80000000000007</v>
      </c>
      <c r="K1434" s="3">
        <f t="shared" si="67"/>
        <v>439.4</v>
      </c>
      <c r="L1434" s="3">
        <f t="shared" si="68"/>
        <v>159.40000000000009</v>
      </c>
    </row>
    <row r="1435" spans="1:12" x14ac:dyDescent="0.3">
      <c r="A1435">
        <v>2437</v>
      </c>
      <c r="B1435" s="2">
        <v>45887</v>
      </c>
      <c r="C1435" t="s">
        <v>26</v>
      </c>
      <c r="D1435" t="s">
        <v>13</v>
      </c>
      <c r="E1435" t="s">
        <v>45</v>
      </c>
      <c r="F1435" t="s">
        <v>39</v>
      </c>
      <c r="G1435">
        <v>35</v>
      </c>
      <c r="H1435" s="3">
        <v>9.4499999999999993</v>
      </c>
      <c r="I1435" s="3">
        <v>6.1</v>
      </c>
      <c r="J1435" s="3">
        <f t="shared" si="66"/>
        <v>330.75</v>
      </c>
      <c r="K1435" s="3">
        <f t="shared" si="67"/>
        <v>213.5</v>
      </c>
      <c r="L1435" s="3">
        <f t="shared" si="68"/>
        <v>117.25</v>
      </c>
    </row>
    <row r="1436" spans="1:12" x14ac:dyDescent="0.3">
      <c r="A1436">
        <v>2605</v>
      </c>
      <c r="B1436" s="2">
        <v>45887</v>
      </c>
      <c r="C1436" t="s">
        <v>23</v>
      </c>
      <c r="D1436" t="s">
        <v>20</v>
      </c>
      <c r="E1436" t="s">
        <v>38</v>
      </c>
      <c r="F1436" t="s">
        <v>36</v>
      </c>
      <c r="G1436">
        <v>37</v>
      </c>
      <c r="H1436" s="3">
        <v>115.28</v>
      </c>
      <c r="I1436" s="3">
        <v>65.17</v>
      </c>
      <c r="J1436" s="3">
        <f t="shared" si="66"/>
        <v>4265.3599999999997</v>
      </c>
      <c r="K1436" s="3">
        <f t="shared" si="67"/>
        <v>2411.29</v>
      </c>
      <c r="L1436" s="3">
        <f t="shared" si="68"/>
        <v>1854.0699999999997</v>
      </c>
    </row>
    <row r="1437" spans="1:12" x14ac:dyDescent="0.3">
      <c r="A1437">
        <v>1282</v>
      </c>
      <c r="B1437" s="2">
        <v>45888</v>
      </c>
      <c r="C1437" t="s">
        <v>16</v>
      </c>
      <c r="D1437" t="s">
        <v>29</v>
      </c>
      <c r="E1437" t="s">
        <v>30</v>
      </c>
      <c r="F1437" t="s">
        <v>22</v>
      </c>
      <c r="G1437">
        <v>5</v>
      </c>
      <c r="H1437" s="3">
        <v>419.91</v>
      </c>
      <c r="I1437" s="3">
        <v>298.89999999999998</v>
      </c>
      <c r="J1437" s="3">
        <f t="shared" si="66"/>
        <v>2099.5500000000002</v>
      </c>
      <c r="K1437" s="3">
        <f t="shared" si="67"/>
        <v>1494.5</v>
      </c>
      <c r="L1437" s="3">
        <f t="shared" si="68"/>
        <v>605.05000000000018</v>
      </c>
    </row>
    <row r="1438" spans="1:12" x14ac:dyDescent="0.3">
      <c r="A1438">
        <v>1167</v>
      </c>
      <c r="B1438" s="2">
        <v>45889</v>
      </c>
      <c r="C1438" t="s">
        <v>32</v>
      </c>
      <c r="D1438" t="s">
        <v>17</v>
      </c>
      <c r="E1438" t="s">
        <v>27</v>
      </c>
      <c r="F1438" t="s">
        <v>15</v>
      </c>
      <c r="G1438">
        <v>32</v>
      </c>
      <c r="H1438" s="3">
        <v>561.91999999999996</v>
      </c>
      <c r="I1438" s="3">
        <v>282.11</v>
      </c>
      <c r="J1438" s="3">
        <f t="shared" si="66"/>
        <v>17981.439999999999</v>
      </c>
      <c r="K1438" s="3">
        <f t="shared" si="67"/>
        <v>9027.52</v>
      </c>
      <c r="L1438" s="3">
        <f t="shared" si="68"/>
        <v>8953.9199999999983</v>
      </c>
    </row>
    <row r="1439" spans="1:12" x14ac:dyDescent="0.3">
      <c r="A1439">
        <v>1191</v>
      </c>
      <c r="B1439" s="2">
        <v>45889</v>
      </c>
      <c r="C1439" t="s">
        <v>23</v>
      </c>
      <c r="D1439" t="s">
        <v>17</v>
      </c>
      <c r="E1439" t="s">
        <v>35</v>
      </c>
      <c r="F1439" t="s">
        <v>28</v>
      </c>
      <c r="G1439">
        <v>4</v>
      </c>
      <c r="H1439" s="3">
        <v>440.88</v>
      </c>
      <c r="I1439" s="3">
        <v>271.39999999999998</v>
      </c>
      <c r="J1439" s="3">
        <f t="shared" si="66"/>
        <v>1763.52</v>
      </c>
      <c r="K1439" s="3">
        <f t="shared" si="67"/>
        <v>1085.5999999999999</v>
      </c>
      <c r="L1439" s="3">
        <f t="shared" si="68"/>
        <v>677.92000000000007</v>
      </c>
    </row>
    <row r="1440" spans="1:12" x14ac:dyDescent="0.3">
      <c r="A1440">
        <v>1207</v>
      </c>
      <c r="B1440" s="2">
        <v>45890</v>
      </c>
      <c r="C1440" t="s">
        <v>16</v>
      </c>
      <c r="D1440" t="s">
        <v>20</v>
      </c>
      <c r="E1440" t="s">
        <v>38</v>
      </c>
      <c r="F1440" t="s">
        <v>19</v>
      </c>
      <c r="G1440">
        <v>13</v>
      </c>
      <c r="H1440" s="3">
        <v>159.80000000000001</v>
      </c>
      <c r="I1440" s="3">
        <v>106.05</v>
      </c>
      <c r="J1440" s="3">
        <f t="shared" si="66"/>
        <v>2077.4</v>
      </c>
      <c r="K1440" s="3">
        <f t="shared" si="67"/>
        <v>1378.6499999999999</v>
      </c>
      <c r="L1440" s="3">
        <f t="shared" si="68"/>
        <v>698.75000000000023</v>
      </c>
    </row>
    <row r="1441" spans="1:12" x14ac:dyDescent="0.3">
      <c r="A1441">
        <v>1321</v>
      </c>
      <c r="B1441" s="2">
        <v>45890</v>
      </c>
      <c r="C1441" t="s">
        <v>26</v>
      </c>
      <c r="D1441" t="s">
        <v>17</v>
      </c>
      <c r="E1441" t="s">
        <v>35</v>
      </c>
      <c r="F1441" t="s">
        <v>33</v>
      </c>
      <c r="G1441">
        <v>36</v>
      </c>
      <c r="H1441" s="3">
        <v>603.77</v>
      </c>
      <c r="I1441" s="3">
        <v>311.52</v>
      </c>
      <c r="J1441" s="3">
        <f t="shared" si="66"/>
        <v>21735.72</v>
      </c>
      <c r="K1441" s="3">
        <f t="shared" si="67"/>
        <v>11214.72</v>
      </c>
      <c r="L1441" s="3">
        <f t="shared" si="68"/>
        <v>10521.000000000002</v>
      </c>
    </row>
    <row r="1442" spans="1:12" x14ac:dyDescent="0.3">
      <c r="A1442">
        <v>1693</v>
      </c>
      <c r="B1442" s="2">
        <v>45890</v>
      </c>
      <c r="C1442" t="s">
        <v>23</v>
      </c>
      <c r="D1442" t="s">
        <v>20</v>
      </c>
      <c r="E1442" t="s">
        <v>21</v>
      </c>
      <c r="F1442" t="s">
        <v>28</v>
      </c>
      <c r="G1442">
        <v>27</v>
      </c>
      <c r="H1442" s="3">
        <v>219.12</v>
      </c>
      <c r="I1442" s="3">
        <v>116.65</v>
      </c>
      <c r="J1442" s="3">
        <f t="shared" si="66"/>
        <v>5916.24</v>
      </c>
      <c r="K1442" s="3">
        <f t="shared" si="67"/>
        <v>3149.55</v>
      </c>
      <c r="L1442" s="3">
        <f t="shared" si="68"/>
        <v>2766.6899999999996</v>
      </c>
    </row>
    <row r="1443" spans="1:12" x14ac:dyDescent="0.3">
      <c r="A1443">
        <v>1739</v>
      </c>
      <c r="B1443" s="2">
        <v>45890</v>
      </c>
      <c r="C1443" t="s">
        <v>23</v>
      </c>
      <c r="D1443" t="s">
        <v>13</v>
      </c>
      <c r="E1443" t="s">
        <v>45</v>
      </c>
      <c r="F1443" t="s">
        <v>28</v>
      </c>
      <c r="G1443">
        <v>40</v>
      </c>
      <c r="H1443" s="3">
        <v>31.99</v>
      </c>
      <c r="I1443" s="3">
        <v>20.07</v>
      </c>
      <c r="J1443" s="3">
        <f t="shared" si="66"/>
        <v>1279.5999999999999</v>
      </c>
      <c r="K1443" s="3">
        <f t="shared" si="67"/>
        <v>802.8</v>
      </c>
      <c r="L1443" s="3">
        <f t="shared" si="68"/>
        <v>476.79999999999995</v>
      </c>
    </row>
    <row r="1444" spans="1:12" x14ac:dyDescent="0.3">
      <c r="A1444">
        <v>2585</v>
      </c>
      <c r="B1444" s="2">
        <v>45890</v>
      </c>
      <c r="C1444" t="s">
        <v>23</v>
      </c>
      <c r="D1444" t="s">
        <v>13</v>
      </c>
      <c r="E1444" t="s">
        <v>45</v>
      </c>
      <c r="F1444" t="s">
        <v>25</v>
      </c>
      <c r="G1444">
        <v>29</v>
      </c>
      <c r="H1444" s="3">
        <v>44.66</v>
      </c>
      <c r="I1444" s="3">
        <v>33.1</v>
      </c>
      <c r="J1444" s="3">
        <f t="shared" si="66"/>
        <v>1295.1399999999999</v>
      </c>
      <c r="K1444" s="3">
        <f t="shared" si="67"/>
        <v>959.90000000000009</v>
      </c>
      <c r="L1444" s="3">
        <f t="shared" si="68"/>
        <v>335.23999999999978</v>
      </c>
    </row>
    <row r="1445" spans="1:12" x14ac:dyDescent="0.3">
      <c r="A1445">
        <v>1103</v>
      </c>
      <c r="B1445" s="2">
        <v>45892</v>
      </c>
      <c r="C1445" t="s">
        <v>12</v>
      </c>
      <c r="D1445" t="s">
        <v>13</v>
      </c>
      <c r="E1445" t="s">
        <v>31</v>
      </c>
      <c r="F1445" t="s">
        <v>19</v>
      </c>
      <c r="G1445">
        <v>39</v>
      </c>
      <c r="H1445" s="3">
        <v>51.93</v>
      </c>
      <c r="I1445" s="3">
        <v>29.22</v>
      </c>
      <c r="J1445" s="3">
        <f t="shared" si="66"/>
        <v>2025.27</v>
      </c>
      <c r="K1445" s="3">
        <f t="shared" si="67"/>
        <v>1139.58</v>
      </c>
      <c r="L1445" s="3">
        <f t="shared" si="68"/>
        <v>885.69</v>
      </c>
    </row>
    <row r="1446" spans="1:12" x14ac:dyDescent="0.3">
      <c r="A1446">
        <v>1888</v>
      </c>
      <c r="B1446" s="2">
        <v>45892</v>
      </c>
      <c r="C1446" t="s">
        <v>26</v>
      </c>
      <c r="D1446" t="s">
        <v>29</v>
      </c>
      <c r="E1446" t="s">
        <v>37</v>
      </c>
      <c r="F1446" t="s">
        <v>19</v>
      </c>
      <c r="G1446">
        <v>30</v>
      </c>
      <c r="H1446" s="3">
        <v>480.18</v>
      </c>
      <c r="I1446" s="3">
        <v>265.98</v>
      </c>
      <c r="J1446" s="3">
        <f t="shared" si="66"/>
        <v>14405.4</v>
      </c>
      <c r="K1446" s="3">
        <f t="shared" si="67"/>
        <v>7979.4000000000005</v>
      </c>
      <c r="L1446" s="3">
        <f t="shared" si="68"/>
        <v>6425.9999999999991</v>
      </c>
    </row>
    <row r="1447" spans="1:12" x14ac:dyDescent="0.3">
      <c r="A1447">
        <v>2063</v>
      </c>
      <c r="B1447" s="2">
        <v>45892</v>
      </c>
      <c r="C1447" t="s">
        <v>32</v>
      </c>
      <c r="D1447" t="s">
        <v>29</v>
      </c>
      <c r="E1447" t="s">
        <v>30</v>
      </c>
      <c r="F1447" t="s">
        <v>33</v>
      </c>
      <c r="G1447">
        <v>17</v>
      </c>
      <c r="H1447" s="3">
        <v>194.67</v>
      </c>
      <c r="I1447" s="3">
        <v>128.56</v>
      </c>
      <c r="J1447" s="3">
        <f t="shared" si="66"/>
        <v>3309.39</v>
      </c>
      <c r="K1447" s="3">
        <f t="shared" si="67"/>
        <v>2185.52</v>
      </c>
      <c r="L1447" s="3">
        <f t="shared" si="68"/>
        <v>1123.8699999999999</v>
      </c>
    </row>
    <row r="1448" spans="1:12" x14ac:dyDescent="0.3">
      <c r="A1448">
        <v>1426</v>
      </c>
      <c r="B1448" s="2">
        <v>45893</v>
      </c>
      <c r="C1448" t="s">
        <v>16</v>
      </c>
      <c r="D1448" t="s">
        <v>20</v>
      </c>
      <c r="E1448" t="s">
        <v>21</v>
      </c>
      <c r="F1448" t="s">
        <v>19</v>
      </c>
      <c r="G1448">
        <v>12</v>
      </c>
      <c r="H1448" s="3">
        <v>90.46</v>
      </c>
      <c r="I1448" s="3">
        <v>62.05</v>
      </c>
      <c r="J1448" s="3">
        <f t="shared" si="66"/>
        <v>1085.52</v>
      </c>
      <c r="K1448" s="3">
        <f t="shared" si="67"/>
        <v>744.59999999999991</v>
      </c>
      <c r="L1448" s="3">
        <f t="shared" si="68"/>
        <v>340.92000000000007</v>
      </c>
    </row>
    <row r="1449" spans="1:12" x14ac:dyDescent="0.3">
      <c r="A1449">
        <v>2057</v>
      </c>
      <c r="B1449" s="2">
        <v>45893</v>
      </c>
      <c r="C1449" t="s">
        <v>23</v>
      </c>
      <c r="D1449" t="s">
        <v>29</v>
      </c>
      <c r="E1449" t="s">
        <v>43</v>
      </c>
      <c r="F1449" t="s">
        <v>28</v>
      </c>
      <c r="G1449">
        <v>14</v>
      </c>
      <c r="H1449" s="3">
        <v>495.42</v>
      </c>
      <c r="I1449" s="3">
        <v>347.21</v>
      </c>
      <c r="J1449" s="3">
        <f t="shared" si="66"/>
        <v>6935.88</v>
      </c>
      <c r="K1449" s="3">
        <f t="shared" si="67"/>
        <v>4860.9399999999996</v>
      </c>
      <c r="L1449" s="3">
        <f t="shared" si="68"/>
        <v>2074.9400000000005</v>
      </c>
    </row>
    <row r="1450" spans="1:12" x14ac:dyDescent="0.3">
      <c r="A1450">
        <v>2653</v>
      </c>
      <c r="B1450" s="2">
        <v>45893</v>
      </c>
      <c r="C1450" t="s">
        <v>26</v>
      </c>
      <c r="D1450" t="s">
        <v>20</v>
      </c>
      <c r="E1450" t="s">
        <v>42</v>
      </c>
      <c r="F1450" t="s">
        <v>15</v>
      </c>
      <c r="G1450">
        <v>24</v>
      </c>
      <c r="H1450" s="3">
        <v>117.05</v>
      </c>
      <c r="I1450" s="3">
        <v>67.12</v>
      </c>
      <c r="J1450" s="3">
        <f t="shared" si="66"/>
        <v>2809.2</v>
      </c>
      <c r="K1450" s="3">
        <f t="shared" si="67"/>
        <v>1610.88</v>
      </c>
      <c r="L1450" s="3">
        <f t="shared" si="68"/>
        <v>1198.3199999999997</v>
      </c>
    </row>
    <row r="1451" spans="1:12" x14ac:dyDescent="0.3">
      <c r="A1451">
        <v>1017</v>
      </c>
      <c r="B1451" s="2">
        <v>45894</v>
      </c>
      <c r="C1451" t="s">
        <v>16</v>
      </c>
      <c r="D1451" t="s">
        <v>13</v>
      </c>
      <c r="E1451" t="s">
        <v>46</v>
      </c>
      <c r="F1451" t="s">
        <v>39</v>
      </c>
      <c r="G1451">
        <v>1</v>
      </c>
      <c r="H1451" s="3">
        <v>38.97</v>
      </c>
      <c r="I1451" s="3">
        <v>27.86</v>
      </c>
      <c r="J1451" s="3">
        <f t="shared" si="66"/>
        <v>38.97</v>
      </c>
      <c r="K1451" s="3">
        <f t="shared" si="67"/>
        <v>27.86</v>
      </c>
      <c r="L1451" s="3">
        <f t="shared" si="68"/>
        <v>11.11</v>
      </c>
    </row>
    <row r="1452" spans="1:12" x14ac:dyDescent="0.3">
      <c r="A1452">
        <v>1490</v>
      </c>
      <c r="B1452" s="2">
        <v>45894</v>
      </c>
      <c r="C1452" t="s">
        <v>23</v>
      </c>
      <c r="D1452" t="s">
        <v>20</v>
      </c>
      <c r="E1452" t="s">
        <v>21</v>
      </c>
      <c r="F1452" t="s">
        <v>28</v>
      </c>
      <c r="G1452">
        <v>6</v>
      </c>
      <c r="H1452" s="3">
        <v>97.87</v>
      </c>
      <c r="I1452" s="3">
        <v>64.319999999999993</v>
      </c>
      <c r="J1452" s="3">
        <f t="shared" si="66"/>
        <v>587.22</v>
      </c>
      <c r="K1452" s="3">
        <f t="shared" si="67"/>
        <v>385.91999999999996</v>
      </c>
      <c r="L1452" s="3">
        <f t="shared" si="68"/>
        <v>201.30000000000007</v>
      </c>
    </row>
    <row r="1453" spans="1:12" x14ac:dyDescent="0.3">
      <c r="A1453">
        <v>2021</v>
      </c>
      <c r="B1453" s="2">
        <v>45894</v>
      </c>
      <c r="C1453" t="s">
        <v>32</v>
      </c>
      <c r="D1453" t="s">
        <v>17</v>
      </c>
      <c r="E1453" t="s">
        <v>44</v>
      </c>
      <c r="F1453" t="s">
        <v>15</v>
      </c>
      <c r="G1453">
        <v>32</v>
      </c>
      <c r="H1453" s="3">
        <v>346.54</v>
      </c>
      <c r="I1453" s="3">
        <v>246.4</v>
      </c>
      <c r="J1453" s="3">
        <f t="shared" si="66"/>
        <v>11089.28</v>
      </c>
      <c r="K1453" s="3">
        <f t="shared" si="67"/>
        <v>7884.8</v>
      </c>
      <c r="L1453" s="3">
        <f t="shared" si="68"/>
        <v>3204.4800000000005</v>
      </c>
    </row>
    <row r="1454" spans="1:12" x14ac:dyDescent="0.3">
      <c r="A1454">
        <v>2428</v>
      </c>
      <c r="B1454" s="2">
        <v>45894</v>
      </c>
      <c r="C1454" t="s">
        <v>23</v>
      </c>
      <c r="D1454" t="s">
        <v>13</v>
      </c>
      <c r="E1454" t="s">
        <v>45</v>
      </c>
      <c r="F1454" t="s">
        <v>33</v>
      </c>
      <c r="G1454">
        <v>16</v>
      </c>
      <c r="H1454" s="3">
        <v>8.33</v>
      </c>
      <c r="I1454" s="3">
        <v>5.72</v>
      </c>
      <c r="J1454" s="3">
        <f t="shared" si="66"/>
        <v>133.28</v>
      </c>
      <c r="K1454" s="3">
        <f t="shared" si="67"/>
        <v>91.52</v>
      </c>
      <c r="L1454" s="3">
        <f t="shared" si="68"/>
        <v>41.760000000000005</v>
      </c>
    </row>
    <row r="1455" spans="1:12" x14ac:dyDescent="0.3">
      <c r="A1455">
        <v>2020</v>
      </c>
      <c r="B1455" s="2">
        <v>45895</v>
      </c>
      <c r="C1455" t="s">
        <v>16</v>
      </c>
      <c r="D1455" t="s">
        <v>17</v>
      </c>
      <c r="E1455" t="s">
        <v>44</v>
      </c>
      <c r="F1455" t="s">
        <v>22</v>
      </c>
      <c r="G1455">
        <v>38</v>
      </c>
      <c r="H1455" s="3">
        <v>558.16</v>
      </c>
      <c r="I1455" s="3">
        <v>303.74</v>
      </c>
      <c r="J1455" s="3">
        <f t="shared" si="66"/>
        <v>21210.079999999998</v>
      </c>
      <c r="K1455" s="3">
        <f t="shared" si="67"/>
        <v>11542.12</v>
      </c>
      <c r="L1455" s="3">
        <f t="shared" si="68"/>
        <v>9667.9599999999973</v>
      </c>
    </row>
    <row r="1456" spans="1:12" x14ac:dyDescent="0.3">
      <c r="A1456">
        <v>2309</v>
      </c>
      <c r="B1456" s="2">
        <v>45895</v>
      </c>
      <c r="C1456" t="s">
        <v>23</v>
      </c>
      <c r="D1456" t="s">
        <v>17</v>
      </c>
      <c r="E1456" t="s">
        <v>18</v>
      </c>
      <c r="F1456" t="s">
        <v>22</v>
      </c>
      <c r="G1456">
        <v>32</v>
      </c>
      <c r="H1456" s="3">
        <v>328.49</v>
      </c>
      <c r="I1456" s="3">
        <v>195.76</v>
      </c>
      <c r="J1456" s="3">
        <f t="shared" si="66"/>
        <v>10511.68</v>
      </c>
      <c r="K1456" s="3">
        <f t="shared" si="67"/>
        <v>6264.32</v>
      </c>
      <c r="L1456" s="3">
        <f t="shared" si="68"/>
        <v>4247.3600000000006</v>
      </c>
    </row>
    <row r="1457" spans="1:12" x14ac:dyDescent="0.3">
      <c r="A1457">
        <v>2166</v>
      </c>
      <c r="B1457" s="2">
        <v>45896</v>
      </c>
      <c r="C1457" t="s">
        <v>16</v>
      </c>
      <c r="D1457" t="s">
        <v>29</v>
      </c>
      <c r="E1457" t="s">
        <v>37</v>
      </c>
      <c r="F1457" t="s">
        <v>33</v>
      </c>
      <c r="G1457">
        <v>28</v>
      </c>
      <c r="H1457" s="3">
        <v>389.29</v>
      </c>
      <c r="I1457" s="3">
        <v>267.44</v>
      </c>
      <c r="J1457" s="3">
        <f t="shared" si="66"/>
        <v>10900.12</v>
      </c>
      <c r="K1457" s="3">
        <f t="shared" si="67"/>
        <v>7488.32</v>
      </c>
      <c r="L1457" s="3">
        <f t="shared" si="68"/>
        <v>3411.8000000000011</v>
      </c>
    </row>
    <row r="1458" spans="1:12" x14ac:dyDescent="0.3">
      <c r="A1458">
        <v>2000</v>
      </c>
      <c r="B1458" s="2">
        <v>45897</v>
      </c>
      <c r="C1458" t="s">
        <v>12</v>
      </c>
      <c r="D1458" t="s">
        <v>17</v>
      </c>
      <c r="E1458" t="s">
        <v>40</v>
      </c>
      <c r="F1458" t="s">
        <v>36</v>
      </c>
      <c r="G1458">
        <v>28</v>
      </c>
      <c r="H1458" s="3">
        <v>717.39</v>
      </c>
      <c r="I1458" s="3">
        <v>457.93</v>
      </c>
      <c r="J1458" s="3">
        <f t="shared" si="66"/>
        <v>20086.919999999998</v>
      </c>
      <c r="K1458" s="3">
        <f t="shared" si="67"/>
        <v>12822.04</v>
      </c>
      <c r="L1458" s="3">
        <f t="shared" si="68"/>
        <v>7264.8799999999974</v>
      </c>
    </row>
    <row r="1459" spans="1:12" x14ac:dyDescent="0.3">
      <c r="A1459">
        <v>2213</v>
      </c>
      <c r="B1459" s="2">
        <v>45897</v>
      </c>
      <c r="C1459" t="s">
        <v>26</v>
      </c>
      <c r="D1459" t="s">
        <v>17</v>
      </c>
      <c r="E1459" t="s">
        <v>40</v>
      </c>
      <c r="F1459" t="s">
        <v>36</v>
      </c>
      <c r="G1459">
        <v>35</v>
      </c>
      <c r="H1459" s="3">
        <v>600.29</v>
      </c>
      <c r="I1459" s="3">
        <v>344.11</v>
      </c>
      <c r="J1459" s="3">
        <f t="shared" si="66"/>
        <v>21010.149999999998</v>
      </c>
      <c r="K1459" s="3">
        <f t="shared" si="67"/>
        <v>12043.85</v>
      </c>
      <c r="L1459" s="3">
        <f t="shared" si="68"/>
        <v>8966.2999999999975</v>
      </c>
    </row>
    <row r="1460" spans="1:12" x14ac:dyDescent="0.3">
      <c r="A1460">
        <v>1161</v>
      </c>
      <c r="B1460" s="2">
        <v>45898</v>
      </c>
      <c r="C1460" t="s">
        <v>16</v>
      </c>
      <c r="D1460" t="s">
        <v>13</v>
      </c>
      <c r="E1460" t="s">
        <v>24</v>
      </c>
      <c r="F1460" t="s">
        <v>33</v>
      </c>
      <c r="G1460">
        <v>37</v>
      </c>
      <c r="H1460" s="3">
        <v>52.24</v>
      </c>
      <c r="I1460" s="3">
        <v>36.19</v>
      </c>
      <c r="J1460" s="3">
        <f t="shared" si="66"/>
        <v>1932.88</v>
      </c>
      <c r="K1460" s="3">
        <f t="shared" si="67"/>
        <v>1339.03</v>
      </c>
      <c r="L1460" s="3">
        <f t="shared" si="68"/>
        <v>593.85000000000014</v>
      </c>
    </row>
    <row r="1461" spans="1:12" x14ac:dyDescent="0.3">
      <c r="A1461">
        <v>1391</v>
      </c>
      <c r="B1461" s="2">
        <v>45898</v>
      </c>
      <c r="C1461" t="s">
        <v>12</v>
      </c>
      <c r="D1461" t="s">
        <v>13</v>
      </c>
      <c r="E1461" t="s">
        <v>46</v>
      </c>
      <c r="F1461" t="s">
        <v>22</v>
      </c>
      <c r="G1461">
        <v>37</v>
      </c>
      <c r="H1461" s="3">
        <v>12.48</v>
      </c>
      <c r="I1461" s="3">
        <v>7.51</v>
      </c>
      <c r="J1461" s="3">
        <f t="shared" si="66"/>
        <v>461.76</v>
      </c>
      <c r="K1461" s="3">
        <f t="shared" si="67"/>
        <v>277.87</v>
      </c>
      <c r="L1461" s="3">
        <f t="shared" si="68"/>
        <v>183.89</v>
      </c>
    </row>
    <row r="1462" spans="1:12" x14ac:dyDescent="0.3">
      <c r="A1462">
        <v>1560</v>
      </c>
      <c r="B1462" s="2">
        <v>45898</v>
      </c>
      <c r="C1462" t="s">
        <v>16</v>
      </c>
      <c r="D1462" t="s">
        <v>29</v>
      </c>
      <c r="E1462" t="s">
        <v>41</v>
      </c>
      <c r="F1462" t="s">
        <v>39</v>
      </c>
      <c r="G1462">
        <v>21</v>
      </c>
      <c r="H1462" s="3">
        <v>175.67</v>
      </c>
      <c r="I1462" s="3">
        <v>105.96</v>
      </c>
      <c r="J1462" s="3">
        <f t="shared" si="66"/>
        <v>3689.0699999999997</v>
      </c>
      <c r="K1462" s="3">
        <f t="shared" si="67"/>
        <v>2225.16</v>
      </c>
      <c r="L1462" s="3">
        <f t="shared" si="68"/>
        <v>1463.9099999999999</v>
      </c>
    </row>
    <row r="1463" spans="1:12" x14ac:dyDescent="0.3">
      <c r="A1463">
        <v>2258</v>
      </c>
      <c r="B1463" s="2">
        <v>45898</v>
      </c>
      <c r="C1463" t="s">
        <v>32</v>
      </c>
      <c r="D1463" t="s">
        <v>20</v>
      </c>
      <c r="E1463" t="s">
        <v>38</v>
      </c>
      <c r="F1463" t="s">
        <v>39</v>
      </c>
      <c r="G1463">
        <v>28</v>
      </c>
      <c r="H1463" s="3">
        <v>21.96</v>
      </c>
      <c r="I1463" s="3">
        <v>15.87</v>
      </c>
      <c r="J1463" s="3">
        <f t="shared" si="66"/>
        <v>614.88</v>
      </c>
      <c r="K1463" s="3">
        <f t="shared" si="67"/>
        <v>444.35999999999996</v>
      </c>
      <c r="L1463" s="3">
        <f t="shared" si="68"/>
        <v>170.52000000000004</v>
      </c>
    </row>
    <row r="1464" spans="1:12" x14ac:dyDescent="0.3">
      <c r="A1464">
        <v>1727</v>
      </c>
      <c r="B1464" s="2">
        <v>45899</v>
      </c>
      <c r="C1464" t="s">
        <v>12</v>
      </c>
      <c r="D1464" t="s">
        <v>13</v>
      </c>
      <c r="E1464" t="s">
        <v>46</v>
      </c>
      <c r="F1464" t="s">
        <v>15</v>
      </c>
      <c r="G1464">
        <v>23</v>
      </c>
      <c r="H1464" s="3">
        <v>44.3</v>
      </c>
      <c r="I1464" s="3">
        <v>30.98</v>
      </c>
      <c r="J1464" s="3">
        <f t="shared" si="66"/>
        <v>1018.9</v>
      </c>
      <c r="K1464" s="3">
        <f t="shared" si="67"/>
        <v>712.54</v>
      </c>
      <c r="L1464" s="3">
        <f t="shared" si="68"/>
        <v>306.36</v>
      </c>
    </row>
    <row r="1465" spans="1:12" x14ac:dyDescent="0.3">
      <c r="A1465">
        <v>1482</v>
      </c>
      <c r="B1465" s="2">
        <v>45900</v>
      </c>
      <c r="C1465" t="s">
        <v>16</v>
      </c>
      <c r="D1465" t="s">
        <v>17</v>
      </c>
      <c r="E1465" t="s">
        <v>35</v>
      </c>
      <c r="F1465" t="s">
        <v>25</v>
      </c>
      <c r="G1465">
        <v>29</v>
      </c>
      <c r="H1465" s="3">
        <v>443.8</v>
      </c>
      <c r="I1465" s="3">
        <v>281.58</v>
      </c>
      <c r="J1465" s="3">
        <f t="shared" si="66"/>
        <v>12870.2</v>
      </c>
      <c r="K1465" s="3">
        <f t="shared" si="67"/>
        <v>8165.82</v>
      </c>
      <c r="L1465" s="3">
        <f t="shared" si="68"/>
        <v>4704.380000000001</v>
      </c>
    </row>
    <row r="1466" spans="1:12" x14ac:dyDescent="0.3">
      <c r="A1466">
        <v>1506</v>
      </c>
      <c r="B1466" s="2">
        <v>45900</v>
      </c>
      <c r="C1466" t="s">
        <v>26</v>
      </c>
      <c r="D1466" t="s">
        <v>29</v>
      </c>
      <c r="E1466" t="s">
        <v>41</v>
      </c>
      <c r="F1466" t="s">
        <v>22</v>
      </c>
      <c r="G1466">
        <v>7</v>
      </c>
      <c r="H1466" s="3">
        <v>211.24</v>
      </c>
      <c r="I1466" s="3">
        <v>122.1</v>
      </c>
      <c r="J1466" s="3">
        <f t="shared" si="66"/>
        <v>1478.68</v>
      </c>
      <c r="K1466" s="3">
        <f t="shared" si="67"/>
        <v>854.69999999999993</v>
      </c>
      <c r="L1466" s="3">
        <f t="shared" si="68"/>
        <v>623.98000000000013</v>
      </c>
    </row>
    <row r="1467" spans="1:12" x14ac:dyDescent="0.3">
      <c r="A1467">
        <v>1657</v>
      </c>
      <c r="B1467" s="2">
        <v>45900</v>
      </c>
      <c r="C1467" t="s">
        <v>26</v>
      </c>
      <c r="D1467" t="s">
        <v>29</v>
      </c>
      <c r="E1467" t="s">
        <v>30</v>
      </c>
      <c r="F1467" t="s">
        <v>28</v>
      </c>
      <c r="G1467">
        <v>21</v>
      </c>
      <c r="H1467" s="3">
        <v>460.89</v>
      </c>
      <c r="I1467" s="3">
        <v>245.35</v>
      </c>
      <c r="J1467" s="3">
        <f t="shared" si="66"/>
        <v>9678.69</v>
      </c>
      <c r="K1467" s="3">
        <f t="shared" si="67"/>
        <v>5152.3499999999995</v>
      </c>
      <c r="L1467" s="3">
        <f t="shared" si="68"/>
        <v>4526.3400000000011</v>
      </c>
    </row>
    <row r="1468" spans="1:12" x14ac:dyDescent="0.3">
      <c r="A1468">
        <v>2719</v>
      </c>
      <c r="B1468" s="2">
        <v>45900</v>
      </c>
      <c r="C1468" t="s">
        <v>16</v>
      </c>
      <c r="D1468" t="s">
        <v>20</v>
      </c>
      <c r="E1468" t="s">
        <v>42</v>
      </c>
      <c r="F1468" t="s">
        <v>36</v>
      </c>
      <c r="G1468">
        <v>14</v>
      </c>
      <c r="H1468" s="3">
        <v>99.95</v>
      </c>
      <c r="I1468" s="3">
        <v>50.53</v>
      </c>
      <c r="J1468" s="3">
        <f t="shared" si="66"/>
        <v>1399.3</v>
      </c>
      <c r="K1468" s="3">
        <f t="shared" si="67"/>
        <v>707.42000000000007</v>
      </c>
      <c r="L1468" s="3">
        <f t="shared" si="68"/>
        <v>691.87999999999988</v>
      </c>
    </row>
    <row r="1469" spans="1:12" x14ac:dyDescent="0.3">
      <c r="A1469">
        <v>1780</v>
      </c>
      <c r="B1469" s="2">
        <v>45901</v>
      </c>
      <c r="C1469" t="s">
        <v>16</v>
      </c>
      <c r="D1469" t="s">
        <v>13</v>
      </c>
      <c r="E1469" t="s">
        <v>46</v>
      </c>
      <c r="F1469" t="s">
        <v>19</v>
      </c>
      <c r="G1469">
        <v>17</v>
      </c>
      <c r="H1469" s="3">
        <v>20.43</v>
      </c>
      <c r="I1469" s="3">
        <v>12.67</v>
      </c>
      <c r="J1469" s="3">
        <f t="shared" si="66"/>
        <v>347.31</v>
      </c>
      <c r="K1469" s="3">
        <f t="shared" si="67"/>
        <v>215.39</v>
      </c>
      <c r="L1469" s="3">
        <f t="shared" si="68"/>
        <v>131.92000000000002</v>
      </c>
    </row>
    <row r="1470" spans="1:12" x14ac:dyDescent="0.3">
      <c r="A1470">
        <v>1011</v>
      </c>
      <c r="B1470" s="2">
        <v>45902</v>
      </c>
      <c r="C1470" t="s">
        <v>26</v>
      </c>
      <c r="D1470" t="s">
        <v>20</v>
      </c>
      <c r="E1470" t="s">
        <v>21</v>
      </c>
      <c r="F1470" t="s">
        <v>28</v>
      </c>
      <c r="G1470">
        <v>34</v>
      </c>
      <c r="H1470" s="3">
        <v>210.48</v>
      </c>
      <c r="I1470" s="3">
        <v>111.27</v>
      </c>
      <c r="J1470" s="3">
        <f t="shared" si="66"/>
        <v>7156.32</v>
      </c>
      <c r="K1470" s="3">
        <f t="shared" si="67"/>
        <v>3783.18</v>
      </c>
      <c r="L1470" s="3">
        <f t="shared" si="68"/>
        <v>3373.14</v>
      </c>
    </row>
    <row r="1471" spans="1:12" x14ac:dyDescent="0.3">
      <c r="A1471">
        <v>1240</v>
      </c>
      <c r="B1471" s="2">
        <v>45902</v>
      </c>
      <c r="C1471" t="s">
        <v>12</v>
      </c>
      <c r="D1471" t="s">
        <v>20</v>
      </c>
      <c r="E1471" t="s">
        <v>21</v>
      </c>
      <c r="F1471" t="s">
        <v>19</v>
      </c>
      <c r="G1471">
        <v>32</v>
      </c>
      <c r="H1471" s="3">
        <v>299.97000000000003</v>
      </c>
      <c r="I1471" s="3">
        <v>191.6</v>
      </c>
      <c r="J1471" s="3">
        <f t="shared" si="66"/>
        <v>9599.0400000000009</v>
      </c>
      <c r="K1471" s="3">
        <f t="shared" si="67"/>
        <v>6131.2</v>
      </c>
      <c r="L1471" s="3">
        <f t="shared" si="68"/>
        <v>3467.8400000000011</v>
      </c>
    </row>
    <row r="1472" spans="1:12" x14ac:dyDescent="0.3">
      <c r="A1472">
        <v>2546</v>
      </c>
      <c r="B1472" s="2">
        <v>45902</v>
      </c>
      <c r="C1472" t="s">
        <v>23</v>
      </c>
      <c r="D1472" t="s">
        <v>20</v>
      </c>
      <c r="E1472" t="s">
        <v>42</v>
      </c>
      <c r="F1472" t="s">
        <v>39</v>
      </c>
      <c r="G1472">
        <v>32</v>
      </c>
      <c r="H1472" s="3">
        <v>286.35000000000002</v>
      </c>
      <c r="I1472" s="3">
        <v>210.88</v>
      </c>
      <c r="J1472" s="3">
        <f t="shared" si="66"/>
        <v>9163.2000000000007</v>
      </c>
      <c r="K1472" s="3">
        <f t="shared" si="67"/>
        <v>6748.16</v>
      </c>
      <c r="L1472" s="3">
        <f t="shared" si="68"/>
        <v>2415.0400000000009</v>
      </c>
    </row>
    <row r="1473" spans="1:12" x14ac:dyDescent="0.3">
      <c r="A1473">
        <v>1108</v>
      </c>
      <c r="B1473" s="2">
        <v>45903</v>
      </c>
      <c r="C1473" t="s">
        <v>16</v>
      </c>
      <c r="D1473" t="s">
        <v>29</v>
      </c>
      <c r="E1473" t="s">
        <v>41</v>
      </c>
      <c r="F1473" t="s">
        <v>36</v>
      </c>
      <c r="G1473">
        <v>7</v>
      </c>
      <c r="H1473" s="3">
        <v>354.98</v>
      </c>
      <c r="I1473" s="3">
        <v>226.42</v>
      </c>
      <c r="J1473" s="3">
        <f t="shared" si="66"/>
        <v>2484.86</v>
      </c>
      <c r="K1473" s="3">
        <f t="shared" si="67"/>
        <v>1584.9399999999998</v>
      </c>
      <c r="L1473" s="3">
        <f t="shared" si="68"/>
        <v>899.9200000000003</v>
      </c>
    </row>
    <row r="1474" spans="1:12" x14ac:dyDescent="0.3">
      <c r="A1474">
        <v>1238</v>
      </c>
      <c r="B1474" s="2">
        <v>45903</v>
      </c>
      <c r="C1474" t="s">
        <v>23</v>
      </c>
      <c r="D1474" t="s">
        <v>20</v>
      </c>
      <c r="E1474" t="s">
        <v>42</v>
      </c>
      <c r="F1474" t="s">
        <v>33</v>
      </c>
      <c r="G1474">
        <v>23</v>
      </c>
      <c r="H1474" s="3">
        <v>217.68</v>
      </c>
      <c r="I1474" s="3">
        <v>125.03</v>
      </c>
      <c r="J1474" s="3">
        <f t="shared" ref="J1474:J1537" si="69">G1474*H1474</f>
        <v>5006.6400000000003</v>
      </c>
      <c r="K1474" s="3">
        <f t="shared" ref="K1474:K1537" si="70">G1474*I1474</f>
        <v>2875.69</v>
      </c>
      <c r="L1474" s="3">
        <f t="shared" ref="L1474:L1537" si="71">J1474-K1474</f>
        <v>2130.9500000000003</v>
      </c>
    </row>
    <row r="1475" spans="1:12" x14ac:dyDescent="0.3">
      <c r="A1475">
        <v>2162</v>
      </c>
      <c r="B1475" s="2">
        <v>45904</v>
      </c>
      <c r="C1475" t="s">
        <v>16</v>
      </c>
      <c r="D1475" t="s">
        <v>13</v>
      </c>
      <c r="E1475" t="s">
        <v>24</v>
      </c>
      <c r="F1475" t="s">
        <v>25</v>
      </c>
      <c r="G1475">
        <v>1</v>
      </c>
      <c r="H1475" s="3">
        <v>15.69</v>
      </c>
      <c r="I1475" s="3">
        <v>11.64</v>
      </c>
      <c r="J1475" s="3">
        <f t="shared" si="69"/>
        <v>15.69</v>
      </c>
      <c r="K1475" s="3">
        <f t="shared" si="70"/>
        <v>11.64</v>
      </c>
      <c r="L1475" s="3">
        <f t="shared" si="71"/>
        <v>4.0499999999999989</v>
      </c>
    </row>
    <row r="1476" spans="1:12" x14ac:dyDescent="0.3">
      <c r="A1476">
        <v>2333</v>
      </c>
      <c r="B1476" s="2">
        <v>45904</v>
      </c>
      <c r="C1476" t="s">
        <v>32</v>
      </c>
      <c r="D1476" t="s">
        <v>13</v>
      </c>
      <c r="E1476" t="s">
        <v>14</v>
      </c>
      <c r="F1476" t="s">
        <v>33</v>
      </c>
      <c r="G1476">
        <v>16</v>
      </c>
      <c r="H1476" s="3">
        <v>43.87</v>
      </c>
      <c r="I1476" s="3">
        <v>25.68</v>
      </c>
      <c r="J1476" s="3">
        <f t="shared" si="69"/>
        <v>701.92</v>
      </c>
      <c r="K1476" s="3">
        <f t="shared" si="70"/>
        <v>410.88</v>
      </c>
      <c r="L1476" s="3">
        <f t="shared" si="71"/>
        <v>291.03999999999996</v>
      </c>
    </row>
    <row r="1477" spans="1:12" x14ac:dyDescent="0.3">
      <c r="A1477">
        <v>2360</v>
      </c>
      <c r="B1477" s="2">
        <v>45904</v>
      </c>
      <c r="C1477" t="s">
        <v>32</v>
      </c>
      <c r="D1477" t="s">
        <v>29</v>
      </c>
      <c r="E1477" t="s">
        <v>41</v>
      </c>
      <c r="F1477" t="s">
        <v>22</v>
      </c>
      <c r="G1477">
        <v>31</v>
      </c>
      <c r="H1477" s="3">
        <v>210.34</v>
      </c>
      <c r="I1477" s="3">
        <v>105.75</v>
      </c>
      <c r="J1477" s="3">
        <f t="shared" si="69"/>
        <v>6520.54</v>
      </c>
      <c r="K1477" s="3">
        <f t="shared" si="70"/>
        <v>3278.25</v>
      </c>
      <c r="L1477" s="3">
        <f t="shared" si="71"/>
        <v>3242.29</v>
      </c>
    </row>
    <row r="1478" spans="1:12" x14ac:dyDescent="0.3">
      <c r="A1478">
        <v>2373</v>
      </c>
      <c r="B1478" s="2">
        <v>45904</v>
      </c>
      <c r="C1478" t="s">
        <v>32</v>
      </c>
      <c r="D1478" t="s">
        <v>20</v>
      </c>
      <c r="E1478" t="s">
        <v>42</v>
      </c>
      <c r="F1478" t="s">
        <v>25</v>
      </c>
      <c r="G1478">
        <v>6</v>
      </c>
      <c r="H1478" s="3">
        <v>139.99</v>
      </c>
      <c r="I1478" s="3">
        <v>101.37</v>
      </c>
      <c r="J1478" s="3">
        <f t="shared" si="69"/>
        <v>839.94</v>
      </c>
      <c r="K1478" s="3">
        <f t="shared" si="70"/>
        <v>608.22</v>
      </c>
      <c r="L1478" s="3">
        <f t="shared" si="71"/>
        <v>231.72000000000003</v>
      </c>
    </row>
    <row r="1479" spans="1:12" x14ac:dyDescent="0.3">
      <c r="A1479">
        <v>1014</v>
      </c>
      <c r="B1479" s="2">
        <v>45905</v>
      </c>
      <c r="C1479" t="s">
        <v>32</v>
      </c>
      <c r="D1479" t="s">
        <v>20</v>
      </c>
      <c r="E1479" t="s">
        <v>42</v>
      </c>
      <c r="F1479" t="s">
        <v>25</v>
      </c>
      <c r="G1479">
        <v>24</v>
      </c>
      <c r="H1479" s="3">
        <v>36.22</v>
      </c>
      <c r="I1479" s="3">
        <v>26.06</v>
      </c>
      <c r="J1479" s="3">
        <f t="shared" si="69"/>
        <v>869.28</v>
      </c>
      <c r="K1479" s="3">
        <f t="shared" si="70"/>
        <v>625.43999999999994</v>
      </c>
      <c r="L1479" s="3">
        <f t="shared" si="71"/>
        <v>243.84000000000003</v>
      </c>
    </row>
    <row r="1480" spans="1:12" x14ac:dyDescent="0.3">
      <c r="A1480">
        <v>1595</v>
      </c>
      <c r="B1480" s="2">
        <v>45905</v>
      </c>
      <c r="C1480" t="s">
        <v>12</v>
      </c>
      <c r="D1480" t="s">
        <v>29</v>
      </c>
      <c r="E1480" t="s">
        <v>43</v>
      </c>
      <c r="F1480" t="s">
        <v>15</v>
      </c>
      <c r="G1480">
        <v>18</v>
      </c>
      <c r="H1480" s="3">
        <v>120.25</v>
      </c>
      <c r="I1480" s="3">
        <v>84.88</v>
      </c>
      <c r="J1480" s="3">
        <f t="shared" si="69"/>
        <v>2164.5</v>
      </c>
      <c r="K1480" s="3">
        <f t="shared" si="70"/>
        <v>1527.84</v>
      </c>
      <c r="L1480" s="3">
        <f t="shared" si="71"/>
        <v>636.66000000000008</v>
      </c>
    </row>
    <row r="1481" spans="1:12" x14ac:dyDescent="0.3">
      <c r="A1481">
        <v>1854</v>
      </c>
      <c r="B1481" s="2">
        <v>45905</v>
      </c>
      <c r="C1481" t="s">
        <v>32</v>
      </c>
      <c r="D1481" t="s">
        <v>13</v>
      </c>
      <c r="E1481" t="s">
        <v>31</v>
      </c>
      <c r="F1481" t="s">
        <v>22</v>
      </c>
      <c r="G1481">
        <v>37</v>
      </c>
      <c r="H1481" s="3">
        <v>58.43</v>
      </c>
      <c r="I1481" s="3">
        <v>36.450000000000003</v>
      </c>
      <c r="J1481" s="3">
        <f t="shared" si="69"/>
        <v>2161.91</v>
      </c>
      <c r="K1481" s="3">
        <f t="shared" si="70"/>
        <v>1348.65</v>
      </c>
      <c r="L1481" s="3">
        <f t="shared" si="71"/>
        <v>813.25999999999976</v>
      </c>
    </row>
    <row r="1482" spans="1:12" x14ac:dyDescent="0.3">
      <c r="A1482">
        <v>2048</v>
      </c>
      <c r="B1482" s="2">
        <v>45905</v>
      </c>
      <c r="C1482" t="s">
        <v>23</v>
      </c>
      <c r="D1482" t="s">
        <v>17</v>
      </c>
      <c r="E1482" t="s">
        <v>40</v>
      </c>
      <c r="F1482" t="s">
        <v>39</v>
      </c>
      <c r="G1482">
        <v>36</v>
      </c>
      <c r="H1482" s="3">
        <v>727.54</v>
      </c>
      <c r="I1482" s="3">
        <v>422.31</v>
      </c>
      <c r="J1482" s="3">
        <f t="shared" si="69"/>
        <v>26191.439999999999</v>
      </c>
      <c r="K1482" s="3">
        <f t="shared" si="70"/>
        <v>15203.16</v>
      </c>
      <c r="L1482" s="3">
        <f t="shared" si="71"/>
        <v>10988.279999999999</v>
      </c>
    </row>
    <row r="1483" spans="1:12" x14ac:dyDescent="0.3">
      <c r="A1483">
        <v>2093</v>
      </c>
      <c r="B1483" s="2">
        <v>45905</v>
      </c>
      <c r="C1483" t="s">
        <v>32</v>
      </c>
      <c r="D1483" t="s">
        <v>29</v>
      </c>
      <c r="E1483" t="s">
        <v>41</v>
      </c>
      <c r="F1483" t="s">
        <v>33</v>
      </c>
      <c r="G1483">
        <v>19</v>
      </c>
      <c r="H1483" s="3">
        <v>192.24</v>
      </c>
      <c r="I1483" s="3">
        <v>116.16</v>
      </c>
      <c r="J1483" s="3">
        <f t="shared" si="69"/>
        <v>3652.5600000000004</v>
      </c>
      <c r="K1483" s="3">
        <f t="shared" si="70"/>
        <v>2207.04</v>
      </c>
      <c r="L1483" s="3">
        <f t="shared" si="71"/>
        <v>1445.5200000000004</v>
      </c>
    </row>
    <row r="1484" spans="1:12" x14ac:dyDescent="0.3">
      <c r="A1484">
        <v>1323</v>
      </c>
      <c r="B1484" s="2">
        <v>45906</v>
      </c>
      <c r="C1484" t="s">
        <v>23</v>
      </c>
      <c r="D1484" t="s">
        <v>29</v>
      </c>
      <c r="E1484" t="s">
        <v>37</v>
      </c>
      <c r="F1484" t="s">
        <v>22</v>
      </c>
      <c r="G1484">
        <v>32</v>
      </c>
      <c r="H1484" s="3">
        <v>255.8</v>
      </c>
      <c r="I1484" s="3">
        <v>130.16</v>
      </c>
      <c r="J1484" s="3">
        <f t="shared" si="69"/>
        <v>8185.6</v>
      </c>
      <c r="K1484" s="3">
        <f t="shared" si="70"/>
        <v>4165.12</v>
      </c>
      <c r="L1484" s="3">
        <f t="shared" si="71"/>
        <v>4020.4800000000005</v>
      </c>
    </row>
    <row r="1485" spans="1:12" x14ac:dyDescent="0.3">
      <c r="A1485">
        <v>1606</v>
      </c>
      <c r="B1485" s="2">
        <v>45906</v>
      </c>
      <c r="C1485" t="s">
        <v>32</v>
      </c>
      <c r="D1485" t="s">
        <v>20</v>
      </c>
      <c r="E1485" t="s">
        <v>34</v>
      </c>
      <c r="F1485" t="s">
        <v>36</v>
      </c>
      <c r="G1485">
        <v>19</v>
      </c>
      <c r="H1485" s="3">
        <v>270.52999999999997</v>
      </c>
      <c r="I1485" s="3">
        <v>189.54</v>
      </c>
      <c r="J1485" s="3">
        <f t="shared" si="69"/>
        <v>5140.07</v>
      </c>
      <c r="K1485" s="3">
        <f t="shared" si="70"/>
        <v>3601.2599999999998</v>
      </c>
      <c r="L1485" s="3">
        <f t="shared" si="71"/>
        <v>1538.81</v>
      </c>
    </row>
    <row r="1486" spans="1:12" x14ac:dyDescent="0.3">
      <c r="A1486">
        <v>1912</v>
      </c>
      <c r="B1486" s="2">
        <v>45906</v>
      </c>
      <c r="C1486" t="s">
        <v>32</v>
      </c>
      <c r="D1486" t="s">
        <v>29</v>
      </c>
      <c r="E1486" t="s">
        <v>37</v>
      </c>
      <c r="F1486" t="s">
        <v>36</v>
      </c>
      <c r="G1486">
        <v>16</v>
      </c>
      <c r="H1486" s="3">
        <v>338.83</v>
      </c>
      <c r="I1486" s="3">
        <v>173.78</v>
      </c>
      <c r="J1486" s="3">
        <f t="shared" si="69"/>
        <v>5421.28</v>
      </c>
      <c r="K1486" s="3">
        <f t="shared" si="70"/>
        <v>2780.48</v>
      </c>
      <c r="L1486" s="3">
        <f t="shared" si="71"/>
        <v>2640.7999999999997</v>
      </c>
    </row>
    <row r="1487" spans="1:12" x14ac:dyDescent="0.3">
      <c r="A1487">
        <v>1984</v>
      </c>
      <c r="B1487" s="2">
        <v>45907</v>
      </c>
      <c r="C1487" t="s">
        <v>16</v>
      </c>
      <c r="D1487" t="s">
        <v>29</v>
      </c>
      <c r="E1487" t="s">
        <v>30</v>
      </c>
      <c r="F1487" t="s">
        <v>39</v>
      </c>
      <c r="G1487">
        <v>19</v>
      </c>
      <c r="H1487" s="3">
        <v>375.37</v>
      </c>
      <c r="I1487" s="3">
        <v>269.47000000000003</v>
      </c>
      <c r="J1487" s="3">
        <f t="shared" si="69"/>
        <v>7132.03</v>
      </c>
      <c r="K1487" s="3">
        <f t="shared" si="70"/>
        <v>5119.93</v>
      </c>
      <c r="L1487" s="3">
        <f t="shared" si="71"/>
        <v>2012.0999999999995</v>
      </c>
    </row>
    <row r="1488" spans="1:12" x14ac:dyDescent="0.3">
      <c r="A1488">
        <v>2481</v>
      </c>
      <c r="B1488" s="2">
        <v>45908</v>
      </c>
      <c r="C1488" t="s">
        <v>32</v>
      </c>
      <c r="D1488" t="s">
        <v>13</v>
      </c>
      <c r="E1488" t="s">
        <v>46</v>
      </c>
      <c r="F1488" t="s">
        <v>19</v>
      </c>
      <c r="G1488">
        <v>36</v>
      </c>
      <c r="H1488" s="3">
        <v>50.65</v>
      </c>
      <c r="I1488" s="3">
        <v>36.69</v>
      </c>
      <c r="J1488" s="3">
        <f t="shared" si="69"/>
        <v>1823.3999999999999</v>
      </c>
      <c r="K1488" s="3">
        <f t="shared" si="70"/>
        <v>1320.84</v>
      </c>
      <c r="L1488" s="3">
        <f t="shared" si="71"/>
        <v>502.55999999999995</v>
      </c>
    </row>
    <row r="1489" spans="1:12" x14ac:dyDescent="0.3">
      <c r="A1489">
        <v>2114</v>
      </c>
      <c r="B1489" s="2">
        <v>45910</v>
      </c>
      <c r="C1489" t="s">
        <v>32</v>
      </c>
      <c r="D1489" t="s">
        <v>13</v>
      </c>
      <c r="E1489" t="s">
        <v>24</v>
      </c>
      <c r="F1489" t="s">
        <v>28</v>
      </c>
      <c r="G1489">
        <v>5</v>
      </c>
      <c r="H1489" s="3">
        <v>4.84</v>
      </c>
      <c r="I1489" s="3">
        <v>3.62</v>
      </c>
      <c r="J1489" s="3">
        <f t="shared" si="69"/>
        <v>24.2</v>
      </c>
      <c r="K1489" s="3">
        <f t="shared" si="70"/>
        <v>18.100000000000001</v>
      </c>
      <c r="L1489" s="3">
        <f t="shared" si="71"/>
        <v>6.0999999999999979</v>
      </c>
    </row>
    <row r="1490" spans="1:12" x14ac:dyDescent="0.3">
      <c r="A1490">
        <v>2145</v>
      </c>
      <c r="B1490" s="2">
        <v>45910</v>
      </c>
      <c r="C1490" t="s">
        <v>26</v>
      </c>
      <c r="D1490" t="s">
        <v>13</v>
      </c>
      <c r="E1490" t="s">
        <v>45</v>
      </c>
      <c r="F1490" t="s">
        <v>36</v>
      </c>
      <c r="G1490">
        <v>28</v>
      </c>
      <c r="H1490" s="3">
        <v>30.72</v>
      </c>
      <c r="I1490" s="3">
        <v>22.37</v>
      </c>
      <c r="J1490" s="3">
        <f t="shared" si="69"/>
        <v>860.16</v>
      </c>
      <c r="K1490" s="3">
        <f t="shared" si="70"/>
        <v>626.36</v>
      </c>
      <c r="L1490" s="3">
        <f t="shared" si="71"/>
        <v>233.79999999999995</v>
      </c>
    </row>
    <row r="1491" spans="1:12" x14ac:dyDescent="0.3">
      <c r="A1491">
        <v>2199</v>
      </c>
      <c r="B1491" s="2">
        <v>45910</v>
      </c>
      <c r="C1491" t="s">
        <v>12</v>
      </c>
      <c r="D1491" t="s">
        <v>29</v>
      </c>
      <c r="E1491" t="s">
        <v>37</v>
      </c>
      <c r="F1491" t="s">
        <v>28</v>
      </c>
      <c r="G1491">
        <v>18</v>
      </c>
      <c r="H1491" s="3">
        <v>339.9</v>
      </c>
      <c r="I1491" s="3">
        <v>207.01</v>
      </c>
      <c r="J1491" s="3">
        <f t="shared" si="69"/>
        <v>6118.2</v>
      </c>
      <c r="K1491" s="3">
        <f t="shared" si="70"/>
        <v>3726.18</v>
      </c>
      <c r="L1491" s="3">
        <f t="shared" si="71"/>
        <v>2392.02</v>
      </c>
    </row>
    <row r="1492" spans="1:12" x14ac:dyDescent="0.3">
      <c r="A1492">
        <v>1479</v>
      </c>
      <c r="B1492" s="2">
        <v>45911</v>
      </c>
      <c r="C1492" t="s">
        <v>23</v>
      </c>
      <c r="D1492" t="s">
        <v>29</v>
      </c>
      <c r="E1492" t="s">
        <v>37</v>
      </c>
      <c r="F1492" t="s">
        <v>36</v>
      </c>
      <c r="G1492">
        <v>32</v>
      </c>
      <c r="H1492" s="3">
        <v>175.03</v>
      </c>
      <c r="I1492" s="3">
        <v>129.91</v>
      </c>
      <c r="J1492" s="3">
        <f t="shared" si="69"/>
        <v>5600.96</v>
      </c>
      <c r="K1492" s="3">
        <f t="shared" si="70"/>
        <v>4157.12</v>
      </c>
      <c r="L1492" s="3">
        <f t="shared" si="71"/>
        <v>1443.8400000000001</v>
      </c>
    </row>
    <row r="1493" spans="1:12" x14ac:dyDescent="0.3">
      <c r="A1493">
        <v>2256</v>
      </c>
      <c r="B1493" s="2">
        <v>45911</v>
      </c>
      <c r="C1493" t="s">
        <v>12</v>
      </c>
      <c r="D1493" t="s">
        <v>20</v>
      </c>
      <c r="E1493" t="s">
        <v>38</v>
      </c>
      <c r="F1493" t="s">
        <v>22</v>
      </c>
      <c r="G1493">
        <v>29</v>
      </c>
      <c r="H1493" s="3">
        <v>75.36</v>
      </c>
      <c r="I1493" s="3">
        <v>40.39</v>
      </c>
      <c r="J1493" s="3">
        <f t="shared" si="69"/>
        <v>2185.44</v>
      </c>
      <c r="K1493" s="3">
        <f t="shared" si="70"/>
        <v>1171.31</v>
      </c>
      <c r="L1493" s="3">
        <f t="shared" si="71"/>
        <v>1014.1300000000001</v>
      </c>
    </row>
    <row r="1494" spans="1:12" x14ac:dyDescent="0.3">
      <c r="A1494">
        <v>2275</v>
      </c>
      <c r="B1494" s="2">
        <v>45911</v>
      </c>
      <c r="C1494" t="s">
        <v>26</v>
      </c>
      <c r="D1494" t="s">
        <v>29</v>
      </c>
      <c r="E1494" t="s">
        <v>30</v>
      </c>
      <c r="F1494" t="s">
        <v>39</v>
      </c>
      <c r="G1494">
        <v>34</v>
      </c>
      <c r="H1494" s="3">
        <v>412.1</v>
      </c>
      <c r="I1494" s="3">
        <v>290.38</v>
      </c>
      <c r="J1494" s="3">
        <f t="shared" si="69"/>
        <v>14011.400000000001</v>
      </c>
      <c r="K1494" s="3">
        <f t="shared" si="70"/>
        <v>9872.92</v>
      </c>
      <c r="L1494" s="3">
        <f t="shared" si="71"/>
        <v>4138.4800000000014</v>
      </c>
    </row>
    <row r="1495" spans="1:12" x14ac:dyDescent="0.3">
      <c r="A1495">
        <v>2526</v>
      </c>
      <c r="B1495" s="2">
        <v>45911</v>
      </c>
      <c r="C1495" t="s">
        <v>12</v>
      </c>
      <c r="D1495" t="s">
        <v>20</v>
      </c>
      <c r="E1495" t="s">
        <v>42</v>
      </c>
      <c r="F1495" t="s">
        <v>15</v>
      </c>
      <c r="G1495">
        <v>24</v>
      </c>
      <c r="H1495" s="3">
        <v>259.81</v>
      </c>
      <c r="I1495" s="3">
        <v>152.53</v>
      </c>
      <c r="J1495" s="3">
        <f t="shared" si="69"/>
        <v>6235.4400000000005</v>
      </c>
      <c r="K1495" s="3">
        <f t="shared" si="70"/>
        <v>3660.7200000000003</v>
      </c>
      <c r="L1495" s="3">
        <f t="shared" si="71"/>
        <v>2574.7200000000003</v>
      </c>
    </row>
    <row r="1496" spans="1:12" x14ac:dyDescent="0.3">
      <c r="A1496">
        <v>2710</v>
      </c>
      <c r="B1496" s="2">
        <v>45911</v>
      </c>
      <c r="C1496" t="s">
        <v>12</v>
      </c>
      <c r="D1496" t="s">
        <v>13</v>
      </c>
      <c r="E1496" t="s">
        <v>46</v>
      </c>
      <c r="F1496" t="s">
        <v>36</v>
      </c>
      <c r="G1496">
        <v>23</v>
      </c>
      <c r="H1496" s="3">
        <v>39.89</v>
      </c>
      <c r="I1496" s="3">
        <v>21.24</v>
      </c>
      <c r="J1496" s="3">
        <f t="shared" si="69"/>
        <v>917.47</v>
      </c>
      <c r="K1496" s="3">
        <f t="shared" si="70"/>
        <v>488.52</v>
      </c>
      <c r="L1496" s="3">
        <f t="shared" si="71"/>
        <v>428.95000000000005</v>
      </c>
    </row>
    <row r="1497" spans="1:12" x14ac:dyDescent="0.3">
      <c r="A1497">
        <v>1698</v>
      </c>
      <c r="B1497" s="2">
        <v>45912</v>
      </c>
      <c r="C1497" t="s">
        <v>12</v>
      </c>
      <c r="D1497" t="s">
        <v>13</v>
      </c>
      <c r="E1497" t="s">
        <v>46</v>
      </c>
      <c r="F1497" t="s">
        <v>28</v>
      </c>
      <c r="G1497">
        <v>29</v>
      </c>
      <c r="H1497" s="3">
        <v>11.49</v>
      </c>
      <c r="I1497" s="3">
        <v>7.54</v>
      </c>
      <c r="J1497" s="3">
        <f t="shared" si="69"/>
        <v>333.21</v>
      </c>
      <c r="K1497" s="3">
        <f t="shared" si="70"/>
        <v>218.66</v>
      </c>
      <c r="L1497" s="3">
        <f t="shared" si="71"/>
        <v>114.54999999999998</v>
      </c>
    </row>
    <row r="1498" spans="1:12" x14ac:dyDescent="0.3">
      <c r="A1498">
        <v>1117</v>
      </c>
      <c r="B1498" s="2">
        <v>45913</v>
      </c>
      <c r="C1498" t="s">
        <v>23</v>
      </c>
      <c r="D1498" t="s">
        <v>20</v>
      </c>
      <c r="E1498" t="s">
        <v>38</v>
      </c>
      <c r="F1498" t="s">
        <v>39</v>
      </c>
      <c r="G1498">
        <v>33</v>
      </c>
      <c r="H1498" s="3">
        <v>209.98</v>
      </c>
      <c r="I1498" s="3">
        <v>130.54</v>
      </c>
      <c r="J1498" s="3">
        <f t="shared" si="69"/>
        <v>6929.3399999999992</v>
      </c>
      <c r="K1498" s="3">
        <f t="shared" si="70"/>
        <v>4307.82</v>
      </c>
      <c r="L1498" s="3">
        <f t="shared" si="71"/>
        <v>2621.5199999999995</v>
      </c>
    </row>
    <row r="1499" spans="1:12" x14ac:dyDescent="0.3">
      <c r="A1499">
        <v>1979</v>
      </c>
      <c r="B1499" s="2">
        <v>45913</v>
      </c>
      <c r="C1499" t="s">
        <v>26</v>
      </c>
      <c r="D1499" t="s">
        <v>13</v>
      </c>
      <c r="E1499" t="s">
        <v>31</v>
      </c>
      <c r="F1499" t="s">
        <v>25</v>
      </c>
      <c r="G1499">
        <v>29</v>
      </c>
      <c r="H1499" s="3">
        <v>59.37</v>
      </c>
      <c r="I1499" s="3">
        <v>33.43</v>
      </c>
      <c r="J1499" s="3">
        <f t="shared" si="69"/>
        <v>1721.73</v>
      </c>
      <c r="K1499" s="3">
        <f t="shared" si="70"/>
        <v>969.47</v>
      </c>
      <c r="L1499" s="3">
        <f t="shared" si="71"/>
        <v>752.26</v>
      </c>
    </row>
    <row r="1500" spans="1:12" x14ac:dyDescent="0.3">
      <c r="A1500">
        <v>1320</v>
      </c>
      <c r="B1500" s="2">
        <v>45914</v>
      </c>
      <c r="C1500" t="s">
        <v>32</v>
      </c>
      <c r="D1500" t="s">
        <v>29</v>
      </c>
      <c r="E1500" t="s">
        <v>41</v>
      </c>
      <c r="F1500" t="s">
        <v>36</v>
      </c>
      <c r="G1500">
        <v>23</v>
      </c>
      <c r="H1500" s="3">
        <v>206.9</v>
      </c>
      <c r="I1500" s="3">
        <v>135.71</v>
      </c>
      <c r="J1500" s="3">
        <f t="shared" si="69"/>
        <v>4758.7</v>
      </c>
      <c r="K1500" s="3">
        <f t="shared" si="70"/>
        <v>3121.3300000000004</v>
      </c>
      <c r="L1500" s="3">
        <f t="shared" si="71"/>
        <v>1637.3699999999994</v>
      </c>
    </row>
    <row r="1501" spans="1:12" x14ac:dyDescent="0.3">
      <c r="A1501">
        <v>2287</v>
      </c>
      <c r="B1501" s="2">
        <v>45914</v>
      </c>
      <c r="C1501" t="s">
        <v>32</v>
      </c>
      <c r="D1501" t="s">
        <v>29</v>
      </c>
      <c r="E1501" t="s">
        <v>37</v>
      </c>
      <c r="F1501" t="s">
        <v>33</v>
      </c>
      <c r="G1501">
        <v>17</v>
      </c>
      <c r="H1501" s="3">
        <v>269.69</v>
      </c>
      <c r="I1501" s="3">
        <v>200.09</v>
      </c>
      <c r="J1501" s="3">
        <f t="shared" si="69"/>
        <v>4584.7299999999996</v>
      </c>
      <c r="K1501" s="3">
        <f t="shared" si="70"/>
        <v>3401.53</v>
      </c>
      <c r="L1501" s="3">
        <f t="shared" si="71"/>
        <v>1183.1999999999994</v>
      </c>
    </row>
    <row r="1502" spans="1:12" x14ac:dyDescent="0.3">
      <c r="A1502">
        <v>2519</v>
      </c>
      <c r="B1502" s="2">
        <v>45914</v>
      </c>
      <c r="C1502" t="s">
        <v>32</v>
      </c>
      <c r="D1502" t="s">
        <v>17</v>
      </c>
      <c r="E1502" t="s">
        <v>44</v>
      </c>
      <c r="F1502" t="s">
        <v>25</v>
      </c>
      <c r="G1502">
        <v>36</v>
      </c>
      <c r="H1502" s="3">
        <v>656.92</v>
      </c>
      <c r="I1502" s="3">
        <v>413.68</v>
      </c>
      <c r="J1502" s="3">
        <f t="shared" si="69"/>
        <v>23649.119999999999</v>
      </c>
      <c r="K1502" s="3">
        <f t="shared" si="70"/>
        <v>14892.48</v>
      </c>
      <c r="L1502" s="3">
        <f t="shared" si="71"/>
        <v>8756.64</v>
      </c>
    </row>
    <row r="1503" spans="1:12" x14ac:dyDescent="0.3">
      <c r="A1503">
        <v>2388</v>
      </c>
      <c r="B1503" s="2">
        <v>45915</v>
      </c>
      <c r="C1503" t="s">
        <v>16</v>
      </c>
      <c r="D1503" t="s">
        <v>13</v>
      </c>
      <c r="E1503" t="s">
        <v>31</v>
      </c>
      <c r="F1503" t="s">
        <v>39</v>
      </c>
      <c r="G1503">
        <v>29</v>
      </c>
      <c r="H1503" s="3">
        <v>53.82</v>
      </c>
      <c r="I1503" s="3">
        <v>35.9</v>
      </c>
      <c r="J1503" s="3">
        <f t="shared" si="69"/>
        <v>1560.78</v>
      </c>
      <c r="K1503" s="3">
        <f t="shared" si="70"/>
        <v>1041.0999999999999</v>
      </c>
      <c r="L1503" s="3">
        <f t="shared" si="71"/>
        <v>519.68000000000006</v>
      </c>
    </row>
    <row r="1504" spans="1:12" x14ac:dyDescent="0.3">
      <c r="A1504">
        <v>1129</v>
      </c>
      <c r="B1504" s="2">
        <v>45916</v>
      </c>
      <c r="C1504" t="s">
        <v>12</v>
      </c>
      <c r="D1504" t="s">
        <v>29</v>
      </c>
      <c r="E1504" t="s">
        <v>43</v>
      </c>
      <c r="F1504" t="s">
        <v>15</v>
      </c>
      <c r="G1504">
        <v>25</v>
      </c>
      <c r="H1504" s="3">
        <v>331.11</v>
      </c>
      <c r="I1504" s="3">
        <v>219.14</v>
      </c>
      <c r="J1504" s="3">
        <f t="shared" si="69"/>
        <v>8277.75</v>
      </c>
      <c r="K1504" s="3">
        <f t="shared" si="70"/>
        <v>5478.5</v>
      </c>
      <c r="L1504" s="3">
        <f t="shared" si="71"/>
        <v>2799.25</v>
      </c>
    </row>
    <row r="1505" spans="1:12" x14ac:dyDescent="0.3">
      <c r="A1505">
        <v>1998</v>
      </c>
      <c r="B1505" s="2">
        <v>45916</v>
      </c>
      <c r="C1505" t="s">
        <v>23</v>
      </c>
      <c r="D1505" t="s">
        <v>20</v>
      </c>
      <c r="E1505" t="s">
        <v>42</v>
      </c>
      <c r="F1505" t="s">
        <v>36</v>
      </c>
      <c r="G1505">
        <v>25</v>
      </c>
      <c r="H1505" s="3">
        <v>204.78</v>
      </c>
      <c r="I1505" s="3">
        <v>129.65</v>
      </c>
      <c r="J1505" s="3">
        <f t="shared" si="69"/>
        <v>5119.5</v>
      </c>
      <c r="K1505" s="3">
        <f t="shared" si="70"/>
        <v>3241.25</v>
      </c>
      <c r="L1505" s="3">
        <f t="shared" si="71"/>
        <v>1878.25</v>
      </c>
    </row>
    <row r="1506" spans="1:12" x14ac:dyDescent="0.3">
      <c r="A1506">
        <v>2594</v>
      </c>
      <c r="B1506" s="2">
        <v>45916</v>
      </c>
      <c r="C1506" t="s">
        <v>23</v>
      </c>
      <c r="D1506" t="s">
        <v>20</v>
      </c>
      <c r="E1506" t="s">
        <v>34</v>
      </c>
      <c r="F1506" t="s">
        <v>15</v>
      </c>
      <c r="G1506">
        <v>40</v>
      </c>
      <c r="H1506" s="3">
        <v>62.47</v>
      </c>
      <c r="I1506" s="3">
        <v>38.17</v>
      </c>
      <c r="J1506" s="3">
        <f t="shared" si="69"/>
        <v>2498.8000000000002</v>
      </c>
      <c r="K1506" s="3">
        <f t="shared" si="70"/>
        <v>1526.8000000000002</v>
      </c>
      <c r="L1506" s="3">
        <f t="shared" si="71"/>
        <v>972</v>
      </c>
    </row>
    <row r="1507" spans="1:12" x14ac:dyDescent="0.3">
      <c r="A1507">
        <v>2545</v>
      </c>
      <c r="B1507" s="2">
        <v>45917</v>
      </c>
      <c r="C1507" t="s">
        <v>26</v>
      </c>
      <c r="D1507" t="s">
        <v>13</v>
      </c>
      <c r="E1507" t="s">
        <v>14</v>
      </c>
      <c r="F1507" t="s">
        <v>28</v>
      </c>
      <c r="G1507">
        <v>1</v>
      </c>
      <c r="H1507" s="3">
        <v>12.94</v>
      </c>
      <c r="I1507" s="3">
        <v>7.27</v>
      </c>
      <c r="J1507" s="3">
        <f t="shared" si="69"/>
        <v>12.94</v>
      </c>
      <c r="K1507" s="3">
        <f t="shared" si="70"/>
        <v>7.27</v>
      </c>
      <c r="L1507" s="3">
        <f t="shared" si="71"/>
        <v>5.67</v>
      </c>
    </row>
    <row r="1508" spans="1:12" x14ac:dyDescent="0.3">
      <c r="A1508">
        <v>1175</v>
      </c>
      <c r="B1508" s="2">
        <v>45918</v>
      </c>
      <c r="C1508" t="s">
        <v>23</v>
      </c>
      <c r="D1508" t="s">
        <v>17</v>
      </c>
      <c r="E1508" t="s">
        <v>44</v>
      </c>
      <c r="F1508" t="s">
        <v>39</v>
      </c>
      <c r="G1508">
        <v>36</v>
      </c>
      <c r="H1508" s="3">
        <v>333.04</v>
      </c>
      <c r="I1508" s="3">
        <v>180.94</v>
      </c>
      <c r="J1508" s="3">
        <f t="shared" si="69"/>
        <v>11989.44</v>
      </c>
      <c r="K1508" s="3">
        <f t="shared" si="70"/>
        <v>6513.84</v>
      </c>
      <c r="L1508" s="3">
        <f t="shared" si="71"/>
        <v>5475.6</v>
      </c>
    </row>
    <row r="1509" spans="1:12" x14ac:dyDescent="0.3">
      <c r="A1509">
        <v>1564</v>
      </c>
      <c r="B1509" s="2">
        <v>45918</v>
      </c>
      <c r="C1509" t="s">
        <v>12</v>
      </c>
      <c r="D1509" t="s">
        <v>13</v>
      </c>
      <c r="E1509" t="s">
        <v>45</v>
      </c>
      <c r="F1509" t="s">
        <v>36</v>
      </c>
      <c r="G1509">
        <v>34</v>
      </c>
      <c r="H1509" s="3">
        <v>59.75</v>
      </c>
      <c r="I1509" s="3">
        <v>34.049999999999997</v>
      </c>
      <c r="J1509" s="3">
        <f t="shared" si="69"/>
        <v>2031.5</v>
      </c>
      <c r="K1509" s="3">
        <f t="shared" si="70"/>
        <v>1157.6999999999998</v>
      </c>
      <c r="L1509" s="3">
        <f t="shared" si="71"/>
        <v>873.80000000000018</v>
      </c>
    </row>
    <row r="1510" spans="1:12" x14ac:dyDescent="0.3">
      <c r="A1510">
        <v>1797</v>
      </c>
      <c r="B1510" s="2">
        <v>45919</v>
      </c>
      <c r="C1510" t="s">
        <v>26</v>
      </c>
      <c r="D1510" t="s">
        <v>29</v>
      </c>
      <c r="E1510" t="s">
        <v>41</v>
      </c>
      <c r="F1510" t="s">
        <v>28</v>
      </c>
      <c r="G1510">
        <v>7</v>
      </c>
      <c r="H1510" s="3">
        <v>161.93</v>
      </c>
      <c r="I1510" s="3">
        <v>102.02</v>
      </c>
      <c r="J1510" s="3">
        <f t="shared" si="69"/>
        <v>1133.51</v>
      </c>
      <c r="K1510" s="3">
        <f t="shared" si="70"/>
        <v>714.14</v>
      </c>
      <c r="L1510" s="3">
        <f t="shared" si="71"/>
        <v>419.37</v>
      </c>
    </row>
    <row r="1511" spans="1:12" x14ac:dyDescent="0.3">
      <c r="A1511">
        <v>1970</v>
      </c>
      <c r="B1511" s="2">
        <v>45919</v>
      </c>
      <c r="C1511" t="s">
        <v>23</v>
      </c>
      <c r="D1511" t="s">
        <v>17</v>
      </c>
      <c r="E1511" t="s">
        <v>18</v>
      </c>
      <c r="F1511" t="s">
        <v>19</v>
      </c>
      <c r="G1511">
        <v>2</v>
      </c>
      <c r="H1511" s="3">
        <v>215.24</v>
      </c>
      <c r="I1511" s="3">
        <v>147.53</v>
      </c>
      <c r="J1511" s="3">
        <f t="shared" si="69"/>
        <v>430.48</v>
      </c>
      <c r="K1511" s="3">
        <f t="shared" si="70"/>
        <v>295.06</v>
      </c>
      <c r="L1511" s="3">
        <f t="shared" si="71"/>
        <v>135.42000000000002</v>
      </c>
    </row>
    <row r="1512" spans="1:12" x14ac:dyDescent="0.3">
      <c r="A1512">
        <v>2176</v>
      </c>
      <c r="B1512" s="2">
        <v>45919</v>
      </c>
      <c r="C1512" t="s">
        <v>16</v>
      </c>
      <c r="D1512" t="s">
        <v>17</v>
      </c>
      <c r="E1512" t="s">
        <v>27</v>
      </c>
      <c r="F1512" t="s">
        <v>36</v>
      </c>
      <c r="G1512">
        <v>9</v>
      </c>
      <c r="H1512" s="3">
        <v>180.78</v>
      </c>
      <c r="I1512" s="3">
        <v>133.37</v>
      </c>
      <c r="J1512" s="3">
        <f t="shared" si="69"/>
        <v>1627.02</v>
      </c>
      <c r="K1512" s="3">
        <f t="shared" si="70"/>
        <v>1200.33</v>
      </c>
      <c r="L1512" s="3">
        <f t="shared" si="71"/>
        <v>426.69000000000005</v>
      </c>
    </row>
    <row r="1513" spans="1:12" x14ac:dyDescent="0.3">
      <c r="A1513">
        <v>2211</v>
      </c>
      <c r="B1513" s="2">
        <v>45919</v>
      </c>
      <c r="C1513" t="s">
        <v>32</v>
      </c>
      <c r="D1513" t="s">
        <v>20</v>
      </c>
      <c r="E1513" t="s">
        <v>21</v>
      </c>
      <c r="F1513" t="s">
        <v>28</v>
      </c>
      <c r="G1513">
        <v>8</v>
      </c>
      <c r="H1513" s="3">
        <v>59.59</v>
      </c>
      <c r="I1513" s="3">
        <v>44.1</v>
      </c>
      <c r="J1513" s="3">
        <f t="shared" si="69"/>
        <v>476.72</v>
      </c>
      <c r="K1513" s="3">
        <f t="shared" si="70"/>
        <v>352.8</v>
      </c>
      <c r="L1513" s="3">
        <f t="shared" si="71"/>
        <v>123.92000000000002</v>
      </c>
    </row>
    <row r="1514" spans="1:12" x14ac:dyDescent="0.3">
      <c r="A1514">
        <v>2240</v>
      </c>
      <c r="B1514" s="2">
        <v>45919</v>
      </c>
      <c r="C1514" t="s">
        <v>16</v>
      </c>
      <c r="D1514" t="s">
        <v>17</v>
      </c>
      <c r="E1514" t="s">
        <v>27</v>
      </c>
      <c r="F1514" t="s">
        <v>25</v>
      </c>
      <c r="G1514">
        <v>6</v>
      </c>
      <c r="H1514" s="3">
        <v>78.03</v>
      </c>
      <c r="I1514" s="3">
        <v>40.770000000000003</v>
      </c>
      <c r="J1514" s="3">
        <f t="shared" si="69"/>
        <v>468.18</v>
      </c>
      <c r="K1514" s="3">
        <f t="shared" si="70"/>
        <v>244.62</v>
      </c>
      <c r="L1514" s="3">
        <f t="shared" si="71"/>
        <v>223.56</v>
      </c>
    </row>
    <row r="1515" spans="1:12" x14ac:dyDescent="0.3">
      <c r="A1515">
        <v>1384</v>
      </c>
      <c r="B1515" s="2">
        <v>45920</v>
      </c>
      <c r="C1515" t="s">
        <v>12</v>
      </c>
      <c r="D1515" t="s">
        <v>13</v>
      </c>
      <c r="E1515" t="s">
        <v>14</v>
      </c>
      <c r="F1515" t="s">
        <v>19</v>
      </c>
      <c r="G1515">
        <v>12</v>
      </c>
      <c r="H1515" s="3">
        <v>35.25</v>
      </c>
      <c r="I1515" s="3">
        <v>24.08</v>
      </c>
      <c r="J1515" s="3">
        <f t="shared" si="69"/>
        <v>423</v>
      </c>
      <c r="K1515" s="3">
        <f t="shared" si="70"/>
        <v>288.95999999999998</v>
      </c>
      <c r="L1515" s="3">
        <f t="shared" si="71"/>
        <v>134.04000000000002</v>
      </c>
    </row>
    <row r="1516" spans="1:12" x14ac:dyDescent="0.3">
      <c r="A1516">
        <v>2037</v>
      </c>
      <c r="B1516" s="2">
        <v>45920</v>
      </c>
      <c r="C1516" t="s">
        <v>16</v>
      </c>
      <c r="D1516" t="s">
        <v>29</v>
      </c>
      <c r="E1516" t="s">
        <v>37</v>
      </c>
      <c r="F1516" t="s">
        <v>22</v>
      </c>
      <c r="G1516">
        <v>2</v>
      </c>
      <c r="H1516" s="3">
        <v>375.99</v>
      </c>
      <c r="I1516" s="3">
        <v>260.08</v>
      </c>
      <c r="J1516" s="3">
        <f t="shared" si="69"/>
        <v>751.98</v>
      </c>
      <c r="K1516" s="3">
        <f t="shared" si="70"/>
        <v>520.16</v>
      </c>
      <c r="L1516" s="3">
        <f t="shared" si="71"/>
        <v>231.82000000000005</v>
      </c>
    </row>
    <row r="1517" spans="1:12" x14ac:dyDescent="0.3">
      <c r="A1517">
        <v>2164</v>
      </c>
      <c r="B1517" s="2">
        <v>45920</v>
      </c>
      <c r="C1517" t="s">
        <v>26</v>
      </c>
      <c r="D1517" t="s">
        <v>20</v>
      </c>
      <c r="E1517" t="s">
        <v>21</v>
      </c>
      <c r="F1517" t="s">
        <v>39</v>
      </c>
      <c r="G1517">
        <v>9</v>
      </c>
      <c r="H1517" s="3">
        <v>83.15</v>
      </c>
      <c r="I1517" s="3">
        <v>43.28</v>
      </c>
      <c r="J1517" s="3">
        <f t="shared" si="69"/>
        <v>748.35</v>
      </c>
      <c r="K1517" s="3">
        <f t="shared" si="70"/>
        <v>389.52</v>
      </c>
      <c r="L1517" s="3">
        <f t="shared" si="71"/>
        <v>358.83000000000004</v>
      </c>
    </row>
    <row r="1518" spans="1:12" x14ac:dyDescent="0.3">
      <c r="A1518">
        <v>2422</v>
      </c>
      <c r="B1518" s="2">
        <v>45920</v>
      </c>
      <c r="C1518" t="s">
        <v>16</v>
      </c>
      <c r="D1518" t="s">
        <v>13</v>
      </c>
      <c r="E1518" t="s">
        <v>14</v>
      </c>
      <c r="F1518" t="s">
        <v>22</v>
      </c>
      <c r="G1518">
        <v>10</v>
      </c>
      <c r="H1518" s="3">
        <v>21.66</v>
      </c>
      <c r="I1518" s="3">
        <v>13.91</v>
      </c>
      <c r="J1518" s="3">
        <f t="shared" si="69"/>
        <v>216.6</v>
      </c>
      <c r="K1518" s="3">
        <f t="shared" si="70"/>
        <v>139.1</v>
      </c>
      <c r="L1518" s="3">
        <f t="shared" si="71"/>
        <v>77.5</v>
      </c>
    </row>
    <row r="1519" spans="1:12" x14ac:dyDescent="0.3">
      <c r="A1519">
        <v>2762</v>
      </c>
      <c r="B1519" s="2">
        <v>45920</v>
      </c>
      <c r="C1519" t="s">
        <v>32</v>
      </c>
      <c r="D1519" t="s">
        <v>29</v>
      </c>
      <c r="E1519" t="s">
        <v>41</v>
      </c>
      <c r="F1519" t="s">
        <v>33</v>
      </c>
      <c r="G1519">
        <v>19</v>
      </c>
      <c r="H1519" s="3">
        <v>205.39</v>
      </c>
      <c r="I1519" s="3">
        <v>116.13</v>
      </c>
      <c r="J1519" s="3">
        <f t="shared" si="69"/>
        <v>3902.41</v>
      </c>
      <c r="K1519" s="3">
        <f t="shared" si="70"/>
        <v>2206.4699999999998</v>
      </c>
      <c r="L1519" s="3">
        <f t="shared" si="71"/>
        <v>1695.94</v>
      </c>
    </row>
    <row r="1520" spans="1:12" x14ac:dyDescent="0.3">
      <c r="A1520">
        <v>1239</v>
      </c>
      <c r="B1520" s="2">
        <v>45921</v>
      </c>
      <c r="C1520" t="s">
        <v>16</v>
      </c>
      <c r="D1520" t="s">
        <v>17</v>
      </c>
      <c r="E1520" t="s">
        <v>44</v>
      </c>
      <c r="F1520" t="s">
        <v>33</v>
      </c>
      <c r="G1520">
        <v>8</v>
      </c>
      <c r="H1520" s="3">
        <v>260.39999999999998</v>
      </c>
      <c r="I1520" s="3">
        <v>155.49</v>
      </c>
      <c r="J1520" s="3">
        <f t="shared" si="69"/>
        <v>2083.1999999999998</v>
      </c>
      <c r="K1520" s="3">
        <f t="shared" si="70"/>
        <v>1243.92</v>
      </c>
      <c r="L1520" s="3">
        <f t="shared" si="71"/>
        <v>839.27999999999975</v>
      </c>
    </row>
    <row r="1521" spans="1:12" x14ac:dyDescent="0.3">
      <c r="A1521">
        <v>1625</v>
      </c>
      <c r="B1521" s="2">
        <v>45921</v>
      </c>
      <c r="C1521" t="s">
        <v>23</v>
      </c>
      <c r="D1521" t="s">
        <v>17</v>
      </c>
      <c r="E1521" t="s">
        <v>35</v>
      </c>
      <c r="F1521" t="s">
        <v>39</v>
      </c>
      <c r="G1521">
        <v>24</v>
      </c>
      <c r="H1521" s="3">
        <v>448.49</v>
      </c>
      <c r="I1521" s="3">
        <v>318.89</v>
      </c>
      <c r="J1521" s="3">
        <f t="shared" si="69"/>
        <v>10763.76</v>
      </c>
      <c r="K1521" s="3">
        <f t="shared" si="70"/>
        <v>7653.36</v>
      </c>
      <c r="L1521" s="3">
        <f t="shared" si="71"/>
        <v>3110.4000000000005</v>
      </c>
    </row>
    <row r="1522" spans="1:12" x14ac:dyDescent="0.3">
      <c r="A1522">
        <v>2396</v>
      </c>
      <c r="B1522" s="2">
        <v>45921</v>
      </c>
      <c r="C1522" t="s">
        <v>32</v>
      </c>
      <c r="D1522" t="s">
        <v>17</v>
      </c>
      <c r="E1522" t="s">
        <v>40</v>
      </c>
      <c r="F1522" t="s">
        <v>25</v>
      </c>
      <c r="G1522">
        <v>23</v>
      </c>
      <c r="H1522" s="3">
        <v>208.17</v>
      </c>
      <c r="I1522" s="3">
        <v>105.03</v>
      </c>
      <c r="J1522" s="3">
        <f t="shared" si="69"/>
        <v>4787.91</v>
      </c>
      <c r="K1522" s="3">
        <f t="shared" si="70"/>
        <v>2415.69</v>
      </c>
      <c r="L1522" s="3">
        <f t="shared" si="71"/>
        <v>2372.2199999999998</v>
      </c>
    </row>
    <row r="1523" spans="1:12" x14ac:dyDescent="0.3">
      <c r="A1523">
        <v>2645</v>
      </c>
      <c r="B1523" s="2">
        <v>45921</v>
      </c>
      <c r="C1523" t="s">
        <v>26</v>
      </c>
      <c r="D1523" t="s">
        <v>29</v>
      </c>
      <c r="E1523" t="s">
        <v>37</v>
      </c>
      <c r="F1523" t="s">
        <v>36</v>
      </c>
      <c r="G1523">
        <v>27</v>
      </c>
      <c r="H1523" s="3">
        <v>139.15</v>
      </c>
      <c r="I1523" s="3">
        <v>89.32</v>
      </c>
      <c r="J1523" s="3">
        <f t="shared" si="69"/>
        <v>3757.05</v>
      </c>
      <c r="K1523" s="3">
        <f t="shared" si="70"/>
        <v>2411.64</v>
      </c>
      <c r="L1523" s="3">
        <f t="shared" si="71"/>
        <v>1345.4100000000003</v>
      </c>
    </row>
    <row r="1524" spans="1:12" x14ac:dyDescent="0.3">
      <c r="A1524">
        <v>1040</v>
      </c>
      <c r="B1524" s="2">
        <v>45922</v>
      </c>
      <c r="C1524" t="s">
        <v>16</v>
      </c>
      <c r="D1524" t="s">
        <v>29</v>
      </c>
      <c r="E1524" t="s">
        <v>41</v>
      </c>
      <c r="F1524" t="s">
        <v>22</v>
      </c>
      <c r="G1524">
        <v>20</v>
      </c>
      <c r="H1524" s="3">
        <v>323.58999999999997</v>
      </c>
      <c r="I1524" s="3">
        <v>199.41</v>
      </c>
      <c r="J1524" s="3">
        <f t="shared" si="69"/>
        <v>6471.7999999999993</v>
      </c>
      <c r="K1524" s="3">
        <f t="shared" si="70"/>
        <v>3988.2</v>
      </c>
      <c r="L1524" s="3">
        <f t="shared" si="71"/>
        <v>2483.5999999999995</v>
      </c>
    </row>
    <row r="1525" spans="1:12" x14ac:dyDescent="0.3">
      <c r="A1525">
        <v>1991</v>
      </c>
      <c r="B1525" s="2">
        <v>45922</v>
      </c>
      <c r="C1525" t="s">
        <v>32</v>
      </c>
      <c r="D1525" t="s">
        <v>29</v>
      </c>
      <c r="E1525" t="s">
        <v>37</v>
      </c>
      <c r="F1525" t="s">
        <v>33</v>
      </c>
      <c r="G1525">
        <v>28</v>
      </c>
      <c r="H1525" s="3">
        <v>118.64</v>
      </c>
      <c r="I1525" s="3">
        <v>71.569999999999993</v>
      </c>
      <c r="J1525" s="3">
        <f t="shared" si="69"/>
        <v>3321.92</v>
      </c>
      <c r="K1525" s="3">
        <f t="shared" si="70"/>
        <v>2003.9599999999998</v>
      </c>
      <c r="L1525" s="3">
        <f t="shared" si="71"/>
        <v>1317.9600000000003</v>
      </c>
    </row>
    <row r="1526" spans="1:12" x14ac:dyDescent="0.3">
      <c r="A1526">
        <v>2511</v>
      </c>
      <c r="B1526" s="2">
        <v>45922</v>
      </c>
      <c r="C1526" t="s">
        <v>23</v>
      </c>
      <c r="D1526" t="s">
        <v>29</v>
      </c>
      <c r="E1526" t="s">
        <v>41</v>
      </c>
      <c r="F1526" t="s">
        <v>25</v>
      </c>
      <c r="G1526">
        <v>40</v>
      </c>
      <c r="H1526" s="3">
        <v>488.81</v>
      </c>
      <c r="I1526" s="3">
        <v>309.44</v>
      </c>
      <c r="J1526" s="3">
        <f t="shared" si="69"/>
        <v>19552.400000000001</v>
      </c>
      <c r="K1526" s="3">
        <f t="shared" si="70"/>
        <v>12377.6</v>
      </c>
      <c r="L1526" s="3">
        <f t="shared" si="71"/>
        <v>7174.8000000000011</v>
      </c>
    </row>
    <row r="1527" spans="1:12" x14ac:dyDescent="0.3">
      <c r="A1527">
        <v>1379</v>
      </c>
      <c r="B1527" s="2">
        <v>45923</v>
      </c>
      <c r="C1527" t="s">
        <v>32</v>
      </c>
      <c r="D1527" t="s">
        <v>13</v>
      </c>
      <c r="E1527" t="s">
        <v>46</v>
      </c>
      <c r="F1527" t="s">
        <v>33</v>
      </c>
      <c r="G1527">
        <v>21</v>
      </c>
      <c r="H1527" s="3">
        <v>12.61</v>
      </c>
      <c r="I1527" s="3">
        <v>8.5500000000000007</v>
      </c>
      <c r="J1527" s="3">
        <f t="shared" si="69"/>
        <v>264.81</v>
      </c>
      <c r="K1527" s="3">
        <f t="shared" si="70"/>
        <v>179.55</v>
      </c>
      <c r="L1527" s="3">
        <f t="shared" si="71"/>
        <v>85.259999999999991</v>
      </c>
    </row>
    <row r="1528" spans="1:12" x14ac:dyDescent="0.3">
      <c r="A1528">
        <v>2292</v>
      </c>
      <c r="B1528" s="2">
        <v>45923</v>
      </c>
      <c r="C1528" t="s">
        <v>26</v>
      </c>
      <c r="D1528" t="s">
        <v>17</v>
      </c>
      <c r="E1528" t="s">
        <v>27</v>
      </c>
      <c r="F1528" t="s">
        <v>22</v>
      </c>
      <c r="G1528">
        <v>1</v>
      </c>
      <c r="H1528" s="3">
        <v>855.3</v>
      </c>
      <c r="I1528" s="3">
        <v>549.13</v>
      </c>
      <c r="J1528" s="3">
        <f t="shared" si="69"/>
        <v>855.3</v>
      </c>
      <c r="K1528" s="3">
        <f t="shared" si="70"/>
        <v>549.13</v>
      </c>
      <c r="L1528" s="3">
        <f t="shared" si="71"/>
        <v>306.16999999999996</v>
      </c>
    </row>
    <row r="1529" spans="1:12" x14ac:dyDescent="0.3">
      <c r="A1529">
        <v>2412</v>
      </c>
      <c r="B1529" s="2">
        <v>45923</v>
      </c>
      <c r="C1529" t="s">
        <v>26</v>
      </c>
      <c r="D1529" t="s">
        <v>20</v>
      </c>
      <c r="E1529" t="s">
        <v>38</v>
      </c>
      <c r="F1529" t="s">
        <v>28</v>
      </c>
      <c r="G1529">
        <v>1</v>
      </c>
      <c r="H1529" s="3">
        <v>90.82</v>
      </c>
      <c r="I1529" s="3">
        <v>48.32</v>
      </c>
      <c r="J1529" s="3">
        <f t="shared" si="69"/>
        <v>90.82</v>
      </c>
      <c r="K1529" s="3">
        <f t="shared" si="70"/>
        <v>48.32</v>
      </c>
      <c r="L1529" s="3">
        <f t="shared" si="71"/>
        <v>42.499999999999993</v>
      </c>
    </row>
    <row r="1530" spans="1:12" x14ac:dyDescent="0.3">
      <c r="A1530">
        <v>1134</v>
      </c>
      <c r="B1530" s="2">
        <v>45924</v>
      </c>
      <c r="C1530" t="s">
        <v>12</v>
      </c>
      <c r="D1530" t="s">
        <v>20</v>
      </c>
      <c r="E1530" t="s">
        <v>34</v>
      </c>
      <c r="F1530" t="s">
        <v>19</v>
      </c>
      <c r="G1530">
        <v>12</v>
      </c>
      <c r="H1530" s="3">
        <v>66.349999999999994</v>
      </c>
      <c r="I1530" s="3">
        <v>40.43</v>
      </c>
      <c r="J1530" s="3">
        <f t="shared" si="69"/>
        <v>796.19999999999993</v>
      </c>
      <c r="K1530" s="3">
        <f t="shared" si="70"/>
        <v>485.15999999999997</v>
      </c>
      <c r="L1530" s="3">
        <f t="shared" si="71"/>
        <v>311.03999999999996</v>
      </c>
    </row>
    <row r="1531" spans="1:12" x14ac:dyDescent="0.3">
      <c r="A1531">
        <v>2449</v>
      </c>
      <c r="B1531" s="2">
        <v>45924</v>
      </c>
      <c r="C1531" t="s">
        <v>32</v>
      </c>
      <c r="D1531" t="s">
        <v>17</v>
      </c>
      <c r="E1531" t="s">
        <v>35</v>
      </c>
      <c r="F1531" t="s">
        <v>19</v>
      </c>
      <c r="G1531">
        <v>9</v>
      </c>
      <c r="H1531" s="3">
        <v>114.19</v>
      </c>
      <c r="I1531" s="3">
        <v>68.28</v>
      </c>
      <c r="J1531" s="3">
        <f t="shared" si="69"/>
        <v>1027.71</v>
      </c>
      <c r="K1531" s="3">
        <f t="shared" si="70"/>
        <v>614.52</v>
      </c>
      <c r="L1531" s="3">
        <f t="shared" si="71"/>
        <v>413.19000000000005</v>
      </c>
    </row>
    <row r="1532" spans="1:12" x14ac:dyDescent="0.3">
      <c r="A1532">
        <v>1005</v>
      </c>
      <c r="B1532" s="2">
        <v>45925</v>
      </c>
      <c r="C1532" t="s">
        <v>32</v>
      </c>
      <c r="D1532" t="s">
        <v>13</v>
      </c>
      <c r="E1532" t="s">
        <v>45</v>
      </c>
      <c r="F1532" t="s">
        <v>22</v>
      </c>
      <c r="G1532">
        <v>15</v>
      </c>
      <c r="H1532" s="3">
        <v>59.16</v>
      </c>
      <c r="I1532" s="3">
        <v>35.200000000000003</v>
      </c>
      <c r="J1532" s="3">
        <f t="shared" si="69"/>
        <v>887.4</v>
      </c>
      <c r="K1532" s="3">
        <f t="shared" si="70"/>
        <v>528</v>
      </c>
      <c r="L1532" s="3">
        <f t="shared" si="71"/>
        <v>359.4</v>
      </c>
    </row>
    <row r="1533" spans="1:12" x14ac:dyDescent="0.3">
      <c r="A1533">
        <v>1373</v>
      </c>
      <c r="B1533" s="2">
        <v>45925</v>
      </c>
      <c r="C1533" t="s">
        <v>26</v>
      </c>
      <c r="D1533" t="s">
        <v>17</v>
      </c>
      <c r="E1533" t="s">
        <v>27</v>
      </c>
      <c r="F1533" t="s">
        <v>33</v>
      </c>
      <c r="G1533">
        <v>33</v>
      </c>
      <c r="H1533" s="3">
        <v>149.15</v>
      </c>
      <c r="I1533" s="3">
        <v>103.11</v>
      </c>
      <c r="J1533" s="3">
        <f t="shared" si="69"/>
        <v>4921.95</v>
      </c>
      <c r="K1533" s="3">
        <f t="shared" si="70"/>
        <v>3402.63</v>
      </c>
      <c r="L1533" s="3">
        <f t="shared" si="71"/>
        <v>1519.3199999999997</v>
      </c>
    </row>
    <row r="1534" spans="1:12" x14ac:dyDescent="0.3">
      <c r="A1534">
        <v>2236</v>
      </c>
      <c r="B1534" s="2">
        <v>45925</v>
      </c>
      <c r="C1534" t="s">
        <v>32</v>
      </c>
      <c r="D1534" t="s">
        <v>20</v>
      </c>
      <c r="E1534" t="s">
        <v>21</v>
      </c>
      <c r="F1534" t="s">
        <v>33</v>
      </c>
      <c r="G1534">
        <v>20</v>
      </c>
      <c r="H1534" s="3">
        <v>202.63</v>
      </c>
      <c r="I1534" s="3">
        <v>116.53</v>
      </c>
      <c r="J1534" s="3">
        <f t="shared" si="69"/>
        <v>4052.6</v>
      </c>
      <c r="K1534" s="3">
        <f t="shared" si="70"/>
        <v>2330.6</v>
      </c>
      <c r="L1534" s="3">
        <f t="shared" si="71"/>
        <v>1722</v>
      </c>
    </row>
    <row r="1535" spans="1:12" x14ac:dyDescent="0.3">
      <c r="A1535">
        <v>2533</v>
      </c>
      <c r="B1535" s="2">
        <v>45926</v>
      </c>
      <c r="C1535" t="s">
        <v>23</v>
      </c>
      <c r="D1535" t="s">
        <v>13</v>
      </c>
      <c r="E1535" t="s">
        <v>14</v>
      </c>
      <c r="F1535" t="s">
        <v>39</v>
      </c>
      <c r="G1535">
        <v>28</v>
      </c>
      <c r="H1535" s="3">
        <v>39.33</v>
      </c>
      <c r="I1535" s="3">
        <v>25.99</v>
      </c>
      <c r="J1535" s="3">
        <f t="shared" si="69"/>
        <v>1101.24</v>
      </c>
      <c r="K1535" s="3">
        <f t="shared" si="70"/>
        <v>727.71999999999991</v>
      </c>
      <c r="L1535" s="3">
        <f t="shared" si="71"/>
        <v>373.5200000000001</v>
      </c>
    </row>
    <row r="1536" spans="1:12" x14ac:dyDescent="0.3">
      <c r="A1536">
        <v>2791</v>
      </c>
      <c r="B1536" s="2">
        <v>45926</v>
      </c>
      <c r="C1536" t="s">
        <v>16</v>
      </c>
      <c r="D1536" t="s">
        <v>29</v>
      </c>
      <c r="E1536" t="s">
        <v>43</v>
      </c>
      <c r="F1536" t="s">
        <v>19</v>
      </c>
      <c r="G1536">
        <v>39</v>
      </c>
      <c r="H1536" s="3">
        <v>401.01</v>
      </c>
      <c r="I1536" s="3">
        <v>217.81</v>
      </c>
      <c r="J1536" s="3">
        <f t="shared" si="69"/>
        <v>15639.39</v>
      </c>
      <c r="K1536" s="3">
        <f t="shared" si="70"/>
        <v>8494.59</v>
      </c>
      <c r="L1536" s="3">
        <f t="shared" si="71"/>
        <v>7144.7999999999993</v>
      </c>
    </row>
    <row r="1537" spans="1:12" x14ac:dyDescent="0.3">
      <c r="A1537">
        <v>2397</v>
      </c>
      <c r="B1537" s="2">
        <v>45927</v>
      </c>
      <c r="C1537" t="s">
        <v>26</v>
      </c>
      <c r="D1537" t="s">
        <v>17</v>
      </c>
      <c r="E1537" t="s">
        <v>44</v>
      </c>
      <c r="F1537" t="s">
        <v>19</v>
      </c>
      <c r="G1537">
        <v>22</v>
      </c>
      <c r="H1537" s="3">
        <v>194.69</v>
      </c>
      <c r="I1537" s="3">
        <v>142.35</v>
      </c>
      <c r="J1537" s="3">
        <f t="shared" si="69"/>
        <v>4283.18</v>
      </c>
      <c r="K1537" s="3">
        <f t="shared" si="70"/>
        <v>3131.7</v>
      </c>
      <c r="L1537" s="3">
        <f t="shared" si="71"/>
        <v>1151.4800000000005</v>
      </c>
    </row>
    <row r="1538" spans="1:12" x14ac:dyDescent="0.3">
      <c r="A1538">
        <v>2751</v>
      </c>
      <c r="B1538" s="2">
        <v>45927</v>
      </c>
      <c r="C1538" t="s">
        <v>23</v>
      </c>
      <c r="D1538" t="s">
        <v>20</v>
      </c>
      <c r="E1538" t="s">
        <v>21</v>
      </c>
      <c r="F1538" t="s">
        <v>36</v>
      </c>
      <c r="G1538">
        <v>3</v>
      </c>
      <c r="H1538" s="3">
        <v>66.19</v>
      </c>
      <c r="I1538" s="3">
        <v>41.21</v>
      </c>
      <c r="J1538" s="3">
        <f t="shared" ref="J1538:J1601" si="72">G1538*H1538</f>
        <v>198.57</v>
      </c>
      <c r="K1538" s="3">
        <f t="shared" ref="K1538:K1601" si="73">G1538*I1538</f>
        <v>123.63</v>
      </c>
      <c r="L1538" s="3">
        <f t="shared" ref="L1538:L1601" si="74">J1538-K1538</f>
        <v>74.94</v>
      </c>
    </row>
    <row r="1539" spans="1:12" x14ac:dyDescent="0.3">
      <c r="A1539">
        <v>1342</v>
      </c>
      <c r="B1539" s="2">
        <v>45928</v>
      </c>
      <c r="C1539" t="s">
        <v>32</v>
      </c>
      <c r="D1539" t="s">
        <v>17</v>
      </c>
      <c r="E1539" t="s">
        <v>40</v>
      </c>
      <c r="F1539" t="s">
        <v>33</v>
      </c>
      <c r="G1539">
        <v>12</v>
      </c>
      <c r="H1539" s="3">
        <v>155.62</v>
      </c>
      <c r="I1539" s="3">
        <v>104.65</v>
      </c>
      <c r="J1539" s="3">
        <f t="shared" si="72"/>
        <v>1867.44</v>
      </c>
      <c r="K1539" s="3">
        <f t="shared" si="73"/>
        <v>1255.8000000000002</v>
      </c>
      <c r="L1539" s="3">
        <f t="shared" si="74"/>
        <v>611.63999999999987</v>
      </c>
    </row>
    <row r="1540" spans="1:12" x14ac:dyDescent="0.3">
      <c r="A1540">
        <v>2646</v>
      </c>
      <c r="B1540" s="2">
        <v>45928</v>
      </c>
      <c r="C1540" t="s">
        <v>23</v>
      </c>
      <c r="D1540" t="s">
        <v>13</v>
      </c>
      <c r="E1540" t="s">
        <v>14</v>
      </c>
      <c r="F1540" t="s">
        <v>28</v>
      </c>
      <c r="G1540">
        <v>1</v>
      </c>
      <c r="H1540" s="3">
        <v>33.78</v>
      </c>
      <c r="I1540" s="3">
        <v>22.25</v>
      </c>
      <c r="J1540" s="3">
        <f t="shared" si="72"/>
        <v>33.78</v>
      </c>
      <c r="K1540" s="3">
        <f t="shared" si="73"/>
        <v>22.25</v>
      </c>
      <c r="L1540" s="3">
        <f t="shared" si="74"/>
        <v>11.530000000000001</v>
      </c>
    </row>
    <row r="1541" spans="1:12" x14ac:dyDescent="0.3">
      <c r="A1541">
        <v>1450</v>
      </c>
      <c r="B1541" s="2">
        <v>45930</v>
      </c>
      <c r="C1541" t="s">
        <v>16</v>
      </c>
      <c r="D1541" t="s">
        <v>29</v>
      </c>
      <c r="E1541" t="s">
        <v>30</v>
      </c>
      <c r="F1541" t="s">
        <v>33</v>
      </c>
      <c r="G1541">
        <v>15</v>
      </c>
      <c r="H1541" s="3">
        <v>470.69</v>
      </c>
      <c r="I1541" s="3">
        <v>293.17</v>
      </c>
      <c r="J1541" s="3">
        <f t="shared" si="72"/>
        <v>7060.35</v>
      </c>
      <c r="K1541" s="3">
        <f t="shared" si="73"/>
        <v>4397.55</v>
      </c>
      <c r="L1541" s="3">
        <f t="shared" si="74"/>
        <v>2662.8</v>
      </c>
    </row>
    <row r="1542" spans="1:12" x14ac:dyDescent="0.3">
      <c r="A1542">
        <v>1699</v>
      </c>
      <c r="B1542" s="2">
        <v>45930</v>
      </c>
      <c r="C1542" t="s">
        <v>23</v>
      </c>
      <c r="D1542" t="s">
        <v>20</v>
      </c>
      <c r="E1542" t="s">
        <v>34</v>
      </c>
      <c r="F1542" t="s">
        <v>36</v>
      </c>
      <c r="G1542">
        <v>22</v>
      </c>
      <c r="H1542" s="3">
        <v>226.06</v>
      </c>
      <c r="I1542" s="3">
        <v>149.53</v>
      </c>
      <c r="J1542" s="3">
        <f t="shared" si="72"/>
        <v>4973.32</v>
      </c>
      <c r="K1542" s="3">
        <f t="shared" si="73"/>
        <v>3289.66</v>
      </c>
      <c r="L1542" s="3">
        <f t="shared" si="74"/>
        <v>1683.6599999999999</v>
      </c>
    </row>
    <row r="1543" spans="1:12" x14ac:dyDescent="0.3">
      <c r="A1543">
        <v>1909</v>
      </c>
      <c r="B1543" s="2">
        <v>45930</v>
      </c>
      <c r="C1543" t="s">
        <v>16</v>
      </c>
      <c r="D1543" t="s">
        <v>17</v>
      </c>
      <c r="E1543" t="s">
        <v>18</v>
      </c>
      <c r="F1543" t="s">
        <v>22</v>
      </c>
      <c r="G1543">
        <v>19</v>
      </c>
      <c r="H1543" s="3">
        <v>775.43</v>
      </c>
      <c r="I1543" s="3">
        <v>409.91</v>
      </c>
      <c r="J1543" s="3">
        <f t="shared" si="72"/>
        <v>14733.169999999998</v>
      </c>
      <c r="K1543" s="3">
        <f t="shared" si="73"/>
        <v>7788.2900000000009</v>
      </c>
      <c r="L1543" s="3">
        <f t="shared" si="74"/>
        <v>6944.8799999999974</v>
      </c>
    </row>
    <row r="1544" spans="1:12" x14ac:dyDescent="0.3">
      <c r="A1544">
        <v>2237</v>
      </c>
      <c r="B1544" s="2">
        <v>45930</v>
      </c>
      <c r="C1544" t="s">
        <v>23</v>
      </c>
      <c r="D1544" t="s">
        <v>17</v>
      </c>
      <c r="E1544" t="s">
        <v>44</v>
      </c>
      <c r="F1544" t="s">
        <v>39</v>
      </c>
      <c r="G1544">
        <v>22</v>
      </c>
      <c r="H1544" s="3">
        <v>523.41999999999996</v>
      </c>
      <c r="I1544" s="3">
        <v>285.31</v>
      </c>
      <c r="J1544" s="3">
        <f t="shared" si="72"/>
        <v>11515.24</v>
      </c>
      <c r="K1544" s="3">
        <f t="shared" si="73"/>
        <v>6276.82</v>
      </c>
      <c r="L1544" s="3">
        <f t="shared" si="74"/>
        <v>5238.42</v>
      </c>
    </row>
    <row r="1545" spans="1:12" x14ac:dyDescent="0.3">
      <c r="A1545">
        <v>2272</v>
      </c>
      <c r="B1545" s="2">
        <v>45930</v>
      </c>
      <c r="C1545" t="s">
        <v>32</v>
      </c>
      <c r="D1545" t="s">
        <v>17</v>
      </c>
      <c r="E1545" t="s">
        <v>35</v>
      </c>
      <c r="F1545" t="s">
        <v>28</v>
      </c>
      <c r="G1545">
        <v>30</v>
      </c>
      <c r="H1545" s="3">
        <v>566.17999999999995</v>
      </c>
      <c r="I1545" s="3">
        <v>346.71</v>
      </c>
      <c r="J1545" s="3">
        <f t="shared" si="72"/>
        <v>16985.399999999998</v>
      </c>
      <c r="K1545" s="3">
        <f t="shared" si="73"/>
        <v>10401.299999999999</v>
      </c>
      <c r="L1545" s="3">
        <f t="shared" si="74"/>
        <v>6584.0999999999985</v>
      </c>
    </row>
    <row r="1546" spans="1:12" x14ac:dyDescent="0.3">
      <c r="A1546">
        <v>2521</v>
      </c>
      <c r="B1546" s="2">
        <v>45930</v>
      </c>
      <c r="C1546" t="s">
        <v>26</v>
      </c>
      <c r="D1546" t="s">
        <v>17</v>
      </c>
      <c r="E1546" t="s">
        <v>27</v>
      </c>
      <c r="F1546" t="s">
        <v>28</v>
      </c>
      <c r="G1546">
        <v>39</v>
      </c>
      <c r="H1546" s="3">
        <v>466.77</v>
      </c>
      <c r="I1546" s="3">
        <v>301.3</v>
      </c>
      <c r="J1546" s="3">
        <f t="shared" si="72"/>
        <v>18204.03</v>
      </c>
      <c r="K1546" s="3">
        <f t="shared" si="73"/>
        <v>11750.7</v>
      </c>
      <c r="L1546" s="3">
        <f t="shared" si="74"/>
        <v>6453.3299999999981</v>
      </c>
    </row>
    <row r="1547" spans="1:12" x14ac:dyDescent="0.3">
      <c r="A1547">
        <v>1871</v>
      </c>
      <c r="B1547" s="2">
        <v>45931</v>
      </c>
      <c r="C1547" t="s">
        <v>32</v>
      </c>
      <c r="D1547" t="s">
        <v>29</v>
      </c>
      <c r="E1547" t="s">
        <v>30</v>
      </c>
      <c r="F1547" t="s">
        <v>15</v>
      </c>
      <c r="G1547">
        <v>32</v>
      </c>
      <c r="H1547" s="3">
        <v>420.5</v>
      </c>
      <c r="I1547" s="3">
        <v>218.28</v>
      </c>
      <c r="J1547" s="3">
        <f t="shared" si="72"/>
        <v>13456</v>
      </c>
      <c r="K1547" s="3">
        <f t="shared" si="73"/>
        <v>6984.96</v>
      </c>
      <c r="L1547" s="3">
        <f t="shared" si="74"/>
        <v>6471.04</v>
      </c>
    </row>
    <row r="1548" spans="1:12" x14ac:dyDescent="0.3">
      <c r="A1548">
        <v>1894</v>
      </c>
      <c r="B1548" s="2">
        <v>45931</v>
      </c>
      <c r="C1548" t="s">
        <v>32</v>
      </c>
      <c r="D1548" t="s">
        <v>29</v>
      </c>
      <c r="E1548" t="s">
        <v>30</v>
      </c>
      <c r="F1548" t="s">
        <v>36</v>
      </c>
      <c r="G1548">
        <v>33</v>
      </c>
      <c r="H1548" s="3">
        <v>496.32</v>
      </c>
      <c r="I1548" s="3">
        <v>369.44</v>
      </c>
      <c r="J1548" s="3">
        <f t="shared" si="72"/>
        <v>16378.56</v>
      </c>
      <c r="K1548" s="3">
        <f t="shared" si="73"/>
        <v>12191.52</v>
      </c>
      <c r="L1548" s="3">
        <f t="shared" si="74"/>
        <v>4187.0399999999991</v>
      </c>
    </row>
    <row r="1549" spans="1:12" x14ac:dyDescent="0.3">
      <c r="A1549">
        <v>2338</v>
      </c>
      <c r="B1549" s="2">
        <v>45931</v>
      </c>
      <c r="C1549" t="s">
        <v>32</v>
      </c>
      <c r="D1549" t="s">
        <v>29</v>
      </c>
      <c r="E1549" t="s">
        <v>41</v>
      </c>
      <c r="F1549" t="s">
        <v>39</v>
      </c>
      <c r="G1549">
        <v>15</v>
      </c>
      <c r="H1549" s="3">
        <v>395.73</v>
      </c>
      <c r="I1549" s="3">
        <v>232.84</v>
      </c>
      <c r="J1549" s="3">
        <f t="shared" si="72"/>
        <v>5935.9500000000007</v>
      </c>
      <c r="K1549" s="3">
        <f t="shared" si="73"/>
        <v>3492.6</v>
      </c>
      <c r="L1549" s="3">
        <f t="shared" si="74"/>
        <v>2443.3500000000008</v>
      </c>
    </row>
    <row r="1550" spans="1:12" x14ac:dyDescent="0.3">
      <c r="A1550">
        <v>2536</v>
      </c>
      <c r="B1550" s="2">
        <v>45931</v>
      </c>
      <c r="C1550" t="s">
        <v>26</v>
      </c>
      <c r="D1550" t="s">
        <v>17</v>
      </c>
      <c r="E1550" t="s">
        <v>18</v>
      </c>
      <c r="F1550" t="s">
        <v>22</v>
      </c>
      <c r="G1550">
        <v>6</v>
      </c>
      <c r="H1550" s="3">
        <v>496.46</v>
      </c>
      <c r="I1550" s="3">
        <v>316.83</v>
      </c>
      <c r="J1550" s="3">
        <f t="shared" si="72"/>
        <v>2978.7599999999998</v>
      </c>
      <c r="K1550" s="3">
        <f t="shared" si="73"/>
        <v>1900.98</v>
      </c>
      <c r="L1550" s="3">
        <f t="shared" si="74"/>
        <v>1077.7799999999997</v>
      </c>
    </row>
    <row r="1551" spans="1:12" x14ac:dyDescent="0.3">
      <c r="A1551">
        <v>1443</v>
      </c>
      <c r="B1551" s="2">
        <v>45932</v>
      </c>
      <c r="C1551" t="s">
        <v>26</v>
      </c>
      <c r="D1551" t="s">
        <v>17</v>
      </c>
      <c r="E1551" t="s">
        <v>40</v>
      </c>
      <c r="F1551" t="s">
        <v>19</v>
      </c>
      <c r="G1551">
        <v>35</v>
      </c>
      <c r="H1551" s="3">
        <v>724.83</v>
      </c>
      <c r="I1551" s="3">
        <v>505.31</v>
      </c>
      <c r="J1551" s="3">
        <f t="shared" si="72"/>
        <v>25369.050000000003</v>
      </c>
      <c r="K1551" s="3">
        <f t="shared" si="73"/>
        <v>17685.849999999999</v>
      </c>
      <c r="L1551" s="3">
        <f t="shared" si="74"/>
        <v>7683.2000000000044</v>
      </c>
    </row>
    <row r="1552" spans="1:12" x14ac:dyDescent="0.3">
      <c r="A1552">
        <v>1453</v>
      </c>
      <c r="B1552" s="2">
        <v>45932</v>
      </c>
      <c r="C1552" t="s">
        <v>12</v>
      </c>
      <c r="D1552" t="s">
        <v>20</v>
      </c>
      <c r="E1552" t="s">
        <v>42</v>
      </c>
      <c r="F1552" t="s">
        <v>33</v>
      </c>
      <c r="G1552">
        <v>30</v>
      </c>
      <c r="H1552" s="3">
        <v>241.89</v>
      </c>
      <c r="I1552" s="3">
        <v>154.19999999999999</v>
      </c>
      <c r="J1552" s="3">
        <f t="shared" si="72"/>
        <v>7256.7</v>
      </c>
      <c r="K1552" s="3">
        <f t="shared" si="73"/>
        <v>4626</v>
      </c>
      <c r="L1552" s="3">
        <f t="shared" si="74"/>
        <v>2630.7</v>
      </c>
    </row>
    <row r="1553" spans="1:12" x14ac:dyDescent="0.3">
      <c r="A1553">
        <v>1473</v>
      </c>
      <c r="B1553" s="2">
        <v>45932</v>
      </c>
      <c r="C1553" t="s">
        <v>32</v>
      </c>
      <c r="D1553" t="s">
        <v>20</v>
      </c>
      <c r="E1553" t="s">
        <v>42</v>
      </c>
      <c r="F1553" t="s">
        <v>15</v>
      </c>
      <c r="G1553">
        <v>15</v>
      </c>
      <c r="H1553" s="3">
        <v>44.58</v>
      </c>
      <c r="I1553" s="3">
        <v>26.55</v>
      </c>
      <c r="J1553" s="3">
        <f t="shared" si="72"/>
        <v>668.69999999999993</v>
      </c>
      <c r="K1553" s="3">
        <f t="shared" si="73"/>
        <v>398.25</v>
      </c>
      <c r="L1553" s="3">
        <f t="shared" si="74"/>
        <v>270.44999999999993</v>
      </c>
    </row>
    <row r="1554" spans="1:12" x14ac:dyDescent="0.3">
      <c r="A1554">
        <v>2214</v>
      </c>
      <c r="B1554" s="2">
        <v>45933</v>
      </c>
      <c r="C1554" t="s">
        <v>23</v>
      </c>
      <c r="D1554" t="s">
        <v>20</v>
      </c>
      <c r="E1554" t="s">
        <v>21</v>
      </c>
      <c r="F1554" t="s">
        <v>36</v>
      </c>
      <c r="G1554">
        <v>6</v>
      </c>
      <c r="H1554" s="3">
        <v>155.55000000000001</v>
      </c>
      <c r="I1554" s="3">
        <v>92.89</v>
      </c>
      <c r="J1554" s="3">
        <f t="shared" si="72"/>
        <v>933.30000000000007</v>
      </c>
      <c r="K1554" s="3">
        <f t="shared" si="73"/>
        <v>557.34</v>
      </c>
      <c r="L1554" s="3">
        <f t="shared" si="74"/>
        <v>375.96000000000004</v>
      </c>
    </row>
    <row r="1555" spans="1:12" x14ac:dyDescent="0.3">
      <c r="A1555">
        <v>2234</v>
      </c>
      <c r="B1555" s="2">
        <v>45933</v>
      </c>
      <c r="C1555" t="s">
        <v>32</v>
      </c>
      <c r="D1555" t="s">
        <v>13</v>
      </c>
      <c r="E1555" t="s">
        <v>14</v>
      </c>
      <c r="F1555" t="s">
        <v>36</v>
      </c>
      <c r="G1555">
        <v>27</v>
      </c>
      <c r="H1555" s="3">
        <v>28.78</v>
      </c>
      <c r="I1555" s="3">
        <v>16.82</v>
      </c>
      <c r="J1555" s="3">
        <f t="shared" si="72"/>
        <v>777.06000000000006</v>
      </c>
      <c r="K1555" s="3">
        <f t="shared" si="73"/>
        <v>454.14</v>
      </c>
      <c r="L1555" s="3">
        <f t="shared" si="74"/>
        <v>322.92000000000007</v>
      </c>
    </row>
    <row r="1556" spans="1:12" x14ac:dyDescent="0.3">
      <c r="A1556">
        <v>2680</v>
      </c>
      <c r="B1556" s="2">
        <v>45933</v>
      </c>
      <c r="C1556" t="s">
        <v>16</v>
      </c>
      <c r="D1556" t="s">
        <v>17</v>
      </c>
      <c r="E1556" t="s">
        <v>44</v>
      </c>
      <c r="F1556" t="s">
        <v>33</v>
      </c>
      <c r="G1556">
        <v>40</v>
      </c>
      <c r="H1556" s="3">
        <v>577.94000000000005</v>
      </c>
      <c r="I1556" s="3">
        <v>397.34</v>
      </c>
      <c r="J1556" s="3">
        <f t="shared" si="72"/>
        <v>23117.600000000002</v>
      </c>
      <c r="K1556" s="3">
        <f t="shared" si="73"/>
        <v>15893.599999999999</v>
      </c>
      <c r="L1556" s="3">
        <f t="shared" si="74"/>
        <v>7224.0000000000036</v>
      </c>
    </row>
    <row r="1557" spans="1:12" x14ac:dyDescent="0.3">
      <c r="A1557">
        <v>1309</v>
      </c>
      <c r="B1557" s="2">
        <v>45934</v>
      </c>
      <c r="C1557" t="s">
        <v>12</v>
      </c>
      <c r="D1557" t="s">
        <v>29</v>
      </c>
      <c r="E1557" t="s">
        <v>43</v>
      </c>
      <c r="F1557" t="s">
        <v>25</v>
      </c>
      <c r="G1557">
        <v>6</v>
      </c>
      <c r="H1557" s="3">
        <v>216.97</v>
      </c>
      <c r="I1557" s="3">
        <v>133.34</v>
      </c>
      <c r="J1557" s="3">
        <f t="shared" si="72"/>
        <v>1301.82</v>
      </c>
      <c r="K1557" s="3">
        <f t="shared" si="73"/>
        <v>800.04</v>
      </c>
      <c r="L1557" s="3">
        <f t="shared" si="74"/>
        <v>501.78</v>
      </c>
    </row>
    <row r="1558" spans="1:12" x14ac:dyDescent="0.3">
      <c r="A1558">
        <v>2323</v>
      </c>
      <c r="B1558" s="2">
        <v>45934</v>
      </c>
      <c r="C1558" t="s">
        <v>16</v>
      </c>
      <c r="D1558" t="s">
        <v>17</v>
      </c>
      <c r="E1558" t="s">
        <v>44</v>
      </c>
      <c r="F1558" t="s">
        <v>19</v>
      </c>
      <c r="G1558">
        <v>33</v>
      </c>
      <c r="H1558" s="3">
        <v>182.14</v>
      </c>
      <c r="I1558" s="3">
        <v>94.38</v>
      </c>
      <c r="J1558" s="3">
        <f t="shared" si="72"/>
        <v>6010.62</v>
      </c>
      <c r="K1558" s="3">
        <f t="shared" si="73"/>
        <v>3114.54</v>
      </c>
      <c r="L1558" s="3">
        <f t="shared" si="74"/>
        <v>2896.08</v>
      </c>
    </row>
    <row r="1559" spans="1:12" x14ac:dyDescent="0.3">
      <c r="A1559">
        <v>2433</v>
      </c>
      <c r="B1559" s="2">
        <v>45934</v>
      </c>
      <c r="C1559" t="s">
        <v>32</v>
      </c>
      <c r="D1559" t="s">
        <v>20</v>
      </c>
      <c r="E1559" t="s">
        <v>34</v>
      </c>
      <c r="F1559" t="s">
        <v>25</v>
      </c>
      <c r="G1559">
        <v>11</v>
      </c>
      <c r="H1559" s="3">
        <v>169.25</v>
      </c>
      <c r="I1559" s="3">
        <v>113.59</v>
      </c>
      <c r="J1559" s="3">
        <f t="shared" si="72"/>
        <v>1861.75</v>
      </c>
      <c r="K1559" s="3">
        <f t="shared" si="73"/>
        <v>1249.49</v>
      </c>
      <c r="L1559" s="3">
        <f t="shared" si="74"/>
        <v>612.26</v>
      </c>
    </row>
    <row r="1560" spans="1:12" x14ac:dyDescent="0.3">
      <c r="A1560">
        <v>1125</v>
      </c>
      <c r="B1560" s="2">
        <v>45935</v>
      </c>
      <c r="C1560" t="s">
        <v>23</v>
      </c>
      <c r="D1560" t="s">
        <v>20</v>
      </c>
      <c r="E1560" t="s">
        <v>21</v>
      </c>
      <c r="F1560" t="s">
        <v>33</v>
      </c>
      <c r="G1560">
        <v>21</v>
      </c>
      <c r="H1560" s="3">
        <v>104.79</v>
      </c>
      <c r="I1560" s="3">
        <v>59.59</v>
      </c>
      <c r="J1560" s="3">
        <f t="shared" si="72"/>
        <v>2200.59</v>
      </c>
      <c r="K1560" s="3">
        <f t="shared" si="73"/>
        <v>1251.3900000000001</v>
      </c>
      <c r="L1560" s="3">
        <f t="shared" si="74"/>
        <v>949.2</v>
      </c>
    </row>
    <row r="1561" spans="1:12" x14ac:dyDescent="0.3">
      <c r="A1561">
        <v>1258</v>
      </c>
      <c r="B1561" s="2">
        <v>45935</v>
      </c>
      <c r="C1561" t="s">
        <v>12</v>
      </c>
      <c r="D1561" t="s">
        <v>20</v>
      </c>
      <c r="E1561" t="s">
        <v>21</v>
      </c>
      <c r="F1561" t="s">
        <v>39</v>
      </c>
      <c r="G1561">
        <v>6</v>
      </c>
      <c r="H1561" s="3">
        <v>224.4</v>
      </c>
      <c r="I1561" s="3">
        <v>131.91999999999999</v>
      </c>
      <c r="J1561" s="3">
        <f t="shared" si="72"/>
        <v>1346.4</v>
      </c>
      <c r="K1561" s="3">
        <f t="shared" si="73"/>
        <v>791.52</v>
      </c>
      <c r="L1561" s="3">
        <f t="shared" si="74"/>
        <v>554.88000000000011</v>
      </c>
    </row>
    <row r="1562" spans="1:12" x14ac:dyDescent="0.3">
      <c r="A1562">
        <v>1962</v>
      </c>
      <c r="B1562" s="2">
        <v>45935</v>
      </c>
      <c r="C1562" t="s">
        <v>23</v>
      </c>
      <c r="D1562" t="s">
        <v>13</v>
      </c>
      <c r="E1562" t="s">
        <v>14</v>
      </c>
      <c r="F1562" t="s">
        <v>36</v>
      </c>
      <c r="G1562">
        <v>7</v>
      </c>
      <c r="H1562" s="3">
        <v>28.19</v>
      </c>
      <c r="I1562" s="3">
        <v>19.12</v>
      </c>
      <c r="J1562" s="3">
        <f t="shared" si="72"/>
        <v>197.33</v>
      </c>
      <c r="K1562" s="3">
        <f t="shared" si="73"/>
        <v>133.84</v>
      </c>
      <c r="L1562" s="3">
        <f t="shared" si="74"/>
        <v>63.490000000000009</v>
      </c>
    </row>
    <row r="1563" spans="1:12" x14ac:dyDescent="0.3">
      <c r="A1563">
        <v>1043</v>
      </c>
      <c r="B1563" s="2">
        <v>45936</v>
      </c>
      <c r="C1563" t="s">
        <v>16</v>
      </c>
      <c r="D1563" t="s">
        <v>13</v>
      </c>
      <c r="E1563" t="s">
        <v>14</v>
      </c>
      <c r="F1563" t="s">
        <v>28</v>
      </c>
      <c r="G1563">
        <v>26</v>
      </c>
      <c r="H1563" s="3">
        <v>40.4</v>
      </c>
      <c r="I1563" s="3">
        <v>27.98</v>
      </c>
      <c r="J1563" s="3">
        <f t="shared" si="72"/>
        <v>1050.3999999999999</v>
      </c>
      <c r="K1563" s="3">
        <f t="shared" si="73"/>
        <v>727.48</v>
      </c>
      <c r="L1563" s="3">
        <f t="shared" si="74"/>
        <v>322.91999999999985</v>
      </c>
    </row>
    <row r="1564" spans="1:12" x14ac:dyDescent="0.3">
      <c r="A1564">
        <v>1286</v>
      </c>
      <c r="B1564" s="2">
        <v>45937</v>
      </c>
      <c r="C1564" t="s">
        <v>16</v>
      </c>
      <c r="D1564" t="s">
        <v>17</v>
      </c>
      <c r="E1564" t="s">
        <v>18</v>
      </c>
      <c r="F1564" t="s">
        <v>33</v>
      </c>
      <c r="G1564">
        <v>31</v>
      </c>
      <c r="H1564" s="3">
        <v>517.39</v>
      </c>
      <c r="I1564" s="3">
        <v>308.93</v>
      </c>
      <c r="J1564" s="3">
        <f t="shared" si="72"/>
        <v>16039.09</v>
      </c>
      <c r="K1564" s="3">
        <f t="shared" si="73"/>
        <v>9576.83</v>
      </c>
      <c r="L1564" s="3">
        <f t="shared" si="74"/>
        <v>6462.26</v>
      </c>
    </row>
    <row r="1565" spans="1:12" x14ac:dyDescent="0.3">
      <c r="A1565">
        <v>1547</v>
      </c>
      <c r="B1565" s="2">
        <v>45937</v>
      </c>
      <c r="C1565" t="s">
        <v>32</v>
      </c>
      <c r="D1565" t="s">
        <v>20</v>
      </c>
      <c r="E1565" t="s">
        <v>42</v>
      </c>
      <c r="F1565" t="s">
        <v>28</v>
      </c>
      <c r="G1565">
        <v>13</v>
      </c>
      <c r="H1565" s="3">
        <v>186.02</v>
      </c>
      <c r="I1565" s="3">
        <v>115.76</v>
      </c>
      <c r="J1565" s="3">
        <f t="shared" si="72"/>
        <v>2418.2600000000002</v>
      </c>
      <c r="K1565" s="3">
        <f t="shared" si="73"/>
        <v>1504.88</v>
      </c>
      <c r="L1565" s="3">
        <f t="shared" si="74"/>
        <v>913.38000000000011</v>
      </c>
    </row>
    <row r="1566" spans="1:12" x14ac:dyDescent="0.3">
      <c r="A1566">
        <v>2074</v>
      </c>
      <c r="B1566" s="2">
        <v>45938</v>
      </c>
      <c r="C1566" t="s">
        <v>12</v>
      </c>
      <c r="D1566" t="s">
        <v>17</v>
      </c>
      <c r="E1566" t="s">
        <v>35</v>
      </c>
      <c r="F1566" t="s">
        <v>36</v>
      </c>
      <c r="G1566">
        <v>10</v>
      </c>
      <c r="H1566" s="3">
        <v>511.88</v>
      </c>
      <c r="I1566" s="3">
        <v>359.71</v>
      </c>
      <c r="J1566" s="3">
        <f t="shared" si="72"/>
        <v>5118.8</v>
      </c>
      <c r="K1566" s="3">
        <f t="shared" si="73"/>
        <v>3597.1</v>
      </c>
      <c r="L1566" s="3">
        <f t="shared" si="74"/>
        <v>1521.7000000000003</v>
      </c>
    </row>
    <row r="1567" spans="1:12" x14ac:dyDescent="0.3">
      <c r="A1567">
        <v>2398</v>
      </c>
      <c r="B1567" s="2">
        <v>45938</v>
      </c>
      <c r="C1567" t="s">
        <v>32</v>
      </c>
      <c r="D1567" t="s">
        <v>17</v>
      </c>
      <c r="E1567" t="s">
        <v>40</v>
      </c>
      <c r="F1567" t="s">
        <v>36</v>
      </c>
      <c r="G1567">
        <v>28</v>
      </c>
      <c r="H1567" s="3">
        <v>147</v>
      </c>
      <c r="I1567" s="3">
        <v>80.489999999999995</v>
      </c>
      <c r="J1567" s="3">
        <f t="shared" si="72"/>
        <v>4116</v>
      </c>
      <c r="K1567" s="3">
        <f t="shared" si="73"/>
        <v>2253.7199999999998</v>
      </c>
      <c r="L1567" s="3">
        <f t="shared" si="74"/>
        <v>1862.2800000000002</v>
      </c>
    </row>
    <row r="1568" spans="1:12" x14ac:dyDescent="0.3">
      <c r="A1568">
        <v>1925</v>
      </c>
      <c r="B1568" s="2">
        <v>45939</v>
      </c>
      <c r="C1568" t="s">
        <v>26</v>
      </c>
      <c r="D1568" t="s">
        <v>20</v>
      </c>
      <c r="E1568" t="s">
        <v>34</v>
      </c>
      <c r="F1568" t="s">
        <v>22</v>
      </c>
      <c r="G1568">
        <v>33</v>
      </c>
      <c r="H1568" s="3">
        <v>265.63</v>
      </c>
      <c r="I1568" s="3">
        <v>195.93</v>
      </c>
      <c r="J1568" s="3">
        <f t="shared" si="72"/>
        <v>8765.7899999999991</v>
      </c>
      <c r="K1568" s="3">
        <f t="shared" si="73"/>
        <v>6465.6900000000005</v>
      </c>
      <c r="L1568" s="3">
        <f t="shared" si="74"/>
        <v>2300.0999999999985</v>
      </c>
    </row>
    <row r="1569" spans="1:12" x14ac:dyDescent="0.3">
      <c r="A1569">
        <v>2264</v>
      </c>
      <c r="B1569" s="2">
        <v>45939</v>
      </c>
      <c r="C1569" t="s">
        <v>12</v>
      </c>
      <c r="D1569" t="s">
        <v>20</v>
      </c>
      <c r="E1569" t="s">
        <v>38</v>
      </c>
      <c r="F1569" t="s">
        <v>22</v>
      </c>
      <c r="G1569">
        <v>28</v>
      </c>
      <c r="H1569" s="3">
        <v>186.02</v>
      </c>
      <c r="I1569" s="3">
        <v>101.56</v>
      </c>
      <c r="J1569" s="3">
        <f t="shared" si="72"/>
        <v>5208.5600000000004</v>
      </c>
      <c r="K1569" s="3">
        <f t="shared" si="73"/>
        <v>2843.6800000000003</v>
      </c>
      <c r="L1569" s="3">
        <f t="shared" si="74"/>
        <v>2364.88</v>
      </c>
    </row>
    <row r="1570" spans="1:12" x14ac:dyDescent="0.3">
      <c r="A1570">
        <v>1354</v>
      </c>
      <c r="B1570" s="2">
        <v>45940</v>
      </c>
      <c r="C1570" t="s">
        <v>16</v>
      </c>
      <c r="D1570" t="s">
        <v>17</v>
      </c>
      <c r="E1570" t="s">
        <v>18</v>
      </c>
      <c r="F1570" t="s">
        <v>28</v>
      </c>
      <c r="G1570">
        <v>38</v>
      </c>
      <c r="H1570" s="3">
        <v>863.2</v>
      </c>
      <c r="I1570" s="3">
        <v>442.08</v>
      </c>
      <c r="J1570" s="3">
        <f t="shared" si="72"/>
        <v>32801.599999999999</v>
      </c>
      <c r="K1570" s="3">
        <f t="shared" si="73"/>
        <v>16799.04</v>
      </c>
      <c r="L1570" s="3">
        <f t="shared" si="74"/>
        <v>16002.559999999998</v>
      </c>
    </row>
    <row r="1571" spans="1:12" x14ac:dyDescent="0.3">
      <c r="A1571">
        <v>1455</v>
      </c>
      <c r="B1571" s="2">
        <v>45940</v>
      </c>
      <c r="C1571" t="s">
        <v>23</v>
      </c>
      <c r="D1571" t="s">
        <v>29</v>
      </c>
      <c r="E1571" t="s">
        <v>37</v>
      </c>
      <c r="F1571" t="s">
        <v>39</v>
      </c>
      <c r="G1571">
        <v>25</v>
      </c>
      <c r="H1571" s="3">
        <v>186.72</v>
      </c>
      <c r="I1571" s="3">
        <v>114.25</v>
      </c>
      <c r="J1571" s="3">
        <f t="shared" si="72"/>
        <v>4668</v>
      </c>
      <c r="K1571" s="3">
        <f t="shared" si="73"/>
        <v>2856.25</v>
      </c>
      <c r="L1571" s="3">
        <f t="shared" si="74"/>
        <v>1811.75</v>
      </c>
    </row>
    <row r="1572" spans="1:12" x14ac:dyDescent="0.3">
      <c r="A1572">
        <v>1569</v>
      </c>
      <c r="B1572" s="2">
        <v>45940</v>
      </c>
      <c r="C1572" t="s">
        <v>26</v>
      </c>
      <c r="D1572" t="s">
        <v>17</v>
      </c>
      <c r="E1572" t="s">
        <v>18</v>
      </c>
      <c r="F1572" t="s">
        <v>33</v>
      </c>
      <c r="G1572">
        <v>34</v>
      </c>
      <c r="H1572" s="3">
        <v>87.48</v>
      </c>
      <c r="I1572" s="3">
        <v>55.6</v>
      </c>
      <c r="J1572" s="3">
        <f t="shared" si="72"/>
        <v>2974.32</v>
      </c>
      <c r="K1572" s="3">
        <f t="shared" si="73"/>
        <v>1890.4</v>
      </c>
      <c r="L1572" s="3">
        <f t="shared" si="74"/>
        <v>1083.92</v>
      </c>
    </row>
    <row r="1573" spans="1:12" x14ac:dyDescent="0.3">
      <c r="A1573">
        <v>2685</v>
      </c>
      <c r="B1573" s="2">
        <v>45940</v>
      </c>
      <c r="C1573" t="s">
        <v>32</v>
      </c>
      <c r="D1573" t="s">
        <v>17</v>
      </c>
      <c r="E1573" t="s">
        <v>27</v>
      </c>
      <c r="F1573" t="s">
        <v>28</v>
      </c>
      <c r="G1573">
        <v>14</v>
      </c>
      <c r="H1573" s="3">
        <v>887.71</v>
      </c>
      <c r="I1573" s="3">
        <v>507.3</v>
      </c>
      <c r="J1573" s="3">
        <f t="shared" si="72"/>
        <v>12427.94</v>
      </c>
      <c r="K1573" s="3">
        <f t="shared" si="73"/>
        <v>7102.2</v>
      </c>
      <c r="L1573" s="3">
        <f t="shared" si="74"/>
        <v>5325.7400000000007</v>
      </c>
    </row>
    <row r="1574" spans="1:12" x14ac:dyDescent="0.3">
      <c r="A1574">
        <v>1375</v>
      </c>
      <c r="B1574" s="2">
        <v>45941</v>
      </c>
      <c r="C1574" t="s">
        <v>12</v>
      </c>
      <c r="D1574" t="s">
        <v>29</v>
      </c>
      <c r="E1574" t="s">
        <v>43</v>
      </c>
      <c r="F1574" t="s">
        <v>22</v>
      </c>
      <c r="G1574">
        <v>36</v>
      </c>
      <c r="H1574" s="3">
        <v>97.54</v>
      </c>
      <c r="I1574" s="3">
        <v>58.38</v>
      </c>
      <c r="J1574" s="3">
        <f t="shared" si="72"/>
        <v>3511.44</v>
      </c>
      <c r="K1574" s="3">
        <f t="shared" si="73"/>
        <v>2101.6800000000003</v>
      </c>
      <c r="L1574" s="3">
        <f t="shared" si="74"/>
        <v>1409.7599999999998</v>
      </c>
    </row>
    <row r="1575" spans="1:12" x14ac:dyDescent="0.3">
      <c r="A1575">
        <v>2029</v>
      </c>
      <c r="B1575" s="2">
        <v>45941</v>
      </c>
      <c r="C1575" t="s">
        <v>26</v>
      </c>
      <c r="D1575" t="s">
        <v>13</v>
      </c>
      <c r="E1575" t="s">
        <v>24</v>
      </c>
      <c r="F1575" t="s">
        <v>36</v>
      </c>
      <c r="G1575">
        <v>15</v>
      </c>
      <c r="H1575" s="3">
        <v>18.12</v>
      </c>
      <c r="I1575" s="3">
        <v>12.38</v>
      </c>
      <c r="J1575" s="3">
        <f t="shared" si="72"/>
        <v>271.8</v>
      </c>
      <c r="K1575" s="3">
        <f t="shared" si="73"/>
        <v>185.70000000000002</v>
      </c>
      <c r="L1575" s="3">
        <f t="shared" si="74"/>
        <v>86.1</v>
      </c>
    </row>
    <row r="1576" spans="1:12" x14ac:dyDescent="0.3">
      <c r="A1576">
        <v>1317</v>
      </c>
      <c r="B1576" s="2">
        <v>45942</v>
      </c>
      <c r="C1576" t="s">
        <v>26</v>
      </c>
      <c r="D1576" t="s">
        <v>17</v>
      </c>
      <c r="E1576" t="s">
        <v>44</v>
      </c>
      <c r="F1576" t="s">
        <v>33</v>
      </c>
      <c r="G1576">
        <v>32</v>
      </c>
      <c r="H1576" s="3">
        <v>559</v>
      </c>
      <c r="I1576" s="3">
        <v>328.38</v>
      </c>
      <c r="J1576" s="3">
        <f t="shared" si="72"/>
        <v>17888</v>
      </c>
      <c r="K1576" s="3">
        <f t="shared" si="73"/>
        <v>10508.16</v>
      </c>
      <c r="L1576" s="3">
        <f t="shared" si="74"/>
        <v>7379.84</v>
      </c>
    </row>
    <row r="1577" spans="1:12" x14ac:dyDescent="0.3">
      <c r="A1577">
        <v>1688</v>
      </c>
      <c r="B1577" s="2">
        <v>45942</v>
      </c>
      <c r="C1577" t="s">
        <v>12</v>
      </c>
      <c r="D1577" t="s">
        <v>17</v>
      </c>
      <c r="E1577" t="s">
        <v>27</v>
      </c>
      <c r="F1577" t="s">
        <v>15</v>
      </c>
      <c r="G1577">
        <v>16</v>
      </c>
      <c r="H1577" s="3">
        <v>759.07</v>
      </c>
      <c r="I1577" s="3">
        <v>518.44000000000005</v>
      </c>
      <c r="J1577" s="3">
        <f t="shared" si="72"/>
        <v>12145.12</v>
      </c>
      <c r="K1577" s="3">
        <f t="shared" si="73"/>
        <v>8295.0400000000009</v>
      </c>
      <c r="L1577" s="3">
        <f t="shared" si="74"/>
        <v>3850.08</v>
      </c>
    </row>
    <row r="1578" spans="1:12" x14ac:dyDescent="0.3">
      <c r="A1578">
        <v>1765</v>
      </c>
      <c r="B1578" s="2">
        <v>45942</v>
      </c>
      <c r="C1578" t="s">
        <v>16</v>
      </c>
      <c r="D1578" t="s">
        <v>17</v>
      </c>
      <c r="E1578" t="s">
        <v>18</v>
      </c>
      <c r="F1578" t="s">
        <v>15</v>
      </c>
      <c r="G1578">
        <v>29</v>
      </c>
      <c r="H1578" s="3">
        <v>104.03</v>
      </c>
      <c r="I1578" s="3">
        <v>76.17</v>
      </c>
      <c r="J1578" s="3">
        <f t="shared" si="72"/>
        <v>3016.87</v>
      </c>
      <c r="K1578" s="3">
        <f t="shared" si="73"/>
        <v>2208.9299999999998</v>
      </c>
      <c r="L1578" s="3">
        <f t="shared" si="74"/>
        <v>807.94</v>
      </c>
    </row>
    <row r="1579" spans="1:12" x14ac:dyDescent="0.3">
      <c r="A1579">
        <v>2102</v>
      </c>
      <c r="B1579" s="2">
        <v>45942</v>
      </c>
      <c r="C1579" t="s">
        <v>16</v>
      </c>
      <c r="D1579" t="s">
        <v>29</v>
      </c>
      <c r="E1579" t="s">
        <v>41</v>
      </c>
      <c r="F1579" t="s">
        <v>28</v>
      </c>
      <c r="G1579">
        <v>36</v>
      </c>
      <c r="H1579" s="3">
        <v>225.47</v>
      </c>
      <c r="I1579" s="3">
        <v>138.77000000000001</v>
      </c>
      <c r="J1579" s="3">
        <f t="shared" si="72"/>
        <v>8116.92</v>
      </c>
      <c r="K1579" s="3">
        <f t="shared" si="73"/>
        <v>4995.72</v>
      </c>
      <c r="L1579" s="3">
        <f t="shared" si="74"/>
        <v>3121.2</v>
      </c>
    </row>
    <row r="1580" spans="1:12" x14ac:dyDescent="0.3">
      <c r="A1580">
        <v>2326</v>
      </c>
      <c r="B1580" s="2">
        <v>45942</v>
      </c>
      <c r="C1580" t="s">
        <v>12</v>
      </c>
      <c r="D1580" t="s">
        <v>13</v>
      </c>
      <c r="E1580" t="s">
        <v>46</v>
      </c>
      <c r="F1580" t="s">
        <v>15</v>
      </c>
      <c r="G1580">
        <v>32</v>
      </c>
      <c r="H1580" s="3">
        <v>27.67</v>
      </c>
      <c r="I1580" s="3">
        <v>14.42</v>
      </c>
      <c r="J1580" s="3">
        <f t="shared" si="72"/>
        <v>885.44</v>
      </c>
      <c r="K1580" s="3">
        <f t="shared" si="73"/>
        <v>461.44</v>
      </c>
      <c r="L1580" s="3">
        <f t="shared" si="74"/>
        <v>424.00000000000006</v>
      </c>
    </row>
    <row r="1581" spans="1:12" x14ac:dyDescent="0.3">
      <c r="A1581">
        <v>2627</v>
      </c>
      <c r="B1581" s="2">
        <v>45942</v>
      </c>
      <c r="C1581" t="s">
        <v>12</v>
      </c>
      <c r="D1581" t="s">
        <v>17</v>
      </c>
      <c r="E1581" t="s">
        <v>18</v>
      </c>
      <c r="F1581" t="s">
        <v>39</v>
      </c>
      <c r="G1581">
        <v>21</v>
      </c>
      <c r="H1581" s="3">
        <v>664.12</v>
      </c>
      <c r="I1581" s="3">
        <v>370.15</v>
      </c>
      <c r="J1581" s="3">
        <f t="shared" si="72"/>
        <v>13946.52</v>
      </c>
      <c r="K1581" s="3">
        <f t="shared" si="73"/>
        <v>7773.15</v>
      </c>
      <c r="L1581" s="3">
        <f t="shared" si="74"/>
        <v>6173.3700000000008</v>
      </c>
    </row>
    <row r="1582" spans="1:12" x14ac:dyDescent="0.3">
      <c r="A1582">
        <v>2718</v>
      </c>
      <c r="B1582" s="2">
        <v>45942</v>
      </c>
      <c r="C1582" t="s">
        <v>32</v>
      </c>
      <c r="D1582" t="s">
        <v>13</v>
      </c>
      <c r="E1582" t="s">
        <v>31</v>
      </c>
      <c r="F1582" t="s">
        <v>39</v>
      </c>
      <c r="G1582">
        <v>28</v>
      </c>
      <c r="H1582" s="3">
        <v>29.91</v>
      </c>
      <c r="I1582" s="3">
        <v>21.92</v>
      </c>
      <c r="J1582" s="3">
        <f t="shared" si="72"/>
        <v>837.48</v>
      </c>
      <c r="K1582" s="3">
        <f t="shared" si="73"/>
        <v>613.76</v>
      </c>
      <c r="L1582" s="3">
        <f t="shared" si="74"/>
        <v>223.72000000000003</v>
      </c>
    </row>
    <row r="1583" spans="1:12" x14ac:dyDescent="0.3">
      <c r="A1583">
        <v>2760</v>
      </c>
      <c r="B1583" s="2">
        <v>45942</v>
      </c>
      <c r="C1583" t="s">
        <v>16</v>
      </c>
      <c r="D1583" t="s">
        <v>29</v>
      </c>
      <c r="E1583" t="s">
        <v>37</v>
      </c>
      <c r="F1583" t="s">
        <v>36</v>
      </c>
      <c r="G1583">
        <v>15</v>
      </c>
      <c r="H1583" s="3">
        <v>235.8</v>
      </c>
      <c r="I1583" s="3">
        <v>118.37</v>
      </c>
      <c r="J1583" s="3">
        <f t="shared" si="72"/>
        <v>3537</v>
      </c>
      <c r="K1583" s="3">
        <f t="shared" si="73"/>
        <v>1775.5500000000002</v>
      </c>
      <c r="L1583" s="3">
        <f t="shared" si="74"/>
        <v>1761.4499999999998</v>
      </c>
    </row>
    <row r="1584" spans="1:12" x14ac:dyDescent="0.3">
      <c r="A1584">
        <v>1791</v>
      </c>
      <c r="B1584" s="2">
        <v>45943</v>
      </c>
      <c r="C1584" t="s">
        <v>12</v>
      </c>
      <c r="D1584" t="s">
        <v>17</v>
      </c>
      <c r="E1584" t="s">
        <v>40</v>
      </c>
      <c r="F1584" t="s">
        <v>25</v>
      </c>
      <c r="G1584">
        <v>25</v>
      </c>
      <c r="H1584" s="3">
        <v>164.73</v>
      </c>
      <c r="I1584" s="3">
        <v>102.35</v>
      </c>
      <c r="J1584" s="3">
        <f t="shared" si="72"/>
        <v>4118.25</v>
      </c>
      <c r="K1584" s="3">
        <f t="shared" si="73"/>
        <v>2558.75</v>
      </c>
      <c r="L1584" s="3">
        <f t="shared" si="74"/>
        <v>1559.5</v>
      </c>
    </row>
    <row r="1585" spans="1:12" x14ac:dyDescent="0.3">
      <c r="A1585">
        <v>2295</v>
      </c>
      <c r="B1585" s="2">
        <v>45943</v>
      </c>
      <c r="C1585" t="s">
        <v>26</v>
      </c>
      <c r="D1585" t="s">
        <v>20</v>
      </c>
      <c r="E1585" t="s">
        <v>34</v>
      </c>
      <c r="F1585" t="s">
        <v>22</v>
      </c>
      <c r="G1585">
        <v>8</v>
      </c>
      <c r="H1585" s="3">
        <v>182.34</v>
      </c>
      <c r="I1585" s="3">
        <v>116.58</v>
      </c>
      <c r="J1585" s="3">
        <f t="shared" si="72"/>
        <v>1458.72</v>
      </c>
      <c r="K1585" s="3">
        <f t="shared" si="73"/>
        <v>932.64</v>
      </c>
      <c r="L1585" s="3">
        <f t="shared" si="74"/>
        <v>526.08000000000004</v>
      </c>
    </row>
    <row r="1586" spans="1:12" x14ac:dyDescent="0.3">
      <c r="A1586">
        <v>1046</v>
      </c>
      <c r="B1586" s="2">
        <v>45944</v>
      </c>
      <c r="C1586" t="s">
        <v>32</v>
      </c>
      <c r="D1586" t="s">
        <v>20</v>
      </c>
      <c r="E1586" t="s">
        <v>34</v>
      </c>
      <c r="F1586" t="s">
        <v>15</v>
      </c>
      <c r="G1586">
        <v>29</v>
      </c>
      <c r="H1586" s="3">
        <v>109.52</v>
      </c>
      <c r="I1586" s="3">
        <v>69.55</v>
      </c>
      <c r="J1586" s="3">
        <f t="shared" si="72"/>
        <v>3176.08</v>
      </c>
      <c r="K1586" s="3">
        <f t="shared" si="73"/>
        <v>2016.9499999999998</v>
      </c>
      <c r="L1586" s="3">
        <f t="shared" si="74"/>
        <v>1159.1300000000001</v>
      </c>
    </row>
    <row r="1587" spans="1:12" x14ac:dyDescent="0.3">
      <c r="A1587">
        <v>2399</v>
      </c>
      <c r="B1587" s="2">
        <v>45944</v>
      </c>
      <c r="C1587" t="s">
        <v>23</v>
      </c>
      <c r="D1587" t="s">
        <v>17</v>
      </c>
      <c r="E1587" t="s">
        <v>44</v>
      </c>
      <c r="F1587" t="s">
        <v>28</v>
      </c>
      <c r="G1587">
        <v>36</v>
      </c>
      <c r="H1587" s="3">
        <v>707.5</v>
      </c>
      <c r="I1587" s="3">
        <v>361.17</v>
      </c>
      <c r="J1587" s="3">
        <f t="shared" si="72"/>
        <v>25470</v>
      </c>
      <c r="K1587" s="3">
        <f t="shared" si="73"/>
        <v>13002.12</v>
      </c>
      <c r="L1587" s="3">
        <f t="shared" si="74"/>
        <v>12467.88</v>
      </c>
    </row>
    <row r="1588" spans="1:12" x14ac:dyDescent="0.3">
      <c r="A1588">
        <v>2490</v>
      </c>
      <c r="B1588" s="2">
        <v>45944</v>
      </c>
      <c r="C1588" t="s">
        <v>32</v>
      </c>
      <c r="D1588" t="s">
        <v>29</v>
      </c>
      <c r="E1588" t="s">
        <v>30</v>
      </c>
      <c r="F1588" t="s">
        <v>28</v>
      </c>
      <c r="G1588">
        <v>29</v>
      </c>
      <c r="H1588" s="3">
        <v>148.16999999999999</v>
      </c>
      <c r="I1588" s="3">
        <v>90.72</v>
      </c>
      <c r="J1588" s="3">
        <f t="shared" si="72"/>
        <v>4296.9299999999994</v>
      </c>
      <c r="K1588" s="3">
        <f t="shared" si="73"/>
        <v>2630.88</v>
      </c>
      <c r="L1588" s="3">
        <f t="shared" si="74"/>
        <v>1666.0499999999993</v>
      </c>
    </row>
    <row r="1589" spans="1:12" x14ac:dyDescent="0.3">
      <c r="A1589">
        <v>2755</v>
      </c>
      <c r="B1589" s="2">
        <v>45944</v>
      </c>
      <c r="C1589" t="s">
        <v>32</v>
      </c>
      <c r="D1589" t="s">
        <v>13</v>
      </c>
      <c r="E1589" t="s">
        <v>24</v>
      </c>
      <c r="F1589" t="s">
        <v>25</v>
      </c>
      <c r="G1589">
        <v>10</v>
      </c>
      <c r="H1589" s="3">
        <v>9.9</v>
      </c>
      <c r="I1589" s="3">
        <v>6.87</v>
      </c>
      <c r="J1589" s="3">
        <f t="shared" si="72"/>
        <v>99</v>
      </c>
      <c r="K1589" s="3">
        <f t="shared" si="73"/>
        <v>68.7</v>
      </c>
      <c r="L1589" s="3">
        <f t="shared" si="74"/>
        <v>30.299999999999997</v>
      </c>
    </row>
    <row r="1590" spans="1:12" x14ac:dyDescent="0.3">
      <c r="A1590">
        <v>1741</v>
      </c>
      <c r="B1590" s="2">
        <v>45945</v>
      </c>
      <c r="C1590" t="s">
        <v>16</v>
      </c>
      <c r="D1590" t="s">
        <v>17</v>
      </c>
      <c r="E1590" t="s">
        <v>44</v>
      </c>
      <c r="F1590" t="s">
        <v>39</v>
      </c>
      <c r="G1590">
        <v>13</v>
      </c>
      <c r="H1590" s="3">
        <v>439.75</v>
      </c>
      <c r="I1590" s="3">
        <v>261.33</v>
      </c>
      <c r="J1590" s="3">
        <f t="shared" si="72"/>
        <v>5716.75</v>
      </c>
      <c r="K1590" s="3">
        <f t="shared" si="73"/>
        <v>3397.29</v>
      </c>
      <c r="L1590" s="3">
        <f t="shared" si="74"/>
        <v>2319.46</v>
      </c>
    </row>
    <row r="1591" spans="1:12" x14ac:dyDescent="0.3">
      <c r="A1591">
        <v>1917</v>
      </c>
      <c r="B1591" s="2">
        <v>45945</v>
      </c>
      <c r="C1591" t="s">
        <v>16</v>
      </c>
      <c r="D1591" t="s">
        <v>17</v>
      </c>
      <c r="E1591" t="s">
        <v>27</v>
      </c>
      <c r="F1591" t="s">
        <v>28</v>
      </c>
      <c r="G1591">
        <v>39</v>
      </c>
      <c r="H1591" s="3">
        <v>163.05000000000001</v>
      </c>
      <c r="I1591" s="3">
        <v>84.68</v>
      </c>
      <c r="J1591" s="3">
        <f t="shared" si="72"/>
        <v>6358.9500000000007</v>
      </c>
      <c r="K1591" s="3">
        <f t="shared" si="73"/>
        <v>3302.5200000000004</v>
      </c>
      <c r="L1591" s="3">
        <f t="shared" si="74"/>
        <v>3056.4300000000003</v>
      </c>
    </row>
    <row r="1592" spans="1:12" x14ac:dyDescent="0.3">
      <c r="A1592">
        <v>2134</v>
      </c>
      <c r="B1592" s="2">
        <v>45945</v>
      </c>
      <c r="C1592" t="s">
        <v>16</v>
      </c>
      <c r="D1592" t="s">
        <v>13</v>
      </c>
      <c r="E1592" t="s">
        <v>24</v>
      </c>
      <c r="F1592" t="s">
        <v>25</v>
      </c>
      <c r="G1592">
        <v>15</v>
      </c>
      <c r="H1592" s="3">
        <v>31.6</v>
      </c>
      <c r="I1592" s="3">
        <v>16.61</v>
      </c>
      <c r="J1592" s="3">
        <f t="shared" si="72"/>
        <v>474</v>
      </c>
      <c r="K1592" s="3">
        <f t="shared" si="73"/>
        <v>249.14999999999998</v>
      </c>
      <c r="L1592" s="3">
        <f t="shared" si="74"/>
        <v>224.85000000000002</v>
      </c>
    </row>
    <row r="1593" spans="1:12" x14ac:dyDescent="0.3">
      <c r="A1593">
        <v>2307</v>
      </c>
      <c r="B1593" s="2">
        <v>45945</v>
      </c>
      <c r="C1593" t="s">
        <v>26</v>
      </c>
      <c r="D1593" t="s">
        <v>13</v>
      </c>
      <c r="E1593" t="s">
        <v>45</v>
      </c>
      <c r="F1593" t="s">
        <v>22</v>
      </c>
      <c r="G1593">
        <v>2</v>
      </c>
      <c r="H1593" s="3">
        <v>14.8</v>
      </c>
      <c r="I1593" s="3">
        <v>7.65</v>
      </c>
      <c r="J1593" s="3">
        <f t="shared" si="72"/>
        <v>29.6</v>
      </c>
      <c r="K1593" s="3">
        <f t="shared" si="73"/>
        <v>15.3</v>
      </c>
      <c r="L1593" s="3">
        <f t="shared" si="74"/>
        <v>14.3</v>
      </c>
    </row>
    <row r="1594" spans="1:12" x14ac:dyDescent="0.3">
      <c r="A1594">
        <v>1001</v>
      </c>
      <c r="B1594" s="2">
        <v>45946</v>
      </c>
      <c r="C1594" t="s">
        <v>26</v>
      </c>
      <c r="D1594" t="s">
        <v>17</v>
      </c>
      <c r="E1594" t="s">
        <v>40</v>
      </c>
      <c r="F1594" t="s">
        <v>39</v>
      </c>
      <c r="G1594">
        <v>15</v>
      </c>
      <c r="H1594" s="3">
        <v>177.21</v>
      </c>
      <c r="I1594" s="3">
        <v>114.77</v>
      </c>
      <c r="J1594" s="3">
        <f t="shared" si="72"/>
        <v>2658.15</v>
      </c>
      <c r="K1594" s="3">
        <f t="shared" si="73"/>
        <v>1721.55</v>
      </c>
      <c r="L1594" s="3">
        <f t="shared" si="74"/>
        <v>936.60000000000014</v>
      </c>
    </row>
    <row r="1595" spans="1:12" x14ac:dyDescent="0.3">
      <c r="A1595">
        <v>1297</v>
      </c>
      <c r="B1595" s="2">
        <v>45946</v>
      </c>
      <c r="C1595" t="s">
        <v>32</v>
      </c>
      <c r="D1595" t="s">
        <v>20</v>
      </c>
      <c r="E1595" t="s">
        <v>42</v>
      </c>
      <c r="F1595" t="s">
        <v>15</v>
      </c>
      <c r="G1595">
        <v>14</v>
      </c>
      <c r="H1595" s="3">
        <v>50.25</v>
      </c>
      <c r="I1595" s="3">
        <v>25.14</v>
      </c>
      <c r="J1595" s="3">
        <f t="shared" si="72"/>
        <v>703.5</v>
      </c>
      <c r="K1595" s="3">
        <f t="shared" si="73"/>
        <v>351.96000000000004</v>
      </c>
      <c r="L1595" s="3">
        <f t="shared" si="74"/>
        <v>351.53999999999996</v>
      </c>
    </row>
    <row r="1596" spans="1:12" x14ac:dyDescent="0.3">
      <c r="A1596">
        <v>1732</v>
      </c>
      <c r="B1596" s="2">
        <v>45946</v>
      </c>
      <c r="C1596" t="s">
        <v>12</v>
      </c>
      <c r="D1596" t="s">
        <v>13</v>
      </c>
      <c r="E1596" t="s">
        <v>14</v>
      </c>
      <c r="F1596" t="s">
        <v>39</v>
      </c>
      <c r="G1596">
        <v>16</v>
      </c>
      <c r="H1596" s="3">
        <v>46.8</v>
      </c>
      <c r="I1596" s="3">
        <v>27.8</v>
      </c>
      <c r="J1596" s="3">
        <f t="shared" si="72"/>
        <v>748.8</v>
      </c>
      <c r="K1596" s="3">
        <f t="shared" si="73"/>
        <v>444.8</v>
      </c>
      <c r="L1596" s="3">
        <f t="shared" si="74"/>
        <v>303.99999999999994</v>
      </c>
    </row>
    <row r="1597" spans="1:12" x14ac:dyDescent="0.3">
      <c r="A1597">
        <v>1752</v>
      </c>
      <c r="B1597" s="2">
        <v>45946</v>
      </c>
      <c r="C1597" t="s">
        <v>32</v>
      </c>
      <c r="D1597" t="s">
        <v>17</v>
      </c>
      <c r="E1597" t="s">
        <v>44</v>
      </c>
      <c r="F1597" t="s">
        <v>25</v>
      </c>
      <c r="G1597">
        <v>36</v>
      </c>
      <c r="H1597" s="3">
        <v>209.21</v>
      </c>
      <c r="I1597" s="3">
        <v>115.01</v>
      </c>
      <c r="J1597" s="3">
        <f t="shared" si="72"/>
        <v>7531.56</v>
      </c>
      <c r="K1597" s="3">
        <f t="shared" si="73"/>
        <v>4140.3600000000006</v>
      </c>
      <c r="L1597" s="3">
        <f t="shared" si="74"/>
        <v>3391.2</v>
      </c>
    </row>
    <row r="1598" spans="1:12" x14ac:dyDescent="0.3">
      <c r="A1598">
        <v>1121</v>
      </c>
      <c r="B1598" s="2">
        <v>45947</v>
      </c>
      <c r="C1598" t="s">
        <v>23</v>
      </c>
      <c r="D1598" t="s">
        <v>29</v>
      </c>
      <c r="E1598" t="s">
        <v>30</v>
      </c>
      <c r="F1598" t="s">
        <v>36</v>
      </c>
      <c r="G1598">
        <v>2</v>
      </c>
      <c r="H1598" s="3">
        <v>478</v>
      </c>
      <c r="I1598" s="3">
        <v>321.41000000000003</v>
      </c>
      <c r="J1598" s="3">
        <f t="shared" si="72"/>
        <v>956</v>
      </c>
      <c r="K1598" s="3">
        <f t="shared" si="73"/>
        <v>642.82000000000005</v>
      </c>
      <c r="L1598" s="3">
        <f t="shared" si="74"/>
        <v>313.17999999999995</v>
      </c>
    </row>
    <row r="1599" spans="1:12" x14ac:dyDescent="0.3">
      <c r="A1599">
        <v>1380</v>
      </c>
      <c r="B1599" s="2">
        <v>45948</v>
      </c>
      <c r="C1599" t="s">
        <v>23</v>
      </c>
      <c r="D1599" t="s">
        <v>29</v>
      </c>
      <c r="E1599" t="s">
        <v>43</v>
      </c>
      <c r="F1599" t="s">
        <v>19</v>
      </c>
      <c r="G1599">
        <v>22</v>
      </c>
      <c r="H1599" s="3">
        <v>230.67</v>
      </c>
      <c r="I1599" s="3">
        <v>147.15</v>
      </c>
      <c r="J1599" s="3">
        <f t="shared" si="72"/>
        <v>5074.74</v>
      </c>
      <c r="K1599" s="3">
        <f t="shared" si="73"/>
        <v>3237.3</v>
      </c>
      <c r="L1599" s="3">
        <f t="shared" si="74"/>
        <v>1837.4399999999996</v>
      </c>
    </row>
    <row r="1600" spans="1:12" x14ac:dyDescent="0.3">
      <c r="A1600">
        <v>1814</v>
      </c>
      <c r="B1600" s="2">
        <v>45948</v>
      </c>
      <c r="C1600" t="s">
        <v>16</v>
      </c>
      <c r="D1600" t="s">
        <v>13</v>
      </c>
      <c r="E1600" t="s">
        <v>45</v>
      </c>
      <c r="F1600" t="s">
        <v>28</v>
      </c>
      <c r="G1600">
        <v>18</v>
      </c>
      <c r="H1600" s="3">
        <v>8.39</v>
      </c>
      <c r="I1600" s="3">
        <v>6.29</v>
      </c>
      <c r="J1600" s="3">
        <f t="shared" si="72"/>
        <v>151.02000000000001</v>
      </c>
      <c r="K1600" s="3">
        <f t="shared" si="73"/>
        <v>113.22</v>
      </c>
      <c r="L1600" s="3">
        <f t="shared" si="74"/>
        <v>37.800000000000011</v>
      </c>
    </row>
    <row r="1601" spans="1:12" x14ac:dyDescent="0.3">
      <c r="A1601">
        <v>2216</v>
      </c>
      <c r="B1601" s="2">
        <v>45948</v>
      </c>
      <c r="C1601" t="s">
        <v>32</v>
      </c>
      <c r="D1601" t="s">
        <v>17</v>
      </c>
      <c r="E1601" t="s">
        <v>35</v>
      </c>
      <c r="F1601" t="s">
        <v>22</v>
      </c>
      <c r="G1601">
        <v>4</v>
      </c>
      <c r="H1601" s="3">
        <v>872.09</v>
      </c>
      <c r="I1601" s="3">
        <v>615.64</v>
      </c>
      <c r="J1601" s="3">
        <f t="shared" si="72"/>
        <v>3488.36</v>
      </c>
      <c r="K1601" s="3">
        <f t="shared" si="73"/>
        <v>2462.56</v>
      </c>
      <c r="L1601" s="3">
        <f t="shared" si="74"/>
        <v>1025.8000000000002</v>
      </c>
    </row>
    <row r="1602" spans="1:12" x14ac:dyDescent="0.3">
      <c r="A1602">
        <v>1102</v>
      </c>
      <c r="B1602" s="2">
        <v>45949</v>
      </c>
      <c r="C1602" t="s">
        <v>16</v>
      </c>
      <c r="D1602" t="s">
        <v>17</v>
      </c>
      <c r="E1602" t="s">
        <v>27</v>
      </c>
      <c r="F1602" t="s">
        <v>33</v>
      </c>
      <c r="G1602">
        <v>16</v>
      </c>
      <c r="H1602" s="3">
        <v>890.61</v>
      </c>
      <c r="I1602" s="3">
        <v>568.70000000000005</v>
      </c>
      <c r="J1602" s="3">
        <f t="shared" ref="J1602:J1665" si="75">G1602*H1602</f>
        <v>14249.76</v>
      </c>
      <c r="K1602" s="3">
        <f t="shared" ref="K1602:K1665" si="76">G1602*I1602</f>
        <v>9099.2000000000007</v>
      </c>
      <c r="L1602" s="3">
        <f t="shared" ref="L1602:L1665" si="77">J1602-K1602</f>
        <v>5150.5599999999995</v>
      </c>
    </row>
    <row r="1603" spans="1:12" x14ac:dyDescent="0.3">
      <c r="A1603">
        <v>1368</v>
      </c>
      <c r="B1603" s="2">
        <v>45949</v>
      </c>
      <c r="C1603" t="s">
        <v>16</v>
      </c>
      <c r="D1603" t="s">
        <v>13</v>
      </c>
      <c r="E1603" t="s">
        <v>45</v>
      </c>
      <c r="F1603" t="s">
        <v>33</v>
      </c>
      <c r="G1603">
        <v>25</v>
      </c>
      <c r="H1603" s="3">
        <v>56.86</v>
      </c>
      <c r="I1603" s="3">
        <v>32.450000000000003</v>
      </c>
      <c r="J1603" s="3">
        <f t="shared" si="75"/>
        <v>1421.5</v>
      </c>
      <c r="K1603" s="3">
        <f t="shared" si="76"/>
        <v>811.25000000000011</v>
      </c>
      <c r="L1603" s="3">
        <f t="shared" si="77"/>
        <v>610.24999999999989</v>
      </c>
    </row>
    <row r="1604" spans="1:12" x14ac:dyDescent="0.3">
      <c r="A1604">
        <v>1982</v>
      </c>
      <c r="B1604" s="2">
        <v>45949</v>
      </c>
      <c r="C1604" t="s">
        <v>16</v>
      </c>
      <c r="D1604" t="s">
        <v>20</v>
      </c>
      <c r="E1604" t="s">
        <v>34</v>
      </c>
      <c r="F1604" t="s">
        <v>39</v>
      </c>
      <c r="G1604">
        <v>37</v>
      </c>
      <c r="H1604" s="3">
        <v>271.93</v>
      </c>
      <c r="I1604" s="3">
        <v>193.98</v>
      </c>
      <c r="J1604" s="3">
        <f t="shared" si="75"/>
        <v>10061.41</v>
      </c>
      <c r="K1604" s="3">
        <f t="shared" si="76"/>
        <v>7177.2599999999993</v>
      </c>
      <c r="L1604" s="3">
        <f t="shared" si="77"/>
        <v>2884.1500000000005</v>
      </c>
    </row>
    <row r="1605" spans="1:12" x14ac:dyDescent="0.3">
      <c r="A1605">
        <v>1836</v>
      </c>
      <c r="B1605" s="2">
        <v>45950</v>
      </c>
      <c r="C1605" t="s">
        <v>16</v>
      </c>
      <c r="D1605" t="s">
        <v>17</v>
      </c>
      <c r="E1605" t="s">
        <v>18</v>
      </c>
      <c r="F1605" t="s">
        <v>28</v>
      </c>
      <c r="G1605">
        <v>4</v>
      </c>
      <c r="H1605" s="3">
        <v>358.83</v>
      </c>
      <c r="I1605" s="3">
        <v>179.88</v>
      </c>
      <c r="J1605" s="3">
        <f t="shared" si="75"/>
        <v>1435.32</v>
      </c>
      <c r="K1605" s="3">
        <f t="shared" si="76"/>
        <v>719.52</v>
      </c>
      <c r="L1605" s="3">
        <f t="shared" si="77"/>
        <v>715.8</v>
      </c>
    </row>
    <row r="1606" spans="1:12" x14ac:dyDescent="0.3">
      <c r="A1606">
        <v>2185</v>
      </c>
      <c r="B1606" s="2">
        <v>45950</v>
      </c>
      <c r="C1606" t="s">
        <v>26</v>
      </c>
      <c r="D1606" t="s">
        <v>17</v>
      </c>
      <c r="E1606" t="s">
        <v>27</v>
      </c>
      <c r="F1606" t="s">
        <v>39</v>
      </c>
      <c r="G1606">
        <v>24</v>
      </c>
      <c r="H1606" s="3">
        <v>547.29999999999995</v>
      </c>
      <c r="I1606" s="3">
        <v>371.93</v>
      </c>
      <c r="J1606" s="3">
        <f t="shared" si="75"/>
        <v>13135.199999999999</v>
      </c>
      <c r="K1606" s="3">
        <f t="shared" si="76"/>
        <v>8926.32</v>
      </c>
      <c r="L1606" s="3">
        <f t="shared" si="77"/>
        <v>4208.8799999999992</v>
      </c>
    </row>
    <row r="1607" spans="1:12" x14ac:dyDescent="0.3">
      <c r="A1607">
        <v>2552</v>
      </c>
      <c r="B1607" s="2">
        <v>45950</v>
      </c>
      <c r="C1607" t="s">
        <v>16</v>
      </c>
      <c r="D1607" t="s">
        <v>13</v>
      </c>
      <c r="E1607" t="s">
        <v>46</v>
      </c>
      <c r="F1607" t="s">
        <v>33</v>
      </c>
      <c r="G1607">
        <v>2</v>
      </c>
      <c r="H1607" s="3">
        <v>14.33</v>
      </c>
      <c r="I1607" s="3">
        <v>9</v>
      </c>
      <c r="J1607" s="3">
        <f t="shared" si="75"/>
        <v>28.66</v>
      </c>
      <c r="K1607" s="3">
        <f t="shared" si="76"/>
        <v>18</v>
      </c>
      <c r="L1607" s="3">
        <f t="shared" si="77"/>
        <v>10.66</v>
      </c>
    </row>
    <row r="1608" spans="1:12" x14ac:dyDescent="0.3">
      <c r="A1608">
        <v>1340</v>
      </c>
      <c r="B1608" s="2">
        <v>45951</v>
      </c>
      <c r="C1608" t="s">
        <v>12</v>
      </c>
      <c r="D1608" t="s">
        <v>20</v>
      </c>
      <c r="E1608" t="s">
        <v>38</v>
      </c>
      <c r="F1608" t="s">
        <v>15</v>
      </c>
      <c r="G1608">
        <v>30</v>
      </c>
      <c r="H1608" s="3">
        <v>258.63</v>
      </c>
      <c r="I1608" s="3">
        <v>152.61000000000001</v>
      </c>
      <c r="J1608" s="3">
        <f t="shared" si="75"/>
        <v>7758.9</v>
      </c>
      <c r="K1608" s="3">
        <f t="shared" si="76"/>
        <v>4578.3</v>
      </c>
      <c r="L1608" s="3">
        <f t="shared" si="77"/>
        <v>3180.5999999999995</v>
      </c>
    </row>
    <row r="1609" spans="1:12" x14ac:dyDescent="0.3">
      <c r="A1609">
        <v>1865</v>
      </c>
      <c r="B1609" s="2">
        <v>45951</v>
      </c>
      <c r="C1609" t="s">
        <v>26</v>
      </c>
      <c r="D1609" t="s">
        <v>13</v>
      </c>
      <c r="E1609" t="s">
        <v>24</v>
      </c>
      <c r="F1609" t="s">
        <v>25</v>
      </c>
      <c r="G1609">
        <v>18</v>
      </c>
      <c r="H1609" s="3">
        <v>38.76</v>
      </c>
      <c r="I1609" s="3">
        <v>28.66</v>
      </c>
      <c r="J1609" s="3">
        <f t="shared" si="75"/>
        <v>697.68</v>
      </c>
      <c r="K1609" s="3">
        <f t="shared" si="76"/>
        <v>515.88</v>
      </c>
      <c r="L1609" s="3">
        <f t="shared" si="77"/>
        <v>181.79999999999995</v>
      </c>
    </row>
    <row r="1610" spans="1:12" x14ac:dyDescent="0.3">
      <c r="A1610">
        <v>2227</v>
      </c>
      <c r="B1610" s="2">
        <v>45951</v>
      </c>
      <c r="C1610" t="s">
        <v>26</v>
      </c>
      <c r="D1610" t="s">
        <v>20</v>
      </c>
      <c r="E1610" t="s">
        <v>21</v>
      </c>
      <c r="F1610" t="s">
        <v>19</v>
      </c>
      <c r="G1610">
        <v>19</v>
      </c>
      <c r="H1610" s="3">
        <v>114.05</v>
      </c>
      <c r="I1610" s="3">
        <v>77.59</v>
      </c>
      <c r="J1610" s="3">
        <f t="shared" si="75"/>
        <v>2166.9499999999998</v>
      </c>
      <c r="K1610" s="3">
        <f t="shared" si="76"/>
        <v>1474.21</v>
      </c>
      <c r="L1610" s="3">
        <f t="shared" si="77"/>
        <v>692.73999999999978</v>
      </c>
    </row>
    <row r="1611" spans="1:12" x14ac:dyDescent="0.3">
      <c r="A1611">
        <v>2381</v>
      </c>
      <c r="B1611" s="2">
        <v>45951</v>
      </c>
      <c r="C1611" t="s">
        <v>16</v>
      </c>
      <c r="D1611" t="s">
        <v>29</v>
      </c>
      <c r="E1611" t="s">
        <v>37</v>
      </c>
      <c r="F1611" t="s">
        <v>28</v>
      </c>
      <c r="G1611">
        <v>3</v>
      </c>
      <c r="H1611" s="3">
        <v>224.94</v>
      </c>
      <c r="I1611" s="3">
        <v>159.77000000000001</v>
      </c>
      <c r="J1611" s="3">
        <f t="shared" si="75"/>
        <v>674.81999999999994</v>
      </c>
      <c r="K1611" s="3">
        <f t="shared" si="76"/>
        <v>479.31000000000006</v>
      </c>
      <c r="L1611" s="3">
        <f t="shared" si="77"/>
        <v>195.50999999999988</v>
      </c>
    </row>
    <row r="1612" spans="1:12" x14ac:dyDescent="0.3">
      <c r="A1612">
        <v>1973</v>
      </c>
      <c r="B1612" s="2">
        <v>45952</v>
      </c>
      <c r="C1612" t="s">
        <v>16</v>
      </c>
      <c r="D1612" t="s">
        <v>20</v>
      </c>
      <c r="E1612" t="s">
        <v>42</v>
      </c>
      <c r="F1612" t="s">
        <v>33</v>
      </c>
      <c r="G1612">
        <v>9</v>
      </c>
      <c r="H1612" s="3">
        <v>294.89</v>
      </c>
      <c r="I1612" s="3">
        <v>173.82</v>
      </c>
      <c r="J1612" s="3">
        <f t="shared" si="75"/>
        <v>2654.0099999999998</v>
      </c>
      <c r="K1612" s="3">
        <f t="shared" si="76"/>
        <v>1564.3799999999999</v>
      </c>
      <c r="L1612" s="3">
        <f t="shared" si="77"/>
        <v>1089.6299999999999</v>
      </c>
    </row>
    <row r="1613" spans="1:12" x14ac:dyDescent="0.3">
      <c r="A1613">
        <v>2231</v>
      </c>
      <c r="B1613" s="2">
        <v>45952</v>
      </c>
      <c r="C1613" t="s">
        <v>23</v>
      </c>
      <c r="D1613" t="s">
        <v>29</v>
      </c>
      <c r="E1613" t="s">
        <v>41</v>
      </c>
      <c r="F1613" t="s">
        <v>28</v>
      </c>
      <c r="G1613">
        <v>16</v>
      </c>
      <c r="H1613" s="3">
        <v>224.96</v>
      </c>
      <c r="I1613" s="3">
        <v>138.07</v>
      </c>
      <c r="J1613" s="3">
        <f t="shared" si="75"/>
        <v>3599.36</v>
      </c>
      <c r="K1613" s="3">
        <f t="shared" si="76"/>
        <v>2209.12</v>
      </c>
      <c r="L1613" s="3">
        <f t="shared" si="77"/>
        <v>1390.2400000000002</v>
      </c>
    </row>
    <row r="1614" spans="1:12" x14ac:dyDescent="0.3">
      <c r="A1614">
        <v>1020</v>
      </c>
      <c r="B1614" s="2">
        <v>45953</v>
      </c>
      <c r="C1614" t="s">
        <v>26</v>
      </c>
      <c r="D1614" t="s">
        <v>17</v>
      </c>
      <c r="E1614" t="s">
        <v>18</v>
      </c>
      <c r="F1614" t="s">
        <v>33</v>
      </c>
      <c r="G1614">
        <v>7</v>
      </c>
      <c r="H1614" s="3">
        <v>268.87</v>
      </c>
      <c r="I1614" s="3">
        <v>153.16</v>
      </c>
      <c r="J1614" s="3">
        <f t="shared" si="75"/>
        <v>1882.0900000000001</v>
      </c>
      <c r="K1614" s="3">
        <f t="shared" si="76"/>
        <v>1072.1199999999999</v>
      </c>
      <c r="L1614" s="3">
        <f t="shared" si="77"/>
        <v>809.97000000000025</v>
      </c>
    </row>
    <row r="1615" spans="1:12" x14ac:dyDescent="0.3">
      <c r="A1615">
        <v>1646</v>
      </c>
      <c r="B1615" s="2">
        <v>45954</v>
      </c>
      <c r="C1615" t="s">
        <v>23</v>
      </c>
      <c r="D1615" t="s">
        <v>17</v>
      </c>
      <c r="E1615" t="s">
        <v>27</v>
      </c>
      <c r="F1615" t="s">
        <v>28</v>
      </c>
      <c r="G1615">
        <v>9</v>
      </c>
      <c r="H1615" s="3">
        <v>792.01</v>
      </c>
      <c r="I1615" s="3">
        <v>471.94</v>
      </c>
      <c r="J1615" s="3">
        <f t="shared" si="75"/>
        <v>7128.09</v>
      </c>
      <c r="K1615" s="3">
        <f t="shared" si="76"/>
        <v>4247.46</v>
      </c>
      <c r="L1615" s="3">
        <f t="shared" si="77"/>
        <v>2880.63</v>
      </c>
    </row>
    <row r="1616" spans="1:12" x14ac:dyDescent="0.3">
      <c r="A1616">
        <v>2531</v>
      </c>
      <c r="B1616" s="2">
        <v>45954</v>
      </c>
      <c r="C1616" t="s">
        <v>12</v>
      </c>
      <c r="D1616" t="s">
        <v>17</v>
      </c>
      <c r="E1616" t="s">
        <v>44</v>
      </c>
      <c r="F1616" t="s">
        <v>19</v>
      </c>
      <c r="G1616">
        <v>8</v>
      </c>
      <c r="H1616" s="3">
        <v>731.42</v>
      </c>
      <c r="I1616" s="3">
        <v>427.87</v>
      </c>
      <c r="J1616" s="3">
        <f t="shared" si="75"/>
        <v>5851.36</v>
      </c>
      <c r="K1616" s="3">
        <f t="shared" si="76"/>
        <v>3422.96</v>
      </c>
      <c r="L1616" s="3">
        <f t="shared" si="77"/>
        <v>2428.3999999999996</v>
      </c>
    </row>
    <row r="1617" spans="1:12" x14ac:dyDescent="0.3">
      <c r="A1617">
        <v>2643</v>
      </c>
      <c r="B1617" s="2">
        <v>45954</v>
      </c>
      <c r="C1617" t="s">
        <v>23</v>
      </c>
      <c r="D1617" t="s">
        <v>29</v>
      </c>
      <c r="E1617" t="s">
        <v>43</v>
      </c>
      <c r="F1617" t="s">
        <v>25</v>
      </c>
      <c r="G1617">
        <v>6</v>
      </c>
      <c r="H1617" s="3">
        <v>475.89</v>
      </c>
      <c r="I1617" s="3">
        <v>238.13</v>
      </c>
      <c r="J1617" s="3">
        <f t="shared" si="75"/>
        <v>2855.34</v>
      </c>
      <c r="K1617" s="3">
        <f t="shared" si="76"/>
        <v>1428.78</v>
      </c>
      <c r="L1617" s="3">
        <f t="shared" si="77"/>
        <v>1426.5600000000002</v>
      </c>
    </row>
    <row r="1618" spans="1:12" x14ac:dyDescent="0.3">
      <c r="A1618">
        <v>1098</v>
      </c>
      <c r="B1618" s="2">
        <v>45955</v>
      </c>
      <c r="C1618" t="s">
        <v>26</v>
      </c>
      <c r="D1618" t="s">
        <v>20</v>
      </c>
      <c r="E1618" t="s">
        <v>38</v>
      </c>
      <c r="F1618" t="s">
        <v>36</v>
      </c>
      <c r="G1618">
        <v>8</v>
      </c>
      <c r="H1618" s="3">
        <v>157.93</v>
      </c>
      <c r="I1618" s="3">
        <v>82.8</v>
      </c>
      <c r="J1618" s="3">
        <f t="shared" si="75"/>
        <v>1263.44</v>
      </c>
      <c r="K1618" s="3">
        <f t="shared" si="76"/>
        <v>662.4</v>
      </c>
      <c r="L1618" s="3">
        <f t="shared" si="77"/>
        <v>601.04000000000008</v>
      </c>
    </row>
    <row r="1619" spans="1:12" x14ac:dyDescent="0.3">
      <c r="A1619">
        <v>2443</v>
      </c>
      <c r="B1619" s="2">
        <v>45955</v>
      </c>
      <c r="C1619" t="s">
        <v>32</v>
      </c>
      <c r="D1619" t="s">
        <v>17</v>
      </c>
      <c r="E1619" t="s">
        <v>35</v>
      </c>
      <c r="F1619" t="s">
        <v>22</v>
      </c>
      <c r="G1619">
        <v>10</v>
      </c>
      <c r="H1619" s="3">
        <v>890.26</v>
      </c>
      <c r="I1619" s="3">
        <v>557.30999999999995</v>
      </c>
      <c r="J1619" s="3">
        <f t="shared" si="75"/>
        <v>8902.6</v>
      </c>
      <c r="K1619" s="3">
        <f t="shared" si="76"/>
        <v>5573.0999999999995</v>
      </c>
      <c r="L1619" s="3">
        <f t="shared" si="77"/>
        <v>3329.5000000000009</v>
      </c>
    </row>
    <row r="1620" spans="1:12" x14ac:dyDescent="0.3">
      <c r="A1620">
        <v>1294</v>
      </c>
      <c r="B1620" s="2">
        <v>45956</v>
      </c>
      <c r="C1620" t="s">
        <v>32</v>
      </c>
      <c r="D1620" t="s">
        <v>13</v>
      </c>
      <c r="E1620" t="s">
        <v>46</v>
      </c>
      <c r="F1620" t="s">
        <v>33</v>
      </c>
      <c r="G1620">
        <v>15</v>
      </c>
      <c r="H1620" s="3">
        <v>49.42</v>
      </c>
      <c r="I1620" s="3">
        <v>28.35</v>
      </c>
      <c r="J1620" s="3">
        <f t="shared" si="75"/>
        <v>741.30000000000007</v>
      </c>
      <c r="K1620" s="3">
        <f t="shared" si="76"/>
        <v>425.25</v>
      </c>
      <c r="L1620" s="3">
        <f t="shared" si="77"/>
        <v>316.05000000000007</v>
      </c>
    </row>
    <row r="1621" spans="1:12" x14ac:dyDescent="0.3">
      <c r="A1621">
        <v>2409</v>
      </c>
      <c r="B1621" s="2">
        <v>45956</v>
      </c>
      <c r="C1621" t="s">
        <v>16</v>
      </c>
      <c r="D1621" t="s">
        <v>17</v>
      </c>
      <c r="E1621" t="s">
        <v>27</v>
      </c>
      <c r="F1621" t="s">
        <v>28</v>
      </c>
      <c r="G1621">
        <v>14</v>
      </c>
      <c r="H1621" s="3">
        <v>672.15</v>
      </c>
      <c r="I1621" s="3">
        <v>450.75</v>
      </c>
      <c r="J1621" s="3">
        <f t="shared" si="75"/>
        <v>9410.1</v>
      </c>
      <c r="K1621" s="3">
        <f t="shared" si="76"/>
        <v>6310.5</v>
      </c>
      <c r="L1621" s="3">
        <f t="shared" si="77"/>
        <v>3099.6000000000004</v>
      </c>
    </row>
    <row r="1622" spans="1:12" x14ac:dyDescent="0.3">
      <c r="A1622">
        <v>1358</v>
      </c>
      <c r="B1622" s="2">
        <v>45957</v>
      </c>
      <c r="C1622" t="s">
        <v>12</v>
      </c>
      <c r="D1622" t="s">
        <v>29</v>
      </c>
      <c r="E1622" t="s">
        <v>30</v>
      </c>
      <c r="F1622" t="s">
        <v>33</v>
      </c>
      <c r="G1622">
        <v>36</v>
      </c>
      <c r="H1622" s="3">
        <v>360.21</v>
      </c>
      <c r="I1622" s="3">
        <v>247.45</v>
      </c>
      <c r="J1622" s="3">
        <f t="shared" si="75"/>
        <v>12967.56</v>
      </c>
      <c r="K1622" s="3">
        <f t="shared" si="76"/>
        <v>8908.1999999999989</v>
      </c>
      <c r="L1622" s="3">
        <f t="shared" si="77"/>
        <v>4059.3600000000006</v>
      </c>
    </row>
    <row r="1623" spans="1:12" x14ac:dyDescent="0.3">
      <c r="A1623">
        <v>2631</v>
      </c>
      <c r="B1623" s="2">
        <v>45958</v>
      </c>
      <c r="C1623" t="s">
        <v>32</v>
      </c>
      <c r="D1623" t="s">
        <v>13</v>
      </c>
      <c r="E1623" t="s">
        <v>46</v>
      </c>
      <c r="F1623" t="s">
        <v>25</v>
      </c>
      <c r="G1623">
        <v>10</v>
      </c>
      <c r="H1623" s="3">
        <v>57.74</v>
      </c>
      <c r="I1623" s="3">
        <v>36.65</v>
      </c>
      <c r="J1623" s="3">
        <f t="shared" si="75"/>
        <v>577.4</v>
      </c>
      <c r="K1623" s="3">
        <f t="shared" si="76"/>
        <v>366.5</v>
      </c>
      <c r="L1623" s="3">
        <f t="shared" si="77"/>
        <v>210.89999999999998</v>
      </c>
    </row>
    <row r="1624" spans="1:12" x14ac:dyDescent="0.3">
      <c r="A1624">
        <v>2727</v>
      </c>
      <c r="B1624" s="2">
        <v>45958</v>
      </c>
      <c r="C1624" t="s">
        <v>23</v>
      </c>
      <c r="D1624" t="s">
        <v>17</v>
      </c>
      <c r="E1624" t="s">
        <v>27</v>
      </c>
      <c r="F1624" t="s">
        <v>28</v>
      </c>
      <c r="G1624">
        <v>13</v>
      </c>
      <c r="H1624" s="3">
        <v>599.97</v>
      </c>
      <c r="I1624" s="3">
        <v>303.77999999999997</v>
      </c>
      <c r="J1624" s="3">
        <f t="shared" si="75"/>
        <v>7799.6100000000006</v>
      </c>
      <c r="K1624" s="3">
        <f t="shared" si="76"/>
        <v>3949.1399999999994</v>
      </c>
      <c r="L1624" s="3">
        <f t="shared" si="77"/>
        <v>3850.4700000000012</v>
      </c>
    </row>
    <row r="1625" spans="1:12" x14ac:dyDescent="0.3">
      <c r="A1625">
        <v>1084</v>
      </c>
      <c r="B1625" s="2">
        <v>45959</v>
      </c>
      <c r="C1625" t="s">
        <v>12</v>
      </c>
      <c r="D1625" t="s">
        <v>20</v>
      </c>
      <c r="E1625" t="s">
        <v>42</v>
      </c>
      <c r="F1625" t="s">
        <v>19</v>
      </c>
      <c r="G1625">
        <v>33</v>
      </c>
      <c r="H1625" s="3">
        <v>256.61</v>
      </c>
      <c r="I1625" s="3">
        <v>134.69999999999999</v>
      </c>
      <c r="J1625" s="3">
        <f t="shared" si="75"/>
        <v>8468.130000000001</v>
      </c>
      <c r="K1625" s="3">
        <f t="shared" si="76"/>
        <v>4445.0999999999995</v>
      </c>
      <c r="L1625" s="3">
        <f t="shared" si="77"/>
        <v>4023.0300000000016</v>
      </c>
    </row>
    <row r="1626" spans="1:12" x14ac:dyDescent="0.3">
      <c r="A1626">
        <v>1182</v>
      </c>
      <c r="B1626" s="2">
        <v>45959</v>
      </c>
      <c r="C1626" t="s">
        <v>16</v>
      </c>
      <c r="D1626" t="s">
        <v>13</v>
      </c>
      <c r="E1626" t="s">
        <v>46</v>
      </c>
      <c r="F1626" t="s">
        <v>22</v>
      </c>
      <c r="G1626">
        <v>12</v>
      </c>
      <c r="H1626" s="3">
        <v>50.74</v>
      </c>
      <c r="I1626" s="3">
        <v>35.979999999999997</v>
      </c>
      <c r="J1626" s="3">
        <f t="shared" si="75"/>
        <v>608.88</v>
      </c>
      <c r="K1626" s="3">
        <f t="shared" si="76"/>
        <v>431.76</v>
      </c>
      <c r="L1626" s="3">
        <f t="shared" si="77"/>
        <v>177.12</v>
      </c>
    </row>
    <row r="1627" spans="1:12" x14ac:dyDescent="0.3">
      <c r="A1627">
        <v>2623</v>
      </c>
      <c r="B1627" s="2">
        <v>45959</v>
      </c>
      <c r="C1627" t="s">
        <v>23</v>
      </c>
      <c r="D1627" t="s">
        <v>29</v>
      </c>
      <c r="E1627" t="s">
        <v>37</v>
      </c>
      <c r="F1627" t="s">
        <v>39</v>
      </c>
      <c r="G1627">
        <v>5</v>
      </c>
      <c r="H1627" s="3">
        <v>144.75</v>
      </c>
      <c r="I1627" s="3">
        <v>88.57</v>
      </c>
      <c r="J1627" s="3">
        <f t="shared" si="75"/>
        <v>723.75</v>
      </c>
      <c r="K1627" s="3">
        <f t="shared" si="76"/>
        <v>442.84999999999997</v>
      </c>
      <c r="L1627" s="3">
        <f t="shared" si="77"/>
        <v>280.90000000000003</v>
      </c>
    </row>
    <row r="1628" spans="1:12" x14ac:dyDescent="0.3">
      <c r="A1628">
        <v>2750</v>
      </c>
      <c r="B1628" s="2">
        <v>45959</v>
      </c>
      <c r="C1628" t="s">
        <v>23</v>
      </c>
      <c r="D1628" t="s">
        <v>17</v>
      </c>
      <c r="E1628" t="s">
        <v>44</v>
      </c>
      <c r="F1628" t="s">
        <v>25</v>
      </c>
      <c r="G1628">
        <v>10</v>
      </c>
      <c r="H1628" s="3">
        <v>318.27999999999997</v>
      </c>
      <c r="I1628" s="3">
        <v>193.35</v>
      </c>
      <c r="J1628" s="3">
        <f t="shared" si="75"/>
        <v>3182.7999999999997</v>
      </c>
      <c r="K1628" s="3">
        <f t="shared" si="76"/>
        <v>1933.5</v>
      </c>
      <c r="L1628" s="3">
        <f t="shared" si="77"/>
        <v>1249.2999999999997</v>
      </c>
    </row>
    <row r="1629" spans="1:12" x14ac:dyDescent="0.3">
      <c r="A1629">
        <v>1543</v>
      </c>
      <c r="B1629" s="2">
        <v>45960</v>
      </c>
      <c r="C1629" t="s">
        <v>26</v>
      </c>
      <c r="D1629" t="s">
        <v>17</v>
      </c>
      <c r="E1629" t="s">
        <v>18</v>
      </c>
      <c r="F1629" t="s">
        <v>15</v>
      </c>
      <c r="G1629">
        <v>10</v>
      </c>
      <c r="H1629" s="3">
        <v>648.04999999999995</v>
      </c>
      <c r="I1629" s="3">
        <v>476.3</v>
      </c>
      <c r="J1629" s="3">
        <f t="shared" si="75"/>
        <v>6480.5</v>
      </c>
      <c r="K1629" s="3">
        <f t="shared" si="76"/>
        <v>4763</v>
      </c>
      <c r="L1629" s="3">
        <f t="shared" si="77"/>
        <v>1717.5</v>
      </c>
    </row>
    <row r="1630" spans="1:12" x14ac:dyDescent="0.3">
      <c r="A1630">
        <v>1813</v>
      </c>
      <c r="B1630" s="2">
        <v>45960</v>
      </c>
      <c r="C1630" t="s">
        <v>23</v>
      </c>
      <c r="D1630" t="s">
        <v>17</v>
      </c>
      <c r="E1630" t="s">
        <v>18</v>
      </c>
      <c r="F1630" t="s">
        <v>36</v>
      </c>
      <c r="G1630">
        <v>18</v>
      </c>
      <c r="H1630" s="3">
        <v>591.16</v>
      </c>
      <c r="I1630" s="3">
        <v>313.62</v>
      </c>
      <c r="J1630" s="3">
        <f t="shared" si="75"/>
        <v>10640.88</v>
      </c>
      <c r="K1630" s="3">
        <f t="shared" si="76"/>
        <v>5645.16</v>
      </c>
      <c r="L1630" s="3">
        <f t="shared" si="77"/>
        <v>4995.7199999999993</v>
      </c>
    </row>
    <row r="1631" spans="1:12" x14ac:dyDescent="0.3">
      <c r="A1631">
        <v>2003</v>
      </c>
      <c r="B1631" s="2">
        <v>45960</v>
      </c>
      <c r="C1631" t="s">
        <v>16</v>
      </c>
      <c r="D1631" t="s">
        <v>17</v>
      </c>
      <c r="E1631" t="s">
        <v>27</v>
      </c>
      <c r="F1631" t="s">
        <v>15</v>
      </c>
      <c r="G1631">
        <v>37</v>
      </c>
      <c r="H1631" s="3">
        <v>615.04999999999995</v>
      </c>
      <c r="I1631" s="3">
        <v>310.18</v>
      </c>
      <c r="J1631" s="3">
        <f t="shared" si="75"/>
        <v>22756.85</v>
      </c>
      <c r="K1631" s="3">
        <f t="shared" si="76"/>
        <v>11476.66</v>
      </c>
      <c r="L1631" s="3">
        <f t="shared" si="77"/>
        <v>11280.189999999999</v>
      </c>
    </row>
    <row r="1632" spans="1:12" x14ac:dyDescent="0.3">
      <c r="A1632">
        <v>1549</v>
      </c>
      <c r="B1632" s="2">
        <v>45961</v>
      </c>
      <c r="C1632" t="s">
        <v>16</v>
      </c>
      <c r="D1632" t="s">
        <v>20</v>
      </c>
      <c r="E1632" t="s">
        <v>34</v>
      </c>
      <c r="F1632" t="s">
        <v>39</v>
      </c>
      <c r="G1632">
        <v>5</v>
      </c>
      <c r="H1632" s="3">
        <v>151.94</v>
      </c>
      <c r="I1632" s="3">
        <v>110.84</v>
      </c>
      <c r="J1632" s="3">
        <f t="shared" si="75"/>
        <v>759.7</v>
      </c>
      <c r="K1632" s="3">
        <f t="shared" si="76"/>
        <v>554.20000000000005</v>
      </c>
      <c r="L1632" s="3">
        <f t="shared" si="77"/>
        <v>205.5</v>
      </c>
    </row>
    <row r="1633" spans="1:12" x14ac:dyDescent="0.3">
      <c r="A1633">
        <v>2799</v>
      </c>
      <c r="B1633" s="2">
        <v>45961</v>
      </c>
      <c r="C1633" t="s">
        <v>32</v>
      </c>
      <c r="D1633" t="s">
        <v>13</v>
      </c>
      <c r="E1633" t="s">
        <v>24</v>
      </c>
      <c r="F1633" t="s">
        <v>15</v>
      </c>
      <c r="G1633">
        <v>8</v>
      </c>
      <c r="H1633" s="3">
        <v>55.67</v>
      </c>
      <c r="I1633" s="3">
        <v>30.87</v>
      </c>
      <c r="J1633" s="3">
        <f t="shared" si="75"/>
        <v>445.36</v>
      </c>
      <c r="K1633" s="3">
        <f t="shared" si="76"/>
        <v>246.96</v>
      </c>
      <c r="L1633" s="3">
        <f t="shared" si="77"/>
        <v>198.4</v>
      </c>
    </row>
    <row r="1634" spans="1:12" x14ac:dyDescent="0.3">
      <c r="A1634">
        <v>1993</v>
      </c>
      <c r="B1634" s="2">
        <v>45962</v>
      </c>
      <c r="C1634" t="s">
        <v>12</v>
      </c>
      <c r="D1634" t="s">
        <v>29</v>
      </c>
      <c r="E1634" t="s">
        <v>37</v>
      </c>
      <c r="F1634" t="s">
        <v>36</v>
      </c>
      <c r="G1634">
        <v>31</v>
      </c>
      <c r="H1634" s="3">
        <v>112.08</v>
      </c>
      <c r="I1634" s="3">
        <v>61.81</v>
      </c>
      <c r="J1634" s="3">
        <f t="shared" si="75"/>
        <v>3474.48</v>
      </c>
      <c r="K1634" s="3">
        <f t="shared" si="76"/>
        <v>1916.1100000000001</v>
      </c>
      <c r="L1634" s="3">
        <f t="shared" si="77"/>
        <v>1558.37</v>
      </c>
    </row>
    <row r="1635" spans="1:12" x14ac:dyDescent="0.3">
      <c r="A1635">
        <v>2577</v>
      </c>
      <c r="B1635" s="2">
        <v>45962</v>
      </c>
      <c r="C1635" t="s">
        <v>32</v>
      </c>
      <c r="D1635" t="s">
        <v>13</v>
      </c>
      <c r="E1635" t="s">
        <v>46</v>
      </c>
      <c r="F1635" t="s">
        <v>25</v>
      </c>
      <c r="G1635">
        <v>37</v>
      </c>
      <c r="H1635" s="3">
        <v>51.9</v>
      </c>
      <c r="I1635" s="3">
        <v>25.99</v>
      </c>
      <c r="J1635" s="3">
        <f t="shared" si="75"/>
        <v>1920.3</v>
      </c>
      <c r="K1635" s="3">
        <f t="shared" si="76"/>
        <v>961.63</v>
      </c>
      <c r="L1635" s="3">
        <f t="shared" si="77"/>
        <v>958.67</v>
      </c>
    </row>
    <row r="1636" spans="1:12" x14ac:dyDescent="0.3">
      <c r="A1636">
        <v>1147</v>
      </c>
      <c r="B1636" s="2">
        <v>45963</v>
      </c>
      <c r="C1636" t="s">
        <v>32</v>
      </c>
      <c r="D1636" t="s">
        <v>29</v>
      </c>
      <c r="E1636" t="s">
        <v>30</v>
      </c>
      <c r="F1636" t="s">
        <v>33</v>
      </c>
      <c r="G1636">
        <v>28</v>
      </c>
      <c r="H1636" s="3">
        <v>455.75</v>
      </c>
      <c r="I1636" s="3">
        <v>338.82</v>
      </c>
      <c r="J1636" s="3">
        <f t="shared" si="75"/>
        <v>12761</v>
      </c>
      <c r="K1636" s="3">
        <f t="shared" si="76"/>
        <v>9486.9599999999991</v>
      </c>
      <c r="L1636" s="3">
        <f t="shared" si="77"/>
        <v>3274.0400000000009</v>
      </c>
    </row>
    <row r="1637" spans="1:12" x14ac:dyDescent="0.3">
      <c r="A1637">
        <v>1270</v>
      </c>
      <c r="B1637" s="2">
        <v>45963</v>
      </c>
      <c r="C1637" t="s">
        <v>23</v>
      </c>
      <c r="D1637" t="s">
        <v>13</v>
      </c>
      <c r="E1637" t="s">
        <v>31</v>
      </c>
      <c r="F1637" t="s">
        <v>39</v>
      </c>
      <c r="G1637">
        <v>27</v>
      </c>
      <c r="H1637" s="3">
        <v>21.24</v>
      </c>
      <c r="I1637" s="3">
        <v>11.25</v>
      </c>
      <c r="J1637" s="3">
        <f t="shared" si="75"/>
        <v>573.4799999999999</v>
      </c>
      <c r="K1637" s="3">
        <f t="shared" si="76"/>
        <v>303.75</v>
      </c>
      <c r="L1637" s="3">
        <f t="shared" si="77"/>
        <v>269.7299999999999</v>
      </c>
    </row>
    <row r="1638" spans="1:12" x14ac:dyDescent="0.3">
      <c r="A1638">
        <v>2006</v>
      </c>
      <c r="B1638" s="2">
        <v>45963</v>
      </c>
      <c r="C1638" t="s">
        <v>26</v>
      </c>
      <c r="D1638" t="s">
        <v>13</v>
      </c>
      <c r="E1638" t="s">
        <v>45</v>
      </c>
      <c r="F1638" t="s">
        <v>22</v>
      </c>
      <c r="G1638">
        <v>12</v>
      </c>
      <c r="H1638" s="3">
        <v>52.05</v>
      </c>
      <c r="I1638" s="3">
        <v>35.36</v>
      </c>
      <c r="J1638" s="3">
        <f t="shared" si="75"/>
        <v>624.59999999999991</v>
      </c>
      <c r="K1638" s="3">
        <f t="shared" si="76"/>
        <v>424.32</v>
      </c>
      <c r="L1638" s="3">
        <f t="shared" si="77"/>
        <v>200.27999999999992</v>
      </c>
    </row>
    <row r="1639" spans="1:12" x14ac:dyDescent="0.3">
      <c r="A1639">
        <v>2169</v>
      </c>
      <c r="B1639" s="2">
        <v>45963</v>
      </c>
      <c r="C1639" t="s">
        <v>16</v>
      </c>
      <c r="D1639" t="s">
        <v>29</v>
      </c>
      <c r="E1639" t="s">
        <v>43</v>
      </c>
      <c r="F1639" t="s">
        <v>19</v>
      </c>
      <c r="G1639">
        <v>17</v>
      </c>
      <c r="H1639" s="3">
        <v>404.24</v>
      </c>
      <c r="I1639" s="3">
        <v>211.87</v>
      </c>
      <c r="J1639" s="3">
        <f t="shared" si="75"/>
        <v>6872.08</v>
      </c>
      <c r="K1639" s="3">
        <f t="shared" si="76"/>
        <v>3601.79</v>
      </c>
      <c r="L1639" s="3">
        <f t="shared" si="77"/>
        <v>3270.29</v>
      </c>
    </row>
    <row r="1640" spans="1:12" x14ac:dyDescent="0.3">
      <c r="A1640">
        <v>2392</v>
      </c>
      <c r="B1640" s="2">
        <v>45963</v>
      </c>
      <c r="C1640" t="s">
        <v>12</v>
      </c>
      <c r="D1640" t="s">
        <v>17</v>
      </c>
      <c r="E1640" t="s">
        <v>18</v>
      </c>
      <c r="F1640" t="s">
        <v>25</v>
      </c>
      <c r="G1640">
        <v>22</v>
      </c>
      <c r="H1640" s="3">
        <v>603.35</v>
      </c>
      <c r="I1640" s="3">
        <v>414.71</v>
      </c>
      <c r="J1640" s="3">
        <f t="shared" si="75"/>
        <v>13273.7</v>
      </c>
      <c r="K1640" s="3">
        <f t="shared" si="76"/>
        <v>9123.619999999999</v>
      </c>
      <c r="L1640" s="3">
        <f t="shared" si="77"/>
        <v>4150.0800000000017</v>
      </c>
    </row>
    <row r="1641" spans="1:12" x14ac:dyDescent="0.3">
      <c r="A1641">
        <v>2743</v>
      </c>
      <c r="B1641" s="2">
        <v>45963</v>
      </c>
      <c r="C1641" t="s">
        <v>26</v>
      </c>
      <c r="D1641" t="s">
        <v>20</v>
      </c>
      <c r="E1641" t="s">
        <v>34</v>
      </c>
      <c r="F1641" t="s">
        <v>28</v>
      </c>
      <c r="G1641">
        <v>16</v>
      </c>
      <c r="H1641" s="3">
        <v>96.04</v>
      </c>
      <c r="I1641" s="3">
        <v>64.44</v>
      </c>
      <c r="J1641" s="3">
        <f t="shared" si="75"/>
        <v>1536.64</v>
      </c>
      <c r="K1641" s="3">
        <f t="shared" si="76"/>
        <v>1031.04</v>
      </c>
      <c r="L1641" s="3">
        <f t="shared" si="77"/>
        <v>505.60000000000014</v>
      </c>
    </row>
    <row r="1642" spans="1:12" x14ac:dyDescent="0.3">
      <c r="A1642">
        <v>1652</v>
      </c>
      <c r="B1642" s="2">
        <v>45965</v>
      </c>
      <c r="C1642" t="s">
        <v>23</v>
      </c>
      <c r="D1642" t="s">
        <v>17</v>
      </c>
      <c r="E1642" t="s">
        <v>44</v>
      </c>
      <c r="F1642" t="s">
        <v>19</v>
      </c>
      <c r="G1642">
        <v>4</v>
      </c>
      <c r="H1642" s="3">
        <v>253.08</v>
      </c>
      <c r="I1642" s="3">
        <v>154.15</v>
      </c>
      <c r="J1642" s="3">
        <f t="shared" si="75"/>
        <v>1012.32</v>
      </c>
      <c r="K1642" s="3">
        <f t="shared" si="76"/>
        <v>616.6</v>
      </c>
      <c r="L1642" s="3">
        <f t="shared" si="77"/>
        <v>395.72</v>
      </c>
    </row>
    <row r="1643" spans="1:12" x14ac:dyDescent="0.3">
      <c r="A1643">
        <v>2765</v>
      </c>
      <c r="B1643" s="2">
        <v>45965</v>
      </c>
      <c r="C1643" t="s">
        <v>16</v>
      </c>
      <c r="D1643" t="s">
        <v>13</v>
      </c>
      <c r="E1643" t="s">
        <v>24</v>
      </c>
      <c r="F1643" t="s">
        <v>39</v>
      </c>
      <c r="G1643">
        <v>4</v>
      </c>
      <c r="H1643" s="3">
        <v>31.53</v>
      </c>
      <c r="I1643" s="3">
        <v>21.47</v>
      </c>
      <c r="J1643" s="3">
        <f t="shared" si="75"/>
        <v>126.12</v>
      </c>
      <c r="K1643" s="3">
        <f t="shared" si="76"/>
        <v>85.88</v>
      </c>
      <c r="L1643" s="3">
        <f t="shared" si="77"/>
        <v>40.240000000000009</v>
      </c>
    </row>
    <row r="1644" spans="1:12" x14ac:dyDescent="0.3">
      <c r="A1644">
        <v>1092</v>
      </c>
      <c r="B1644" s="2">
        <v>45966</v>
      </c>
      <c r="C1644" t="s">
        <v>23</v>
      </c>
      <c r="D1644" t="s">
        <v>29</v>
      </c>
      <c r="E1644" t="s">
        <v>30</v>
      </c>
      <c r="F1644" t="s">
        <v>22</v>
      </c>
      <c r="G1644">
        <v>39</v>
      </c>
      <c r="H1644" s="3">
        <v>459.23</v>
      </c>
      <c r="I1644" s="3">
        <v>256.02999999999997</v>
      </c>
      <c r="J1644" s="3">
        <f t="shared" si="75"/>
        <v>17909.97</v>
      </c>
      <c r="K1644" s="3">
        <f t="shared" si="76"/>
        <v>9985.1699999999983</v>
      </c>
      <c r="L1644" s="3">
        <f t="shared" si="77"/>
        <v>7924.8000000000029</v>
      </c>
    </row>
    <row r="1645" spans="1:12" x14ac:dyDescent="0.3">
      <c r="A1645">
        <v>1976</v>
      </c>
      <c r="B1645" s="2">
        <v>45966</v>
      </c>
      <c r="C1645" t="s">
        <v>16</v>
      </c>
      <c r="D1645" t="s">
        <v>29</v>
      </c>
      <c r="E1645" t="s">
        <v>37</v>
      </c>
      <c r="F1645" t="s">
        <v>33</v>
      </c>
      <c r="G1645">
        <v>38</v>
      </c>
      <c r="H1645" s="3">
        <v>339.34</v>
      </c>
      <c r="I1645" s="3">
        <v>173.48</v>
      </c>
      <c r="J1645" s="3">
        <f t="shared" si="75"/>
        <v>12894.919999999998</v>
      </c>
      <c r="K1645" s="3">
        <f t="shared" si="76"/>
        <v>6592.24</v>
      </c>
      <c r="L1645" s="3">
        <f t="shared" si="77"/>
        <v>6302.6799999999985</v>
      </c>
    </row>
    <row r="1646" spans="1:12" x14ac:dyDescent="0.3">
      <c r="A1646">
        <v>2076</v>
      </c>
      <c r="B1646" s="2">
        <v>45966</v>
      </c>
      <c r="C1646" t="s">
        <v>12</v>
      </c>
      <c r="D1646" t="s">
        <v>20</v>
      </c>
      <c r="E1646" t="s">
        <v>34</v>
      </c>
      <c r="F1646" t="s">
        <v>28</v>
      </c>
      <c r="G1646">
        <v>38</v>
      </c>
      <c r="H1646" s="3">
        <v>272.36</v>
      </c>
      <c r="I1646" s="3">
        <v>158.13</v>
      </c>
      <c r="J1646" s="3">
        <f t="shared" si="75"/>
        <v>10349.68</v>
      </c>
      <c r="K1646" s="3">
        <f t="shared" si="76"/>
        <v>6008.94</v>
      </c>
      <c r="L1646" s="3">
        <f t="shared" si="77"/>
        <v>4340.7400000000007</v>
      </c>
    </row>
    <row r="1647" spans="1:12" x14ac:dyDescent="0.3">
      <c r="A1647">
        <v>1082</v>
      </c>
      <c r="B1647" s="2">
        <v>45967</v>
      </c>
      <c r="C1647" t="s">
        <v>23</v>
      </c>
      <c r="D1647" t="s">
        <v>13</v>
      </c>
      <c r="E1647" t="s">
        <v>14</v>
      </c>
      <c r="F1647" t="s">
        <v>28</v>
      </c>
      <c r="G1647">
        <v>23</v>
      </c>
      <c r="H1647" s="3">
        <v>46.48</v>
      </c>
      <c r="I1647" s="3">
        <v>33.340000000000003</v>
      </c>
      <c r="J1647" s="3">
        <f t="shared" si="75"/>
        <v>1069.04</v>
      </c>
      <c r="K1647" s="3">
        <f t="shared" si="76"/>
        <v>766.82</v>
      </c>
      <c r="L1647" s="3">
        <f t="shared" si="77"/>
        <v>302.21999999999991</v>
      </c>
    </row>
    <row r="1648" spans="1:12" x14ac:dyDescent="0.3">
      <c r="A1648">
        <v>1908</v>
      </c>
      <c r="B1648" s="2">
        <v>45967</v>
      </c>
      <c r="C1648" t="s">
        <v>23</v>
      </c>
      <c r="D1648" t="s">
        <v>29</v>
      </c>
      <c r="E1648" t="s">
        <v>30</v>
      </c>
      <c r="F1648" t="s">
        <v>25</v>
      </c>
      <c r="G1648">
        <v>7</v>
      </c>
      <c r="H1648" s="3">
        <v>471.65</v>
      </c>
      <c r="I1648" s="3">
        <v>324.25</v>
      </c>
      <c r="J1648" s="3">
        <f t="shared" si="75"/>
        <v>3301.5499999999997</v>
      </c>
      <c r="K1648" s="3">
        <f t="shared" si="76"/>
        <v>2269.75</v>
      </c>
      <c r="L1648" s="3">
        <f t="shared" si="77"/>
        <v>1031.7999999999997</v>
      </c>
    </row>
    <row r="1649" spans="1:12" x14ac:dyDescent="0.3">
      <c r="A1649">
        <v>2505</v>
      </c>
      <c r="B1649" s="2">
        <v>45967</v>
      </c>
      <c r="C1649" t="s">
        <v>32</v>
      </c>
      <c r="D1649" t="s">
        <v>17</v>
      </c>
      <c r="E1649" t="s">
        <v>40</v>
      </c>
      <c r="F1649" t="s">
        <v>28</v>
      </c>
      <c r="G1649">
        <v>7</v>
      </c>
      <c r="H1649" s="3">
        <v>636.87</v>
      </c>
      <c r="I1649" s="3">
        <v>422.13</v>
      </c>
      <c r="J1649" s="3">
        <f t="shared" si="75"/>
        <v>4458.09</v>
      </c>
      <c r="K1649" s="3">
        <f t="shared" si="76"/>
        <v>2954.91</v>
      </c>
      <c r="L1649" s="3">
        <f t="shared" si="77"/>
        <v>1503.1800000000003</v>
      </c>
    </row>
    <row r="1650" spans="1:12" x14ac:dyDescent="0.3">
      <c r="A1650">
        <v>1999</v>
      </c>
      <c r="B1650" s="2">
        <v>45968</v>
      </c>
      <c r="C1650" t="s">
        <v>32</v>
      </c>
      <c r="D1650" t="s">
        <v>17</v>
      </c>
      <c r="E1650" t="s">
        <v>35</v>
      </c>
      <c r="F1650" t="s">
        <v>33</v>
      </c>
      <c r="G1650">
        <v>2</v>
      </c>
      <c r="H1650" s="3">
        <v>824.45</v>
      </c>
      <c r="I1650" s="3">
        <v>466.34</v>
      </c>
      <c r="J1650" s="3">
        <f t="shared" si="75"/>
        <v>1648.9</v>
      </c>
      <c r="K1650" s="3">
        <f t="shared" si="76"/>
        <v>932.68</v>
      </c>
      <c r="L1650" s="3">
        <f t="shared" si="77"/>
        <v>716.22000000000014</v>
      </c>
    </row>
    <row r="1651" spans="1:12" x14ac:dyDescent="0.3">
      <c r="A1651">
        <v>2555</v>
      </c>
      <c r="B1651" s="2">
        <v>45968</v>
      </c>
      <c r="C1651" t="s">
        <v>12</v>
      </c>
      <c r="D1651" t="s">
        <v>17</v>
      </c>
      <c r="E1651" t="s">
        <v>27</v>
      </c>
      <c r="F1651" t="s">
        <v>25</v>
      </c>
      <c r="G1651">
        <v>8</v>
      </c>
      <c r="H1651" s="3">
        <v>154.68</v>
      </c>
      <c r="I1651" s="3">
        <v>82.02</v>
      </c>
      <c r="J1651" s="3">
        <f t="shared" si="75"/>
        <v>1237.44</v>
      </c>
      <c r="K1651" s="3">
        <f t="shared" si="76"/>
        <v>656.16</v>
      </c>
      <c r="L1651" s="3">
        <f t="shared" si="77"/>
        <v>581.28000000000009</v>
      </c>
    </row>
    <row r="1652" spans="1:12" x14ac:dyDescent="0.3">
      <c r="A1652">
        <v>2584</v>
      </c>
      <c r="B1652" s="2">
        <v>45968</v>
      </c>
      <c r="C1652" t="s">
        <v>32</v>
      </c>
      <c r="D1652" t="s">
        <v>17</v>
      </c>
      <c r="E1652" t="s">
        <v>35</v>
      </c>
      <c r="F1652" t="s">
        <v>25</v>
      </c>
      <c r="G1652">
        <v>16</v>
      </c>
      <c r="H1652" s="3">
        <v>370.28</v>
      </c>
      <c r="I1652" s="3">
        <v>231.84</v>
      </c>
      <c r="J1652" s="3">
        <f t="shared" si="75"/>
        <v>5924.48</v>
      </c>
      <c r="K1652" s="3">
        <f t="shared" si="76"/>
        <v>3709.44</v>
      </c>
      <c r="L1652" s="3">
        <f t="shared" si="77"/>
        <v>2215.0399999999995</v>
      </c>
    </row>
    <row r="1653" spans="1:12" x14ac:dyDescent="0.3">
      <c r="A1653">
        <v>2586</v>
      </c>
      <c r="B1653" s="2">
        <v>45969</v>
      </c>
      <c r="C1653" t="s">
        <v>16</v>
      </c>
      <c r="D1653" t="s">
        <v>17</v>
      </c>
      <c r="E1653" t="s">
        <v>27</v>
      </c>
      <c r="F1653" t="s">
        <v>36</v>
      </c>
      <c r="G1653">
        <v>17</v>
      </c>
      <c r="H1653" s="3">
        <v>315.45999999999998</v>
      </c>
      <c r="I1653" s="3">
        <v>227.15</v>
      </c>
      <c r="J1653" s="3">
        <f t="shared" si="75"/>
        <v>5362.82</v>
      </c>
      <c r="K1653" s="3">
        <f t="shared" si="76"/>
        <v>3861.55</v>
      </c>
      <c r="L1653" s="3">
        <f t="shared" si="77"/>
        <v>1501.2699999999995</v>
      </c>
    </row>
    <row r="1654" spans="1:12" x14ac:dyDescent="0.3">
      <c r="A1654">
        <v>1076</v>
      </c>
      <c r="B1654" s="2">
        <v>45970</v>
      </c>
      <c r="C1654" t="s">
        <v>23</v>
      </c>
      <c r="D1654" t="s">
        <v>17</v>
      </c>
      <c r="E1654" t="s">
        <v>18</v>
      </c>
      <c r="F1654" t="s">
        <v>25</v>
      </c>
      <c r="G1654">
        <v>21</v>
      </c>
      <c r="H1654" s="3">
        <v>272.02</v>
      </c>
      <c r="I1654" s="3">
        <v>192.11</v>
      </c>
      <c r="J1654" s="3">
        <f t="shared" si="75"/>
        <v>5712.42</v>
      </c>
      <c r="K1654" s="3">
        <f t="shared" si="76"/>
        <v>4034.3100000000004</v>
      </c>
      <c r="L1654" s="3">
        <f t="shared" si="77"/>
        <v>1678.1099999999997</v>
      </c>
    </row>
    <row r="1655" spans="1:12" x14ac:dyDescent="0.3">
      <c r="A1655">
        <v>1414</v>
      </c>
      <c r="B1655" s="2">
        <v>45971</v>
      </c>
      <c r="C1655" t="s">
        <v>23</v>
      </c>
      <c r="D1655" t="s">
        <v>17</v>
      </c>
      <c r="E1655" t="s">
        <v>35</v>
      </c>
      <c r="F1655" t="s">
        <v>22</v>
      </c>
      <c r="G1655">
        <v>31</v>
      </c>
      <c r="H1655" s="3">
        <v>371.81</v>
      </c>
      <c r="I1655" s="3">
        <v>239.31</v>
      </c>
      <c r="J1655" s="3">
        <f t="shared" si="75"/>
        <v>11526.11</v>
      </c>
      <c r="K1655" s="3">
        <f t="shared" si="76"/>
        <v>7418.61</v>
      </c>
      <c r="L1655" s="3">
        <f t="shared" si="77"/>
        <v>4107.5000000000009</v>
      </c>
    </row>
    <row r="1656" spans="1:12" x14ac:dyDescent="0.3">
      <c r="A1656">
        <v>2391</v>
      </c>
      <c r="B1656" s="2">
        <v>45971</v>
      </c>
      <c r="C1656" t="s">
        <v>26</v>
      </c>
      <c r="D1656" t="s">
        <v>20</v>
      </c>
      <c r="E1656" t="s">
        <v>34</v>
      </c>
      <c r="F1656" t="s">
        <v>15</v>
      </c>
      <c r="G1656">
        <v>8</v>
      </c>
      <c r="H1656" s="3">
        <v>223.2</v>
      </c>
      <c r="I1656" s="3">
        <v>121.49</v>
      </c>
      <c r="J1656" s="3">
        <f t="shared" si="75"/>
        <v>1785.6</v>
      </c>
      <c r="K1656" s="3">
        <f t="shared" si="76"/>
        <v>971.92</v>
      </c>
      <c r="L1656" s="3">
        <f t="shared" si="77"/>
        <v>813.68</v>
      </c>
    </row>
    <row r="1657" spans="1:12" x14ac:dyDescent="0.3">
      <c r="A1657">
        <v>1251</v>
      </c>
      <c r="B1657" s="2">
        <v>45972</v>
      </c>
      <c r="C1657" t="s">
        <v>32</v>
      </c>
      <c r="D1657" t="s">
        <v>17</v>
      </c>
      <c r="E1657" t="s">
        <v>35</v>
      </c>
      <c r="F1657" t="s">
        <v>36</v>
      </c>
      <c r="G1657">
        <v>14</v>
      </c>
      <c r="H1657" s="3">
        <v>873.23</v>
      </c>
      <c r="I1657" s="3">
        <v>498.53</v>
      </c>
      <c r="J1657" s="3">
        <f t="shared" si="75"/>
        <v>12225.220000000001</v>
      </c>
      <c r="K1657" s="3">
        <f t="shared" si="76"/>
        <v>6979.42</v>
      </c>
      <c r="L1657" s="3">
        <f t="shared" si="77"/>
        <v>5245.8000000000011</v>
      </c>
    </row>
    <row r="1658" spans="1:12" x14ac:dyDescent="0.3">
      <c r="A1658">
        <v>1682</v>
      </c>
      <c r="B1658" s="2">
        <v>45972</v>
      </c>
      <c r="C1658" t="s">
        <v>12</v>
      </c>
      <c r="D1658" t="s">
        <v>13</v>
      </c>
      <c r="E1658" t="s">
        <v>46</v>
      </c>
      <c r="F1658" t="s">
        <v>36</v>
      </c>
      <c r="G1658">
        <v>15</v>
      </c>
      <c r="H1658" s="3">
        <v>27.44</v>
      </c>
      <c r="I1658" s="3">
        <v>20.25</v>
      </c>
      <c r="J1658" s="3">
        <f t="shared" si="75"/>
        <v>411.6</v>
      </c>
      <c r="K1658" s="3">
        <f t="shared" si="76"/>
        <v>303.75</v>
      </c>
      <c r="L1658" s="3">
        <f t="shared" si="77"/>
        <v>107.85000000000002</v>
      </c>
    </row>
    <row r="1659" spans="1:12" x14ac:dyDescent="0.3">
      <c r="A1659">
        <v>2182</v>
      </c>
      <c r="B1659" s="2">
        <v>45972</v>
      </c>
      <c r="C1659" t="s">
        <v>23</v>
      </c>
      <c r="D1659" t="s">
        <v>20</v>
      </c>
      <c r="E1659" t="s">
        <v>21</v>
      </c>
      <c r="F1659" t="s">
        <v>22</v>
      </c>
      <c r="G1659">
        <v>7</v>
      </c>
      <c r="H1659" s="3">
        <v>97.24</v>
      </c>
      <c r="I1659" s="3">
        <v>54.74</v>
      </c>
      <c r="J1659" s="3">
        <f t="shared" si="75"/>
        <v>680.68</v>
      </c>
      <c r="K1659" s="3">
        <f t="shared" si="76"/>
        <v>383.18</v>
      </c>
      <c r="L1659" s="3">
        <f t="shared" si="77"/>
        <v>297.49999999999994</v>
      </c>
    </row>
    <row r="1660" spans="1:12" x14ac:dyDescent="0.3">
      <c r="A1660">
        <v>2254</v>
      </c>
      <c r="B1660" s="2">
        <v>45972</v>
      </c>
      <c r="C1660" t="s">
        <v>26</v>
      </c>
      <c r="D1660" t="s">
        <v>17</v>
      </c>
      <c r="E1660" t="s">
        <v>27</v>
      </c>
      <c r="F1660" t="s">
        <v>19</v>
      </c>
      <c r="G1660">
        <v>13</v>
      </c>
      <c r="H1660" s="3">
        <v>831.12</v>
      </c>
      <c r="I1660" s="3">
        <v>434.59</v>
      </c>
      <c r="J1660" s="3">
        <f t="shared" si="75"/>
        <v>10804.56</v>
      </c>
      <c r="K1660" s="3">
        <f t="shared" si="76"/>
        <v>5649.67</v>
      </c>
      <c r="L1660" s="3">
        <f t="shared" si="77"/>
        <v>5154.8899999999994</v>
      </c>
    </row>
    <row r="1661" spans="1:12" x14ac:dyDescent="0.3">
      <c r="A1661">
        <v>2319</v>
      </c>
      <c r="B1661" s="2">
        <v>45972</v>
      </c>
      <c r="C1661" t="s">
        <v>32</v>
      </c>
      <c r="D1661" t="s">
        <v>20</v>
      </c>
      <c r="E1661" t="s">
        <v>21</v>
      </c>
      <c r="F1661" t="s">
        <v>39</v>
      </c>
      <c r="G1661">
        <v>9</v>
      </c>
      <c r="H1661" s="3">
        <v>206.1</v>
      </c>
      <c r="I1661" s="3">
        <v>126.04</v>
      </c>
      <c r="J1661" s="3">
        <f t="shared" si="75"/>
        <v>1854.8999999999999</v>
      </c>
      <c r="K1661" s="3">
        <f t="shared" si="76"/>
        <v>1134.3600000000001</v>
      </c>
      <c r="L1661" s="3">
        <f t="shared" si="77"/>
        <v>720.53999999999974</v>
      </c>
    </row>
    <row r="1662" spans="1:12" x14ac:dyDescent="0.3">
      <c r="A1662">
        <v>2742</v>
      </c>
      <c r="B1662" s="2">
        <v>45972</v>
      </c>
      <c r="C1662" t="s">
        <v>12</v>
      </c>
      <c r="D1662" t="s">
        <v>13</v>
      </c>
      <c r="E1662" t="s">
        <v>31</v>
      </c>
      <c r="F1662" t="s">
        <v>36</v>
      </c>
      <c r="G1662">
        <v>4</v>
      </c>
      <c r="H1662" s="3">
        <v>49.8</v>
      </c>
      <c r="I1662" s="3">
        <v>27.53</v>
      </c>
      <c r="J1662" s="3">
        <f t="shared" si="75"/>
        <v>199.2</v>
      </c>
      <c r="K1662" s="3">
        <f t="shared" si="76"/>
        <v>110.12</v>
      </c>
      <c r="L1662" s="3">
        <f t="shared" si="77"/>
        <v>89.079999999999984</v>
      </c>
    </row>
    <row r="1663" spans="1:12" x14ac:dyDescent="0.3">
      <c r="A1663">
        <v>1785</v>
      </c>
      <c r="B1663" s="2">
        <v>45973</v>
      </c>
      <c r="C1663" t="s">
        <v>12</v>
      </c>
      <c r="D1663" t="s">
        <v>29</v>
      </c>
      <c r="E1663" t="s">
        <v>41</v>
      </c>
      <c r="F1663" t="s">
        <v>19</v>
      </c>
      <c r="G1663">
        <v>17</v>
      </c>
      <c r="H1663" s="3">
        <v>358.29</v>
      </c>
      <c r="I1663" s="3">
        <v>189.6</v>
      </c>
      <c r="J1663" s="3">
        <f t="shared" si="75"/>
        <v>6090.93</v>
      </c>
      <c r="K1663" s="3">
        <f t="shared" si="76"/>
        <v>3223.2</v>
      </c>
      <c r="L1663" s="3">
        <f t="shared" si="77"/>
        <v>2867.7300000000005</v>
      </c>
    </row>
    <row r="1664" spans="1:12" x14ac:dyDescent="0.3">
      <c r="A1664">
        <v>2235</v>
      </c>
      <c r="B1664" s="2">
        <v>45973</v>
      </c>
      <c r="C1664" t="s">
        <v>23</v>
      </c>
      <c r="D1664" t="s">
        <v>13</v>
      </c>
      <c r="E1664" t="s">
        <v>46</v>
      </c>
      <c r="F1664" t="s">
        <v>39</v>
      </c>
      <c r="G1664">
        <v>16</v>
      </c>
      <c r="H1664" s="3">
        <v>13.89</v>
      </c>
      <c r="I1664" s="3">
        <v>9.23</v>
      </c>
      <c r="J1664" s="3">
        <f t="shared" si="75"/>
        <v>222.24</v>
      </c>
      <c r="K1664" s="3">
        <f t="shared" si="76"/>
        <v>147.68</v>
      </c>
      <c r="L1664" s="3">
        <f t="shared" si="77"/>
        <v>74.56</v>
      </c>
    </row>
    <row r="1665" spans="1:12" x14ac:dyDescent="0.3">
      <c r="A1665">
        <v>1039</v>
      </c>
      <c r="B1665" s="2">
        <v>45974</v>
      </c>
      <c r="C1665" t="s">
        <v>23</v>
      </c>
      <c r="D1665" t="s">
        <v>29</v>
      </c>
      <c r="E1665" t="s">
        <v>41</v>
      </c>
      <c r="F1665" t="s">
        <v>15</v>
      </c>
      <c r="G1665">
        <v>36</v>
      </c>
      <c r="H1665" s="3">
        <v>474.95</v>
      </c>
      <c r="I1665" s="3">
        <v>344.67</v>
      </c>
      <c r="J1665" s="3">
        <f t="shared" si="75"/>
        <v>17098.2</v>
      </c>
      <c r="K1665" s="3">
        <f t="shared" si="76"/>
        <v>12408.12</v>
      </c>
      <c r="L1665" s="3">
        <f t="shared" si="77"/>
        <v>4690.08</v>
      </c>
    </row>
    <row r="1666" spans="1:12" x14ac:dyDescent="0.3">
      <c r="A1666">
        <v>1441</v>
      </c>
      <c r="B1666" s="2">
        <v>45974</v>
      </c>
      <c r="C1666" t="s">
        <v>12</v>
      </c>
      <c r="D1666" t="s">
        <v>17</v>
      </c>
      <c r="E1666" t="s">
        <v>44</v>
      </c>
      <c r="F1666" t="s">
        <v>36</v>
      </c>
      <c r="G1666">
        <v>21</v>
      </c>
      <c r="H1666" s="3">
        <v>72.66</v>
      </c>
      <c r="I1666" s="3">
        <v>40.75</v>
      </c>
      <c r="J1666" s="3">
        <f t="shared" ref="J1666:J1729" si="78">G1666*H1666</f>
        <v>1525.86</v>
      </c>
      <c r="K1666" s="3">
        <f t="shared" ref="K1666:K1729" si="79">G1666*I1666</f>
        <v>855.75</v>
      </c>
      <c r="L1666" s="3">
        <f t="shared" ref="L1666:L1729" si="80">J1666-K1666</f>
        <v>670.1099999999999</v>
      </c>
    </row>
    <row r="1667" spans="1:12" x14ac:dyDescent="0.3">
      <c r="A1667">
        <v>1118</v>
      </c>
      <c r="B1667" s="2">
        <v>45975</v>
      </c>
      <c r="C1667" t="s">
        <v>32</v>
      </c>
      <c r="D1667" t="s">
        <v>17</v>
      </c>
      <c r="E1667" t="s">
        <v>44</v>
      </c>
      <c r="F1667" t="s">
        <v>36</v>
      </c>
      <c r="G1667">
        <v>39</v>
      </c>
      <c r="H1667" s="3">
        <v>106.02</v>
      </c>
      <c r="I1667" s="3">
        <v>73.260000000000005</v>
      </c>
      <c r="J1667" s="3">
        <f t="shared" si="78"/>
        <v>4134.78</v>
      </c>
      <c r="K1667" s="3">
        <f t="shared" si="79"/>
        <v>2857.1400000000003</v>
      </c>
      <c r="L1667" s="3">
        <f t="shared" si="80"/>
        <v>1277.6399999999994</v>
      </c>
    </row>
    <row r="1668" spans="1:12" x14ac:dyDescent="0.3">
      <c r="A1668">
        <v>1143</v>
      </c>
      <c r="B1668" s="2">
        <v>45976</v>
      </c>
      <c r="C1668" t="s">
        <v>26</v>
      </c>
      <c r="D1668" t="s">
        <v>29</v>
      </c>
      <c r="E1668" t="s">
        <v>30</v>
      </c>
      <c r="F1668" t="s">
        <v>22</v>
      </c>
      <c r="G1668">
        <v>25</v>
      </c>
      <c r="H1668" s="3">
        <v>242.49</v>
      </c>
      <c r="I1668" s="3">
        <v>166.55</v>
      </c>
      <c r="J1668" s="3">
        <f t="shared" si="78"/>
        <v>6062.25</v>
      </c>
      <c r="K1668" s="3">
        <f t="shared" si="79"/>
        <v>4163.75</v>
      </c>
      <c r="L1668" s="3">
        <f t="shared" si="80"/>
        <v>1898.5</v>
      </c>
    </row>
    <row r="1669" spans="1:12" x14ac:dyDescent="0.3">
      <c r="A1669">
        <v>1306</v>
      </c>
      <c r="B1669" s="2">
        <v>45976</v>
      </c>
      <c r="C1669" t="s">
        <v>32</v>
      </c>
      <c r="D1669" t="s">
        <v>20</v>
      </c>
      <c r="E1669" t="s">
        <v>34</v>
      </c>
      <c r="F1669" t="s">
        <v>22</v>
      </c>
      <c r="G1669">
        <v>25</v>
      </c>
      <c r="H1669" s="3">
        <v>262.73</v>
      </c>
      <c r="I1669" s="3">
        <v>162.55000000000001</v>
      </c>
      <c r="J1669" s="3">
        <f t="shared" si="78"/>
        <v>6568.25</v>
      </c>
      <c r="K1669" s="3">
        <f t="shared" si="79"/>
        <v>4063.7500000000005</v>
      </c>
      <c r="L1669" s="3">
        <f t="shared" si="80"/>
        <v>2504.4999999999995</v>
      </c>
    </row>
    <row r="1670" spans="1:12" x14ac:dyDescent="0.3">
      <c r="A1670">
        <v>1981</v>
      </c>
      <c r="B1670" s="2">
        <v>45976</v>
      </c>
      <c r="C1670" t="s">
        <v>26</v>
      </c>
      <c r="D1670" t="s">
        <v>13</v>
      </c>
      <c r="E1670" t="s">
        <v>45</v>
      </c>
      <c r="F1670" t="s">
        <v>19</v>
      </c>
      <c r="G1670">
        <v>1</v>
      </c>
      <c r="H1670" s="3">
        <v>26.26</v>
      </c>
      <c r="I1670" s="3">
        <v>14.35</v>
      </c>
      <c r="J1670" s="3">
        <f t="shared" si="78"/>
        <v>26.26</v>
      </c>
      <c r="K1670" s="3">
        <f t="shared" si="79"/>
        <v>14.35</v>
      </c>
      <c r="L1670" s="3">
        <f t="shared" si="80"/>
        <v>11.910000000000002</v>
      </c>
    </row>
    <row r="1671" spans="1:12" x14ac:dyDescent="0.3">
      <c r="A1671">
        <v>2027</v>
      </c>
      <c r="B1671" s="2">
        <v>45976</v>
      </c>
      <c r="C1671" t="s">
        <v>26</v>
      </c>
      <c r="D1671" t="s">
        <v>29</v>
      </c>
      <c r="E1671" t="s">
        <v>30</v>
      </c>
      <c r="F1671" t="s">
        <v>39</v>
      </c>
      <c r="G1671">
        <v>5</v>
      </c>
      <c r="H1671" s="3">
        <v>195.97</v>
      </c>
      <c r="I1671" s="3">
        <v>123.11</v>
      </c>
      <c r="J1671" s="3">
        <f t="shared" si="78"/>
        <v>979.85</v>
      </c>
      <c r="K1671" s="3">
        <f t="shared" si="79"/>
        <v>615.54999999999995</v>
      </c>
      <c r="L1671" s="3">
        <f t="shared" si="80"/>
        <v>364.30000000000007</v>
      </c>
    </row>
    <row r="1672" spans="1:12" x14ac:dyDescent="0.3">
      <c r="A1672">
        <v>2032</v>
      </c>
      <c r="B1672" s="2">
        <v>45976</v>
      </c>
      <c r="C1672" t="s">
        <v>23</v>
      </c>
      <c r="D1672" t="s">
        <v>20</v>
      </c>
      <c r="E1672" t="s">
        <v>21</v>
      </c>
      <c r="F1672" t="s">
        <v>33</v>
      </c>
      <c r="G1672">
        <v>35</v>
      </c>
      <c r="H1672" s="3">
        <v>266.64999999999998</v>
      </c>
      <c r="I1672" s="3">
        <v>183.65</v>
      </c>
      <c r="J1672" s="3">
        <f t="shared" si="78"/>
        <v>9332.75</v>
      </c>
      <c r="K1672" s="3">
        <f t="shared" si="79"/>
        <v>6427.75</v>
      </c>
      <c r="L1672" s="3">
        <f t="shared" si="80"/>
        <v>2905</v>
      </c>
    </row>
    <row r="1673" spans="1:12" x14ac:dyDescent="0.3">
      <c r="A1673">
        <v>2084</v>
      </c>
      <c r="B1673" s="2">
        <v>45976</v>
      </c>
      <c r="C1673" t="s">
        <v>23</v>
      </c>
      <c r="D1673" t="s">
        <v>20</v>
      </c>
      <c r="E1673" t="s">
        <v>34</v>
      </c>
      <c r="F1673" t="s">
        <v>25</v>
      </c>
      <c r="G1673">
        <v>25</v>
      </c>
      <c r="H1673" s="3">
        <v>236.51</v>
      </c>
      <c r="I1673" s="3">
        <v>171.35</v>
      </c>
      <c r="J1673" s="3">
        <f t="shared" si="78"/>
        <v>5912.75</v>
      </c>
      <c r="K1673" s="3">
        <f t="shared" si="79"/>
        <v>4283.75</v>
      </c>
      <c r="L1673" s="3">
        <f t="shared" si="80"/>
        <v>1629</v>
      </c>
    </row>
    <row r="1674" spans="1:12" x14ac:dyDescent="0.3">
      <c r="A1674">
        <v>1026</v>
      </c>
      <c r="B1674" s="2">
        <v>45977</v>
      </c>
      <c r="C1674" t="s">
        <v>32</v>
      </c>
      <c r="D1674" t="s">
        <v>13</v>
      </c>
      <c r="E1674" t="s">
        <v>31</v>
      </c>
      <c r="F1674" t="s">
        <v>36</v>
      </c>
      <c r="G1674">
        <v>9</v>
      </c>
      <c r="H1674" s="3">
        <v>20.100000000000001</v>
      </c>
      <c r="I1674" s="3">
        <v>10.41</v>
      </c>
      <c r="J1674" s="3">
        <f t="shared" si="78"/>
        <v>180.9</v>
      </c>
      <c r="K1674" s="3">
        <f t="shared" si="79"/>
        <v>93.69</v>
      </c>
      <c r="L1674" s="3">
        <f t="shared" si="80"/>
        <v>87.210000000000008</v>
      </c>
    </row>
    <row r="1675" spans="1:12" x14ac:dyDescent="0.3">
      <c r="A1675">
        <v>1180</v>
      </c>
      <c r="B1675" s="2">
        <v>45977</v>
      </c>
      <c r="C1675" t="s">
        <v>16</v>
      </c>
      <c r="D1675" t="s">
        <v>13</v>
      </c>
      <c r="E1675" t="s">
        <v>24</v>
      </c>
      <c r="F1675" t="s">
        <v>22</v>
      </c>
      <c r="G1675">
        <v>7</v>
      </c>
      <c r="H1675" s="3">
        <v>43.89</v>
      </c>
      <c r="I1675" s="3">
        <v>22</v>
      </c>
      <c r="J1675" s="3">
        <f t="shared" si="78"/>
        <v>307.23</v>
      </c>
      <c r="K1675" s="3">
        <f t="shared" si="79"/>
        <v>154</v>
      </c>
      <c r="L1675" s="3">
        <f t="shared" si="80"/>
        <v>153.23000000000002</v>
      </c>
    </row>
    <row r="1676" spans="1:12" x14ac:dyDescent="0.3">
      <c r="A1676">
        <v>1896</v>
      </c>
      <c r="B1676" s="2">
        <v>45977</v>
      </c>
      <c r="C1676" t="s">
        <v>26</v>
      </c>
      <c r="D1676" t="s">
        <v>29</v>
      </c>
      <c r="E1676" t="s">
        <v>41</v>
      </c>
      <c r="F1676" t="s">
        <v>28</v>
      </c>
      <c r="G1676">
        <v>35</v>
      </c>
      <c r="H1676" s="3">
        <v>116.05</v>
      </c>
      <c r="I1676" s="3">
        <v>84.64</v>
      </c>
      <c r="J1676" s="3">
        <f t="shared" si="78"/>
        <v>4061.75</v>
      </c>
      <c r="K1676" s="3">
        <f t="shared" si="79"/>
        <v>2962.4</v>
      </c>
      <c r="L1676" s="3">
        <f t="shared" si="80"/>
        <v>1099.3499999999999</v>
      </c>
    </row>
    <row r="1677" spans="1:12" x14ac:dyDescent="0.3">
      <c r="A1677">
        <v>1038</v>
      </c>
      <c r="B1677" s="2">
        <v>45978</v>
      </c>
      <c r="C1677" t="s">
        <v>12</v>
      </c>
      <c r="D1677" t="s">
        <v>29</v>
      </c>
      <c r="E1677" t="s">
        <v>41</v>
      </c>
      <c r="F1677" t="s">
        <v>25</v>
      </c>
      <c r="G1677">
        <v>22</v>
      </c>
      <c r="H1677" s="3">
        <v>132.34</v>
      </c>
      <c r="I1677" s="3">
        <v>82.95</v>
      </c>
      <c r="J1677" s="3">
        <f t="shared" si="78"/>
        <v>2911.48</v>
      </c>
      <c r="K1677" s="3">
        <f t="shared" si="79"/>
        <v>1824.9</v>
      </c>
      <c r="L1677" s="3">
        <f t="shared" si="80"/>
        <v>1086.58</v>
      </c>
    </row>
    <row r="1678" spans="1:12" x14ac:dyDescent="0.3">
      <c r="A1678">
        <v>1648</v>
      </c>
      <c r="B1678" s="2">
        <v>45978</v>
      </c>
      <c r="C1678" t="s">
        <v>16</v>
      </c>
      <c r="D1678" t="s">
        <v>17</v>
      </c>
      <c r="E1678" t="s">
        <v>27</v>
      </c>
      <c r="F1678" t="s">
        <v>15</v>
      </c>
      <c r="G1678">
        <v>33</v>
      </c>
      <c r="H1678" s="3">
        <v>580.51</v>
      </c>
      <c r="I1678" s="3">
        <v>430.75</v>
      </c>
      <c r="J1678" s="3">
        <f t="shared" si="78"/>
        <v>19156.829999999998</v>
      </c>
      <c r="K1678" s="3">
        <f t="shared" si="79"/>
        <v>14214.75</v>
      </c>
      <c r="L1678" s="3">
        <f t="shared" si="80"/>
        <v>4942.0799999999981</v>
      </c>
    </row>
    <row r="1679" spans="1:12" x14ac:dyDescent="0.3">
      <c r="A1679">
        <v>2590</v>
      </c>
      <c r="B1679" s="2">
        <v>45978</v>
      </c>
      <c r="C1679" t="s">
        <v>23</v>
      </c>
      <c r="D1679" t="s">
        <v>13</v>
      </c>
      <c r="E1679" t="s">
        <v>14</v>
      </c>
      <c r="F1679" t="s">
        <v>36</v>
      </c>
      <c r="G1679">
        <v>38</v>
      </c>
      <c r="H1679" s="3">
        <v>41.21</v>
      </c>
      <c r="I1679" s="3">
        <v>21.12</v>
      </c>
      <c r="J1679" s="3">
        <f t="shared" si="78"/>
        <v>1565.98</v>
      </c>
      <c r="K1679" s="3">
        <f t="shared" si="79"/>
        <v>802.56000000000006</v>
      </c>
      <c r="L1679" s="3">
        <f t="shared" si="80"/>
        <v>763.42</v>
      </c>
    </row>
    <row r="1680" spans="1:12" x14ac:dyDescent="0.3">
      <c r="A1680">
        <v>2780</v>
      </c>
      <c r="B1680" s="2">
        <v>45978</v>
      </c>
      <c r="C1680" t="s">
        <v>23</v>
      </c>
      <c r="D1680" t="s">
        <v>20</v>
      </c>
      <c r="E1680" t="s">
        <v>38</v>
      </c>
      <c r="F1680" t="s">
        <v>22</v>
      </c>
      <c r="G1680">
        <v>29</v>
      </c>
      <c r="H1680" s="3">
        <v>190.79</v>
      </c>
      <c r="I1680" s="3">
        <v>131.21</v>
      </c>
      <c r="J1680" s="3">
        <f t="shared" si="78"/>
        <v>5532.91</v>
      </c>
      <c r="K1680" s="3">
        <f t="shared" si="79"/>
        <v>3805.09</v>
      </c>
      <c r="L1680" s="3">
        <f t="shared" si="80"/>
        <v>1727.8199999999997</v>
      </c>
    </row>
    <row r="1681" spans="1:12" x14ac:dyDescent="0.3">
      <c r="A1681">
        <v>1929</v>
      </c>
      <c r="B1681" s="2">
        <v>45979</v>
      </c>
      <c r="C1681" t="s">
        <v>26</v>
      </c>
      <c r="D1681" t="s">
        <v>20</v>
      </c>
      <c r="E1681" t="s">
        <v>21</v>
      </c>
      <c r="F1681" t="s">
        <v>33</v>
      </c>
      <c r="G1681">
        <v>21</v>
      </c>
      <c r="H1681" s="3">
        <v>33.1</v>
      </c>
      <c r="I1681" s="3">
        <v>18.82</v>
      </c>
      <c r="J1681" s="3">
        <f t="shared" si="78"/>
        <v>695.1</v>
      </c>
      <c r="K1681" s="3">
        <f t="shared" si="79"/>
        <v>395.22</v>
      </c>
      <c r="L1681" s="3">
        <f t="shared" si="80"/>
        <v>299.88</v>
      </c>
    </row>
    <row r="1682" spans="1:12" x14ac:dyDescent="0.3">
      <c r="A1682">
        <v>2288</v>
      </c>
      <c r="B1682" s="2">
        <v>45979</v>
      </c>
      <c r="C1682" t="s">
        <v>16</v>
      </c>
      <c r="D1682" t="s">
        <v>20</v>
      </c>
      <c r="E1682" t="s">
        <v>34</v>
      </c>
      <c r="F1682" t="s">
        <v>19</v>
      </c>
      <c r="G1682">
        <v>8</v>
      </c>
      <c r="H1682" s="3">
        <v>264.79000000000002</v>
      </c>
      <c r="I1682" s="3">
        <v>145.63999999999999</v>
      </c>
      <c r="J1682" s="3">
        <f t="shared" si="78"/>
        <v>2118.3200000000002</v>
      </c>
      <c r="K1682" s="3">
        <f t="shared" si="79"/>
        <v>1165.1199999999999</v>
      </c>
      <c r="L1682" s="3">
        <f t="shared" si="80"/>
        <v>953.20000000000027</v>
      </c>
    </row>
    <row r="1683" spans="1:12" x14ac:dyDescent="0.3">
      <c r="A1683">
        <v>2574</v>
      </c>
      <c r="B1683" s="2">
        <v>45979</v>
      </c>
      <c r="C1683" t="s">
        <v>12</v>
      </c>
      <c r="D1683" t="s">
        <v>20</v>
      </c>
      <c r="E1683" t="s">
        <v>34</v>
      </c>
      <c r="F1683" t="s">
        <v>28</v>
      </c>
      <c r="G1683">
        <v>17</v>
      </c>
      <c r="H1683" s="3">
        <v>61.7</v>
      </c>
      <c r="I1683" s="3">
        <v>36.299999999999997</v>
      </c>
      <c r="J1683" s="3">
        <f t="shared" si="78"/>
        <v>1048.9000000000001</v>
      </c>
      <c r="K1683" s="3">
        <f t="shared" si="79"/>
        <v>617.09999999999991</v>
      </c>
      <c r="L1683" s="3">
        <f t="shared" si="80"/>
        <v>431.80000000000018</v>
      </c>
    </row>
    <row r="1684" spans="1:12" x14ac:dyDescent="0.3">
      <c r="A1684">
        <v>2638</v>
      </c>
      <c r="B1684" s="2">
        <v>45979</v>
      </c>
      <c r="C1684" t="s">
        <v>16</v>
      </c>
      <c r="D1684" t="s">
        <v>20</v>
      </c>
      <c r="E1684" t="s">
        <v>21</v>
      </c>
      <c r="F1684" t="s">
        <v>25</v>
      </c>
      <c r="G1684">
        <v>1</v>
      </c>
      <c r="H1684" s="3">
        <v>127.44</v>
      </c>
      <c r="I1684" s="3">
        <v>66.680000000000007</v>
      </c>
      <c r="J1684" s="3">
        <f t="shared" si="78"/>
        <v>127.44</v>
      </c>
      <c r="K1684" s="3">
        <f t="shared" si="79"/>
        <v>66.680000000000007</v>
      </c>
      <c r="L1684" s="3">
        <f t="shared" si="80"/>
        <v>60.759999999999991</v>
      </c>
    </row>
    <row r="1685" spans="1:12" x14ac:dyDescent="0.3">
      <c r="A1685">
        <v>1042</v>
      </c>
      <c r="B1685" s="2">
        <v>45980</v>
      </c>
      <c r="C1685" t="s">
        <v>32</v>
      </c>
      <c r="D1685" t="s">
        <v>13</v>
      </c>
      <c r="E1685" t="s">
        <v>24</v>
      </c>
      <c r="F1685" t="s">
        <v>19</v>
      </c>
      <c r="G1685">
        <v>2</v>
      </c>
      <c r="H1685" s="3">
        <v>59.08</v>
      </c>
      <c r="I1685" s="3">
        <v>36.270000000000003</v>
      </c>
      <c r="J1685" s="3">
        <f t="shared" si="78"/>
        <v>118.16</v>
      </c>
      <c r="K1685" s="3">
        <f t="shared" si="79"/>
        <v>72.540000000000006</v>
      </c>
      <c r="L1685" s="3">
        <f t="shared" si="80"/>
        <v>45.61999999999999</v>
      </c>
    </row>
    <row r="1686" spans="1:12" x14ac:dyDescent="0.3">
      <c r="A1686">
        <v>1074</v>
      </c>
      <c r="B1686" s="2">
        <v>45980</v>
      </c>
      <c r="C1686" t="s">
        <v>32</v>
      </c>
      <c r="D1686" t="s">
        <v>17</v>
      </c>
      <c r="E1686" t="s">
        <v>44</v>
      </c>
      <c r="F1686" t="s">
        <v>28</v>
      </c>
      <c r="G1686">
        <v>34</v>
      </c>
      <c r="H1686" s="3">
        <v>607.27</v>
      </c>
      <c r="I1686" s="3">
        <v>400.01</v>
      </c>
      <c r="J1686" s="3">
        <f t="shared" si="78"/>
        <v>20647.18</v>
      </c>
      <c r="K1686" s="3">
        <f t="shared" si="79"/>
        <v>13600.34</v>
      </c>
      <c r="L1686" s="3">
        <f t="shared" si="80"/>
        <v>7046.84</v>
      </c>
    </row>
    <row r="1687" spans="1:12" x14ac:dyDescent="0.3">
      <c r="A1687">
        <v>1097</v>
      </c>
      <c r="B1687" s="2">
        <v>45980</v>
      </c>
      <c r="C1687" t="s">
        <v>32</v>
      </c>
      <c r="D1687" t="s">
        <v>20</v>
      </c>
      <c r="E1687" t="s">
        <v>38</v>
      </c>
      <c r="F1687" t="s">
        <v>25</v>
      </c>
      <c r="G1687">
        <v>15</v>
      </c>
      <c r="H1687" s="3">
        <v>111.84</v>
      </c>
      <c r="I1687" s="3">
        <v>72.98</v>
      </c>
      <c r="J1687" s="3">
        <f t="shared" si="78"/>
        <v>1677.6000000000001</v>
      </c>
      <c r="K1687" s="3">
        <f t="shared" si="79"/>
        <v>1094.7</v>
      </c>
      <c r="L1687" s="3">
        <f t="shared" si="80"/>
        <v>582.90000000000009</v>
      </c>
    </row>
    <row r="1688" spans="1:12" x14ac:dyDescent="0.3">
      <c r="A1688">
        <v>1199</v>
      </c>
      <c r="B1688" s="2">
        <v>45980</v>
      </c>
      <c r="C1688" t="s">
        <v>32</v>
      </c>
      <c r="D1688" t="s">
        <v>13</v>
      </c>
      <c r="E1688" t="s">
        <v>31</v>
      </c>
      <c r="F1688" t="s">
        <v>19</v>
      </c>
      <c r="G1688">
        <v>34</v>
      </c>
      <c r="H1688" s="3">
        <v>20.13</v>
      </c>
      <c r="I1688" s="3">
        <v>14.49</v>
      </c>
      <c r="J1688" s="3">
        <f t="shared" si="78"/>
        <v>684.42</v>
      </c>
      <c r="K1688" s="3">
        <f t="shared" si="79"/>
        <v>492.66</v>
      </c>
      <c r="L1688" s="3">
        <f t="shared" si="80"/>
        <v>191.75999999999993</v>
      </c>
    </row>
    <row r="1689" spans="1:12" x14ac:dyDescent="0.3">
      <c r="A1689">
        <v>2250</v>
      </c>
      <c r="B1689" s="2">
        <v>45980</v>
      </c>
      <c r="C1689" t="s">
        <v>32</v>
      </c>
      <c r="D1689" t="s">
        <v>20</v>
      </c>
      <c r="E1689" t="s">
        <v>38</v>
      </c>
      <c r="F1689" t="s">
        <v>33</v>
      </c>
      <c r="G1689">
        <v>33</v>
      </c>
      <c r="H1689" s="3">
        <v>115.8</v>
      </c>
      <c r="I1689" s="3">
        <v>85.2</v>
      </c>
      <c r="J1689" s="3">
        <f t="shared" si="78"/>
        <v>3821.4</v>
      </c>
      <c r="K1689" s="3">
        <f t="shared" si="79"/>
        <v>2811.6</v>
      </c>
      <c r="L1689" s="3">
        <f t="shared" si="80"/>
        <v>1009.8000000000002</v>
      </c>
    </row>
    <row r="1690" spans="1:12" x14ac:dyDescent="0.3">
      <c r="A1690">
        <v>2301</v>
      </c>
      <c r="B1690" s="2">
        <v>45980</v>
      </c>
      <c r="C1690" t="s">
        <v>23</v>
      </c>
      <c r="D1690" t="s">
        <v>20</v>
      </c>
      <c r="E1690" t="s">
        <v>38</v>
      </c>
      <c r="F1690" t="s">
        <v>36</v>
      </c>
      <c r="G1690">
        <v>6</v>
      </c>
      <c r="H1690" s="3">
        <v>120.43</v>
      </c>
      <c r="I1690" s="3">
        <v>74.260000000000005</v>
      </c>
      <c r="J1690" s="3">
        <f t="shared" si="78"/>
        <v>722.58</v>
      </c>
      <c r="K1690" s="3">
        <f t="shared" si="79"/>
        <v>445.56000000000006</v>
      </c>
      <c r="L1690" s="3">
        <f t="shared" si="80"/>
        <v>277.02</v>
      </c>
    </row>
    <row r="1691" spans="1:12" x14ac:dyDescent="0.3">
      <c r="A1691">
        <v>1228</v>
      </c>
      <c r="B1691" s="2">
        <v>45981</v>
      </c>
      <c r="C1691" t="s">
        <v>23</v>
      </c>
      <c r="D1691" t="s">
        <v>13</v>
      </c>
      <c r="E1691" t="s">
        <v>31</v>
      </c>
      <c r="F1691" t="s">
        <v>39</v>
      </c>
      <c r="G1691">
        <v>17</v>
      </c>
      <c r="H1691" s="3">
        <v>43.77</v>
      </c>
      <c r="I1691" s="3">
        <v>32.729999999999997</v>
      </c>
      <c r="J1691" s="3">
        <f t="shared" si="78"/>
        <v>744.09</v>
      </c>
      <c r="K1691" s="3">
        <f t="shared" si="79"/>
        <v>556.41</v>
      </c>
      <c r="L1691" s="3">
        <f t="shared" si="80"/>
        <v>187.68000000000006</v>
      </c>
    </row>
    <row r="1692" spans="1:12" x14ac:dyDescent="0.3">
      <c r="A1692">
        <v>1271</v>
      </c>
      <c r="B1692" s="2">
        <v>45981</v>
      </c>
      <c r="C1692" t="s">
        <v>26</v>
      </c>
      <c r="D1692" t="s">
        <v>13</v>
      </c>
      <c r="E1692" t="s">
        <v>24</v>
      </c>
      <c r="F1692" t="s">
        <v>22</v>
      </c>
      <c r="G1692">
        <v>26</v>
      </c>
      <c r="H1692" s="3">
        <v>29.51</v>
      </c>
      <c r="I1692" s="3">
        <v>17.170000000000002</v>
      </c>
      <c r="J1692" s="3">
        <f t="shared" si="78"/>
        <v>767.26</v>
      </c>
      <c r="K1692" s="3">
        <f t="shared" si="79"/>
        <v>446.42000000000007</v>
      </c>
      <c r="L1692" s="3">
        <f t="shared" si="80"/>
        <v>320.83999999999992</v>
      </c>
    </row>
    <row r="1693" spans="1:12" x14ac:dyDescent="0.3">
      <c r="A1693">
        <v>2343</v>
      </c>
      <c r="B1693" s="2">
        <v>45981</v>
      </c>
      <c r="C1693" t="s">
        <v>23</v>
      </c>
      <c r="D1693" t="s">
        <v>20</v>
      </c>
      <c r="E1693" t="s">
        <v>38</v>
      </c>
      <c r="F1693" t="s">
        <v>33</v>
      </c>
      <c r="G1693">
        <v>2</v>
      </c>
      <c r="H1693" s="3">
        <v>189.84</v>
      </c>
      <c r="I1693" s="3">
        <v>112.62</v>
      </c>
      <c r="J1693" s="3">
        <f t="shared" si="78"/>
        <v>379.68</v>
      </c>
      <c r="K1693" s="3">
        <f t="shared" si="79"/>
        <v>225.24</v>
      </c>
      <c r="L1693" s="3">
        <f t="shared" si="80"/>
        <v>154.44</v>
      </c>
    </row>
    <row r="1694" spans="1:12" x14ac:dyDescent="0.3">
      <c r="A1694">
        <v>2085</v>
      </c>
      <c r="B1694" s="2">
        <v>45982</v>
      </c>
      <c r="C1694" t="s">
        <v>23</v>
      </c>
      <c r="D1694" t="s">
        <v>20</v>
      </c>
      <c r="E1694" t="s">
        <v>42</v>
      </c>
      <c r="F1694" t="s">
        <v>33</v>
      </c>
      <c r="G1694">
        <v>32</v>
      </c>
      <c r="H1694" s="3">
        <v>267.95999999999998</v>
      </c>
      <c r="I1694" s="3">
        <v>145.91</v>
      </c>
      <c r="J1694" s="3">
        <f t="shared" si="78"/>
        <v>8574.7199999999993</v>
      </c>
      <c r="K1694" s="3">
        <f t="shared" si="79"/>
        <v>4669.12</v>
      </c>
      <c r="L1694" s="3">
        <f t="shared" si="80"/>
        <v>3905.5999999999995</v>
      </c>
    </row>
    <row r="1695" spans="1:12" x14ac:dyDescent="0.3">
      <c r="A1695">
        <v>1536</v>
      </c>
      <c r="B1695" s="2">
        <v>45983</v>
      </c>
      <c r="C1695" t="s">
        <v>12</v>
      </c>
      <c r="D1695" t="s">
        <v>13</v>
      </c>
      <c r="E1695" t="s">
        <v>46</v>
      </c>
      <c r="F1695" t="s">
        <v>33</v>
      </c>
      <c r="G1695">
        <v>12</v>
      </c>
      <c r="H1695" s="3">
        <v>3.6</v>
      </c>
      <c r="I1695" s="3">
        <v>2.17</v>
      </c>
      <c r="J1695" s="3">
        <f t="shared" si="78"/>
        <v>43.2</v>
      </c>
      <c r="K1695" s="3">
        <f t="shared" si="79"/>
        <v>26.04</v>
      </c>
      <c r="L1695" s="3">
        <f t="shared" si="80"/>
        <v>17.160000000000004</v>
      </c>
    </row>
    <row r="1696" spans="1:12" x14ac:dyDescent="0.3">
      <c r="A1696">
        <v>1620</v>
      </c>
      <c r="B1696" s="2">
        <v>45983</v>
      </c>
      <c r="C1696" t="s">
        <v>12</v>
      </c>
      <c r="D1696" t="s">
        <v>29</v>
      </c>
      <c r="E1696" t="s">
        <v>41</v>
      </c>
      <c r="F1696" t="s">
        <v>33</v>
      </c>
      <c r="G1696">
        <v>11</v>
      </c>
      <c r="H1696" s="3">
        <v>263.12</v>
      </c>
      <c r="I1696" s="3">
        <v>187.3</v>
      </c>
      <c r="J1696" s="3">
        <f t="shared" si="78"/>
        <v>2894.32</v>
      </c>
      <c r="K1696" s="3">
        <f t="shared" si="79"/>
        <v>2060.3000000000002</v>
      </c>
      <c r="L1696" s="3">
        <f t="shared" si="80"/>
        <v>834.02</v>
      </c>
    </row>
    <row r="1697" spans="1:12" x14ac:dyDescent="0.3">
      <c r="A1697">
        <v>1341</v>
      </c>
      <c r="B1697" s="2">
        <v>45985</v>
      </c>
      <c r="C1697" t="s">
        <v>32</v>
      </c>
      <c r="D1697" t="s">
        <v>20</v>
      </c>
      <c r="E1697" t="s">
        <v>42</v>
      </c>
      <c r="F1697" t="s">
        <v>25</v>
      </c>
      <c r="G1697">
        <v>3</v>
      </c>
      <c r="H1697" s="3">
        <v>112.03</v>
      </c>
      <c r="I1697" s="3">
        <v>81.069999999999993</v>
      </c>
      <c r="J1697" s="3">
        <f t="shared" si="78"/>
        <v>336.09000000000003</v>
      </c>
      <c r="K1697" s="3">
        <f t="shared" si="79"/>
        <v>243.20999999999998</v>
      </c>
      <c r="L1697" s="3">
        <f t="shared" si="80"/>
        <v>92.880000000000052</v>
      </c>
    </row>
    <row r="1698" spans="1:12" x14ac:dyDescent="0.3">
      <c r="A1698">
        <v>1764</v>
      </c>
      <c r="B1698" s="2">
        <v>45985</v>
      </c>
      <c r="C1698" t="s">
        <v>32</v>
      </c>
      <c r="D1698" t="s">
        <v>13</v>
      </c>
      <c r="E1698" t="s">
        <v>14</v>
      </c>
      <c r="F1698" t="s">
        <v>33</v>
      </c>
      <c r="G1698">
        <v>12</v>
      </c>
      <c r="H1698" s="3">
        <v>4.96</v>
      </c>
      <c r="I1698" s="3">
        <v>3.34</v>
      </c>
      <c r="J1698" s="3">
        <f t="shared" si="78"/>
        <v>59.519999999999996</v>
      </c>
      <c r="K1698" s="3">
        <f t="shared" si="79"/>
        <v>40.08</v>
      </c>
      <c r="L1698" s="3">
        <f t="shared" si="80"/>
        <v>19.439999999999998</v>
      </c>
    </row>
    <row r="1699" spans="1:12" x14ac:dyDescent="0.3">
      <c r="A1699">
        <v>1396</v>
      </c>
      <c r="B1699" s="2">
        <v>45986</v>
      </c>
      <c r="C1699" t="s">
        <v>23</v>
      </c>
      <c r="D1699" t="s">
        <v>20</v>
      </c>
      <c r="E1699" t="s">
        <v>38</v>
      </c>
      <c r="F1699" t="s">
        <v>22</v>
      </c>
      <c r="G1699">
        <v>34</v>
      </c>
      <c r="H1699" s="3">
        <v>235.23</v>
      </c>
      <c r="I1699" s="3">
        <v>138.22999999999999</v>
      </c>
      <c r="J1699" s="3">
        <f t="shared" si="78"/>
        <v>7997.82</v>
      </c>
      <c r="K1699" s="3">
        <f t="shared" si="79"/>
        <v>4699.82</v>
      </c>
      <c r="L1699" s="3">
        <f t="shared" si="80"/>
        <v>3298</v>
      </c>
    </row>
    <row r="1700" spans="1:12" x14ac:dyDescent="0.3">
      <c r="A1700">
        <v>1474</v>
      </c>
      <c r="B1700" s="2">
        <v>45986</v>
      </c>
      <c r="C1700" t="s">
        <v>16</v>
      </c>
      <c r="D1700" t="s">
        <v>13</v>
      </c>
      <c r="E1700" t="s">
        <v>14</v>
      </c>
      <c r="F1700" t="s">
        <v>39</v>
      </c>
      <c r="G1700">
        <v>37</v>
      </c>
      <c r="H1700" s="3">
        <v>58.32</v>
      </c>
      <c r="I1700" s="3">
        <v>37.07</v>
      </c>
      <c r="J1700" s="3">
        <f t="shared" si="78"/>
        <v>2157.84</v>
      </c>
      <c r="K1700" s="3">
        <f t="shared" si="79"/>
        <v>1371.59</v>
      </c>
      <c r="L1700" s="3">
        <f t="shared" si="80"/>
        <v>786.25000000000023</v>
      </c>
    </row>
    <row r="1701" spans="1:12" x14ac:dyDescent="0.3">
      <c r="A1701">
        <v>1501</v>
      </c>
      <c r="B1701" s="2">
        <v>45986</v>
      </c>
      <c r="C1701" t="s">
        <v>32</v>
      </c>
      <c r="D1701" t="s">
        <v>17</v>
      </c>
      <c r="E1701" t="s">
        <v>44</v>
      </c>
      <c r="F1701" t="s">
        <v>33</v>
      </c>
      <c r="G1701">
        <v>23</v>
      </c>
      <c r="H1701" s="3">
        <v>115.62</v>
      </c>
      <c r="I1701" s="3">
        <v>68.66</v>
      </c>
      <c r="J1701" s="3">
        <f t="shared" si="78"/>
        <v>2659.26</v>
      </c>
      <c r="K1701" s="3">
        <f t="shared" si="79"/>
        <v>1579.1799999999998</v>
      </c>
      <c r="L1701" s="3">
        <f t="shared" si="80"/>
        <v>1080.0800000000004</v>
      </c>
    </row>
    <row r="1702" spans="1:12" x14ac:dyDescent="0.3">
      <c r="A1702">
        <v>2001</v>
      </c>
      <c r="B1702" s="2">
        <v>45986</v>
      </c>
      <c r="C1702" t="s">
        <v>32</v>
      </c>
      <c r="D1702" t="s">
        <v>20</v>
      </c>
      <c r="E1702" t="s">
        <v>21</v>
      </c>
      <c r="F1702" t="s">
        <v>15</v>
      </c>
      <c r="G1702">
        <v>11</v>
      </c>
      <c r="H1702" s="3">
        <v>86.7</v>
      </c>
      <c r="I1702" s="3">
        <v>63.02</v>
      </c>
      <c r="J1702" s="3">
        <f t="shared" si="78"/>
        <v>953.7</v>
      </c>
      <c r="K1702" s="3">
        <f t="shared" si="79"/>
        <v>693.22</v>
      </c>
      <c r="L1702" s="3">
        <f t="shared" si="80"/>
        <v>260.48</v>
      </c>
    </row>
    <row r="1703" spans="1:12" x14ac:dyDescent="0.3">
      <c r="A1703">
        <v>2625</v>
      </c>
      <c r="B1703" s="2">
        <v>45986</v>
      </c>
      <c r="C1703" t="s">
        <v>12</v>
      </c>
      <c r="D1703" t="s">
        <v>20</v>
      </c>
      <c r="E1703" t="s">
        <v>34</v>
      </c>
      <c r="F1703" t="s">
        <v>22</v>
      </c>
      <c r="G1703">
        <v>13</v>
      </c>
      <c r="H1703" s="3">
        <v>67.52</v>
      </c>
      <c r="I1703" s="3">
        <v>34.99</v>
      </c>
      <c r="J1703" s="3">
        <f t="shared" si="78"/>
        <v>877.76</v>
      </c>
      <c r="K1703" s="3">
        <f t="shared" si="79"/>
        <v>454.87</v>
      </c>
      <c r="L1703" s="3">
        <f t="shared" si="80"/>
        <v>422.89</v>
      </c>
    </row>
    <row r="1704" spans="1:12" x14ac:dyDescent="0.3">
      <c r="A1704">
        <v>1519</v>
      </c>
      <c r="B1704" s="2">
        <v>45987</v>
      </c>
      <c r="C1704" t="s">
        <v>32</v>
      </c>
      <c r="D1704" t="s">
        <v>20</v>
      </c>
      <c r="E1704" t="s">
        <v>38</v>
      </c>
      <c r="F1704" t="s">
        <v>25</v>
      </c>
      <c r="G1704">
        <v>38</v>
      </c>
      <c r="H1704" s="3">
        <v>55.72</v>
      </c>
      <c r="I1704" s="3">
        <v>31.96</v>
      </c>
      <c r="J1704" s="3">
        <f t="shared" si="78"/>
        <v>2117.36</v>
      </c>
      <c r="K1704" s="3">
        <f t="shared" si="79"/>
        <v>1214.48</v>
      </c>
      <c r="L1704" s="3">
        <f t="shared" si="80"/>
        <v>902.88000000000011</v>
      </c>
    </row>
    <row r="1705" spans="1:12" x14ac:dyDescent="0.3">
      <c r="A1705">
        <v>1607</v>
      </c>
      <c r="B1705" s="2">
        <v>45987</v>
      </c>
      <c r="C1705" t="s">
        <v>32</v>
      </c>
      <c r="D1705" t="s">
        <v>13</v>
      </c>
      <c r="E1705" t="s">
        <v>45</v>
      </c>
      <c r="F1705" t="s">
        <v>28</v>
      </c>
      <c r="G1705">
        <v>7</v>
      </c>
      <c r="H1705" s="3">
        <v>32.79</v>
      </c>
      <c r="I1705" s="3">
        <v>19.63</v>
      </c>
      <c r="J1705" s="3">
        <f t="shared" si="78"/>
        <v>229.53</v>
      </c>
      <c r="K1705" s="3">
        <f t="shared" si="79"/>
        <v>137.41</v>
      </c>
      <c r="L1705" s="3">
        <f t="shared" si="80"/>
        <v>92.12</v>
      </c>
    </row>
    <row r="1706" spans="1:12" x14ac:dyDescent="0.3">
      <c r="A1706">
        <v>1326</v>
      </c>
      <c r="B1706" s="2">
        <v>45988</v>
      </c>
      <c r="C1706" t="s">
        <v>32</v>
      </c>
      <c r="D1706" t="s">
        <v>17</v>
      </c>
      <c r="E1706" t="s">
        <v>44</v>
      </c>
      <c r="F1706" t="s">
        <v>33</v>
      </c>
      <c r="G1706">
        <v>15</v>
      </c>
      <c r="H1706" s="3">
        <v>685.14</v>
      </c>
      <c r="I1706" s="3">
        <v>387.2</v>
      </c>
      <c r="J1706" s="3">
        <f t="shared" si="78"/>
        <v>10277.1</v>
      </c>
      <c r="K1706" s="3">
        <f t="shared" si="79"/>
        <v>5808</v>
      </c>
      <c r="L1706" s="3">
        <f t="shared" si="80"/>
        <v>4469.1000000000004</v>
      </c>
    </row>
    <row r="1707" spans="1:12" x14ac:dyDescent="0.3">
      <c r="A1707">
        <v>1400</v>
      </c>
      <c r="B1707" s="2">
        <v>45988</v>
      </c>
      <c r="C1707" t="s">
        <v>23</v>
      </c>
      <c r="D1707" t="s">
        <v>13</v>
      </c>
      <c r="E1707" t="s">
        <v>14</v>
      </c>
      <c r="F1707" t="s">
        <v>28</v>
      </c>
      <c r="G1707">
        <v>12</v>
      </c>
      <c r="H1707" s="3">
        <v>34.630000000000003</v>
      </c>
      <c r="I1707" s="3">
        <v>20.3</v>
      </c>
      <c r="J1707" s="3">
        <f t="shared" si="78"/>
        <v>415.56000000000006</v>
      </c>
      <c r="K1707" s="3">
        <f t="shared" si="79"/>
        <v>243.60000000000002</v>
      </c>
      <c r="L1707" s="3">
        <f t="shared" si="80"/>
        <v>171.96000000000004</v>
      </c>
    </row>
    <row r="1708" spans="1:12" x14ac:dyDescent="0.3">
      <c r="A1708">
        <v>1328</v>
      </c>
      <c r="B1708" s="2">
        <v>45989</v>
      </c>
      <c r="C1708" t="s">
        <v>23</v>
      </c>
      <c r="D1708" t="s">
        <v>29</v>
      </c>
      <c r="E1708" t="s">
        <v>41</v>
      </c>
      <c r="F1708" t="s">
        <v>22</v>
      </c>
      <c r="G1708">
        <v>10</v>
      </c>
      <c r="H1708" s="3">
        <v>251.86</v>
      </c>
      <c r="I1708" s="3">
        <v>183.02</v>
      </c>
      <c r="J1708" s="3">
        <f t="shared" si="78"/>
        <v>2518.6000000000004</v>
      </c>
      <c r="K1708" s="3">
        <f t="shared" si="79"/>
        <v>1830.2</v>
      </c>
      <c r="L1708" s="3">
        <f t="shared" si="80"/>
        <v>688.40000000000032</v>
      </c>
    </row>
    <row r="1709" spans="1:12" x14ac:dyDescent="0.3">
      <c r="A1709">
        <v>1440</v>
      </c>
      <c r="B1709" s="2">
        <v>45989</v>
      </c>
      <c r="C1709" t="s">
        <v>32</v>
      </c>
      <c r="D1709" t="s">
        <v>29</v>
      </c>
      <c r="E1709" t="s">
        <v>37</v>
      </c>
      <c r="F1709" t="s">
        <v>22</v>
      </c>
      <c r="G1709">
        <v>36</v>
      </c>
      <c r="H1709" s="3">
        <v>348.18</v>
      </c>
      <c r="I1709" s="3">
        <v>251.34</v>
      </c>
      <c r="J1709" s="3">
        <f t="shared" si="78"/>
        <v>12534.48</v>
      </c>
      <c r="K1709" s="3">
        <f t="shared" si="79"/>
        <v>9048.24</v>
      </c>
      <c r="L1709" s="3">
        <f t="shared" si="80"/>
        <v>3486.24</v>
      </c>
    </row>
    <row r="1710" spans="1:12" x14ac:dyDescent="0.3">
      <c r="A1710">
        <v>1889</v>
      </c>
      <c r="B1710" s="2">
        <v>45989</v>
      </c>
      <c r="C1710" t="s">
        <v>12</v>
      </c>
      <c r="D1710" t="s">
        <v>13</v>
      </c>
      <c r="E1710" t="s">
        <v>46</v>
      </c>
      <c r="F1710" t="s">
        <v>33</v>
      </c>
      <c r="G1710">
        <v>29</v>
      </c>
      <c r="H1710" s="3">
        <v>22.32</v>
      </c>
      <c r="I1710" s="3">
        <v>13.56</v>
      </c>
      <c r="J1710" s="3">
        <f t="shared" si="78"/>
        <v>647.28</v>
      </c>
      <c r="K1710" s="3">
        <f t="shared" si="79"/>
        <v>393.24</v>
      </c>
      <c r="L1710" s="3">
        <f t="shared" si="80"/>
        <v>254.03999999999996</v>
      </c>
    </row>
    <row r="1711" spans="1:12" x14ac:dyDescent="0.3">
      <c r="A1711">
        <v>2731</v>
      </c>
      <c r="B1711" s="2">
        <v>45990</v>
      </c>
      <c r="C1711" t="s">
        <v>12</v>
      </c>
      <c r="D1711" t="s">
        <v>13</v>
      </c>
      <c r="E1711" t="s">
        <v>45</v>
      </c>
      <c r="F1711" t="s">
        <v>15</v>
      </c>
      <c r="G1711">
        <v>12</v>
      </c>
      <c r="H1711" s="3">
        <v>40.770000000000003</v>
      </c>
      <c r="I1711" s="3">
        <v>20.65</v>
      </c>
      <c r="J1711" s="3">
        <f t="shared" si="78"/>
        <v>489.24</v>
      </c>
      <c r="K1711" s="3">
        <f t="shared" si="79"/>
        <v>247.79999999999998</v>
      </c>
      <c r="L1711" s="3">
        <f t="shared" si="80"/>
        <v>241.44000000000003</v>
      </c>
    </row>
    <row r="1712" spans="1:12" x14ac:dyDescent="0.3">
      <c r="A1712">
        <v>1089</v>
      </c>
      <c r="B1712" s="2">
        <v>45991</v>
      </c>
      <c r="C1712" t="s">
        <v>12</v>
      </c>
      <c r="D1712" t="s">
        <v>20</v>
      </c>
      <c r="E1712" t="s">
        <v>34</v>
      </c>
      <c r="F1712" t="s">
        <v>39</v>
      </c>
      <c r="G1712">
        <v>30</v>
      </c>
      <c r="H1712" s="3">
        <v>271.69</v>
      </c>
      <c r="I1712" s="3">
        <v>167.45</v>
      </c>
      <c r="J1712" s="3">
        <f t="shared" si="78"/>
        <v>8150.7</v>
      </c>
      <c r="K1712" s="3">
        <f t="shared" si="79"/>
        <v>5023.5</v>
      </c>
      <c r="L1712" s="3">
        <f t="shared" si="80"/>
        <v>3127.2</v>
      </c>
    </row>
    <row r="1713" spans="1:12" x14ac:dyDescent="0.3">
      <c r="A1713">
        <v>1262</v>
      </c>
      <c r="B1713" s="2">
        <v>45991</v>
      </c>
      <c r="C1713" t="s">
        <v>12</v>
      </c>
      <c r="D1713" t="s">
        <v>20</v>
      </c>
      <c r="E1713" t="s">
        <v>42</v>
      </c>
      <c r="F1713" t="s">
        <v>22</v>
      </c>
      <c r="G1713">
        <v>38</v>
      </c>
      <c r="H1713" s="3">
        <v>36.93</v>
      </c>
      <c r="I1713" s="3">
        <v>25.75</v>
      </c>
      <c r="J1713" s="3">
        <f t="shared" si="78"/>
        <v>1403.34</v>
      </c>
      <c r="K1713" s="3">
        <f t="shared" si="79"/>
        <v>978.5</v>
      </c>
      <c r="L1713" s="3">
        <f t="shared" si="80"/>
        <v>424.83999999999992</v>
      </c>
    </row>
    <row r="1714" spans="1:12" x14ac:dyDescent="0.3">
      <c r="A1714">
        <v>2188</v>
      </c>
      <c r="B1714" s="2">
        <v>45991</v>
      </c>
      <c r="C1714" t="s">
        <v>32</v>
      </c>
      <c r="D1714" t="s">
        <v>29</v>
      </c>
      <c r="E1714" t="s">
        <v>37</v>
      </c>
      <c r="F1714" t="s">
        <v>15</v>
      </c>
      <c r="G1714">
        <v>29</v>
      </c>
      <c r="H1714" s="3">
        <v>373.62</v>
      </c>
      <c r="I1714" s="3">
        <v>258.60000000000002</v>
      </c>
      <c r="J1714" s="3">
        <f t="shared" si="78"/>
        <v>10834.98</v>
      </c>
      <c r="K1714" s="3">
        <f t="shared" si="79"/>
        <v>7499.4000000000005</v>
      </c>
      <c r="L1714" s="3">
        <f t="shared" si="80"/>
        <v>3335.579999999999</v>
      </c>
    </row>
    <row r="1715" spans="1:12" x14ac:dyDescent="0.3">
      <c r="A1715">
        <v>2209</v>
      </c>
      <c r="B1715" s="2">
        <v>45991</v>
      </c>
      <c r="C1715" t="s">
        <v>12</v>
      </c>
      <c r="D1715" t="s">
        <v>29</v>
      </c>
      <c r="E1715" t="s">
        <v>37</v>
      </c>
      <c r="F1715" t="s">
        <v>28</v>
      </c>
      <c r="G1715">
        <v>12</v>
      </c>
      <c r="H1715" s="3">
        <v>266.94</v>
      </c>
      <c r="I1715" s="3">
        <v>195.89</v>
      </c>
      <c r="J1715" s="3">
        <f t="shared" si="78"/>
        <v>3203.2799999999997</v>
      </c>
      <c r="K1715" s="3">
        <f t="shared" si="79"/>
        <v>2350.6799999999998</v>
      </c>
      <c r="L1715" s="3">
        <f t="shared" si="80"/>
        <v>852.59999999999991</v>
      </c>
    </row>
    <row r="1716" spans="1:12" x14ac:dyDescent="0.3">
      <c r="A1716">
        <v>2259</v>
      </c>
      <c r="B1716" s="2">
        <v>45991</v>
      </c>
      <c r="C1716" t="s">
        <v>32</v>
      </c>
      <c r="D1716" t="s">
        <v>29</v>
      </c>
      <c r="E1716" t="s">
        <v>37</v>
      </c>
      <c r="F1716" t="s">
        <v>25</v>
      </c>
      <c r="G1716">
        <v>4</v>
      </c>
      <c r="H1716" s="3">
        <v>387.82</v>
      </c>
      <c r="I1716" s="3">
        <v>273.19</v>
      </c>
      <c r="J1716" s="3">
        <f t="shared" si="78"/>
        <v>1551.28</v>
      </c>
      <c r="K1716" s="3">
        <f t="shared" si="79"/>
        <v>1092.76</v>
      </c>
      <c r="L1716" s="3">
        <f t="shared" si="80"/>
        <v>458.52</v>
      </c>
    </row>
    <row r="1717" spans="1:12" x14ac:dyDescent="0.3">
      <c r="A1717">
        <v>1663</v>
      </c>
      <c r="B1717" s="2">
        <v>45992</v>
      </c>
      <c r="C1717" t="s">
        <v>32</v>
      </c>
      <c r="D1717" t="s">
        <v>13</v>
      </c>
      <c r="E1717" t="s">
        <v>46</v>
      </c>
      <c r="F1717" t="s">
        <v>36</v>
      </c>
      <c r="G1717">
        <v>19</v>
      </c>
      <c r="H1717" s="3">
        <v>34.409999999999997</v>
      </c>
      <c r="I1717" s="3">
        <v>21.6</v>
      </c>
      <c r="J1717" s="3">
        <f t="shared" si="78"/>
        <v>653.79</v>
      </c>
      <c r="K1717" s="3">
        <f t="shared" si="79"/>
        <v>410.40000000000003</v>
      </c>
      <c r="L1717" s="3">
        <f t="shared" si="80"/>
        <v>243.38999999999993</v>
      </c>
    </row>
    <row r="1718" spans="1:12" x14ac:dyDescent="0.3">
      <c r="A1718">
        <v>1990</v>
      </c>
      <c r="B1718" s="2">
        <v>45992</v>
      </c>
      <c r="C1718" t="s">
        <v>26</v>
      </c>
      <c r="D1718" t="s">
        <v>20</v>
      </c>
      <c r="E1718" t="s">
        <v>42</v>
      </c>
      <c r="F1718" t="s">
        <v>36</v>
      </c>
      <c r="G1718">
        <v>25</v>
      </c>
      <c r="H1718" s="3">
        <v>58.58</v>
      </c>
      <c r="I1718" s="3">
        <v>35.700000000000003</v>
      </c>
      <c r="J1718" s="3">
        <f t="shared" si="78"/>
        <v>1464.5</v>
      </c>
      <c r="K1718" s="3">
        <f t="shared" si="79"/>
        <v>892.50000000000011</v>
      </c>
      <c r="L1718" s="3">
        <f t="shared" si="80"/>
        <v>571.99999999999989</v>
      </c>
    </row>
    <row r="1719" spans="1:12" x14ac:dyDescent="0.3">
      <c r="A1719">
        <v>2217</v>
      </c>
      <c r="B1719" s="2">
        <v>45992</v>
      </c>
      <c r="C1719" t="s">
        <v>23</v>
      </c>
      <c r="D1719" t="s">
        <v>13</v>
      </c>
      <c r="E1719" t="s">
        <v>46</v>
      </c>
      <c r="F1719" t="s">
        <v>33</v>
      </c>
      <c r="G1719">
        <v>3</v>
      </c>
      <c r="H1719" s="3">
        <v>8.6199999999999992</v>
      </c>
      <c r="I1719" s="3">
        <v>5.85</v>
      </c>
      <c r="J1719" s="3">
        <f t="shared" si="78"/>
        <v>25.86</v>
      </c>
      <c r="K1719" s="3">
        <f t="shared" si="79"/>
        <v>17.549999999999997</v>
      </c>
      <c r="L1719" s="3">
        <f t="shared" si="80"/>
        <v>8.3100000000000023</v>
      </c>
    </row>
    <row r="1720" spans="1:12" x14ac:dyDescent="0.3">
      <c r="A1720">
        <v>1208</v>
      </c>
      <c r="B1720" s="2">
        <v>45993</v>
      </c>
      <c r="C1720" t="s">
        <v>32</v>
      </c>
      <c r="D1720" t="s">
        <v>29</v>
      </c>
      <c r="E1720" t="s">
        <v>41</v>
      </c>
      <c r="F1720" t="s">
        <v>28</v>
      </c>
      <c r="G1720">
        <v>30</v>
      </c>
      <c r="H1720" s="3">
        <v>151.09</v>
      </c>
      <c r="I1720" s="3">
        <v>93.99</v>
      </c>
      <c r="J1720" s="3">
        <f t="shared" si="78"/>
        <v>4532.7</v>
      </c>
      <c r="K1720" s="3">
        <f t="shared" si="79"/>
        <v>2819.7</v>
      </c>
      <c r="L1720" s="3">
        <f t="shared" si="80"/>
        <v>1713</v>
      </c>
    </row>
    <row r="1721" spans="1:12" x14ac:dyDescent="0.3">
      <c r="A1721">
        <v>1615</v>
      </c>
      <c r="B1721" s="2">
        <v>45993</v>
      </c>
      <c r="C1721" t="s">
        <v>16</v>
      </c>
      <c r="D1721" t="s">
        <v>20</v>
      </c>
      <c r="E1721" t="s">
        <v>21</v>
      </c>
      <c r="F1721" t="s">
        <v>19</v>
      </c>
      <c r="G1721">
        <v>33</v>
      </c>
      <c r="H1721" s="3">
        <v>125.78</v>
      </c>
      <c r="I1721" s="3">
        <v>84.16</v>
      </c>
      <c r="J1721" s="3">
        <f t="shared" si="78"/>
        <v>4150.74</v>
      </c>
      <c r="K1721" s="3">
        <f t="shared" si="79"/>
        <v>2777.2799999999997</v>
      </c>
      <c r="L1721" s="3">
        <f t="shared" si="80"/>
        <v>1373.46</v>
      </c>
    </row>
    <row r="1722" spans="1:12" x14ac:dyDescent="0.3">
      <c r="A1722">
        <v>1957</v>
      </c>
      <c r="B1722" s="2">
        <v>45993</v>
      </c>
      <c r="C1722" t="s">
        <v>12</v>
      </c>
      <c r="D1722" t="s">
        <v>20</v>
      </c>
      <c r="E1722" t="s">
        <v>34</v>
      </c>
      <c r="F1722" t="s">
        <v>15</v>
      </c>
      <c r="G1722">
        <v>40</v>
      </c>
      <c r="H1722" s="3">
        <v>38.090000000000003</v>
      </c>
      <c r="I1722" s="3">
        <v>21.85</v>
      </c>
      <c r="J1722" s="3">
        <f t="shared" si="78"/>
        <v>1523.6000000000001</v>
      </c>
      <c r="K1722" s="3">
        <f t="shared" si="79"/>
        <v>874</v>
      </c>
      <c r="L1722" s="3">
        <f t="shared" si="80"/>
        <v>649.60000000000014</v>
      </c>
    </row>
    <row r="1723" spans="1:12" x14ac:dyDescent="0.3">
      <c r="A1723">
        <v>1640</v>
      </c>
      <c r="B1723" s="2">
        <v>45994</v>
      </c>
      <c r="C1723" t="s">
        <v>23</v>
      </c>
      <c r="D1723" t="s">
        <v>29</v>
      </c>
      <c r="E1723" t="s">
        <v>41</v>
      </c>
      <c r="F1723" t="s">
        <v>28</v>
      </c>
      <c r="G1723">
        <v>9</v>
      </c>
      <c r="H1723" s="3">
        <v>427.24</v>
      </c>
      <c r="I1723" s="3">
        <v>234.84</v>
      </c>
      <c r="J1723" s="3">
        <f t="shared" si="78"/>
        <v>3845.16</v>
      </c>
      <c r="K1723" s="3">
        <f t="shared" si="79"/>
        <v>2113.56</v>
      </c>
      <c r="L1723" s="3">
        <f t="shared" si="80"/>
        <v>1731.6</v>
      </c>
    </row>
    <row r="1724" spans="1:12" x14ac:dyDescent="0.3">
      <c r="A1724">
        <v>1953</v>
      </c>
      <c r="B1724" s="2">
        <v>45994</v>
      </c>
      <c r="C1724" t="s">
        <v>16</v>
      </c>
      <c r="D1724" t="s">
        <v>17</v>
      </c>
      <c r="E1724" t="s">
        <v>44</v>
      </c>
      <c r="F1724" t="s">
        <v>36</v>
      </c>
      <c r="G1724">
        <v>15</v>
      </c>
      <c r="H1724" s="3">
        <v>613.87</v>
      </c>
      <c r="I1724" s="3">
        <v>420.66</v>
      </c>
      <c r="J1724" s="3">
        <f t="shared" si="78"/>
        <v>9208.0499999999993</v>
      </c>
      <c r="K1724" s="3">
        <f t="shared" si="79"/>
        <v>6309.9000000000005</v>
      </c>
      <c r="L1724" s="3">
        <f t="shared" si="80"/>
        <v>2898.1499999999987</v>
      </c>
    </row>
    <row r="1725" spans="1:12" x14ac:dyDescent="0.3">
      <c r="A1725">
        <v>2108</v>
      </c>
      <c r="B1725" s="2">
        <v>45995</v>
      </c>
      <c r="C1725" t="s">
        <v>32</v>
      </c>
      <c r="D1725" t="s">
        <v>20</v>
      </c>
      <c r="E1725" t="s">
        <v>34</v>
      </c>
      <c r="F1725" t="s">
        <v>36</v>
      </c>
      <c r="G1725">
        <v>32</v>
      </c>
      <c r="H1725" s="3">
        <v>63.95</v>
      </c>
      <c r="I1725" s="3">
        <v>45.94</v>
      </c>
      <c r="J1725" s="3">
        <f t="shared" si="78"/>
        <v>2046.4</v>
      </c>
      <c r="K1725" s="3">
        <f t="shared" si="79"/>
        <v>1470.08</v>
      </c>
      <c r="L1725" s="3">
        <f t="shared" si="80"/>
        <v>576.32000000000016</v>
      </c>
    </row>
    <row r="1726" spans="1:12" x14ac:dyDescent="0.3">
      <c r="A1726">
        <v>1173</v>
      </c>
      <c r="B1726" s="2">
        <v>45996</v>
      </c>
      <c r="C1726" t="s">
        <v>26</v>
      </c>
      <c r="D1726" t="s">
        <v>20</v>
      </c>
      <c r="E1726" t="s">
        <v>38</v>
      </c>
      <c r="F1726" t="s">
        <v>39</v>
      </c>
      <c r="G1726">
        <v>4</v>
      </c>
      <c r="H1726" s="3">
        <v>193.53</v>
      </c>
      <c r="I1726" s="3">
        <v>137.46</v>
      </c>
      <c r="J1726" s="3">
        <f t="shared" si="78"/>
        <v>774.12</v>
      </c>
      <c r="K1726" s="3">
        <f t="shared" si="79"/>
        <v>549.84</v>
      </c>
      <c r="L1726" s="3">
        <f t="shared" si="80"/>
        <v>224.27999999999997</v>
      </c>
    </row>
    <row r="1727" spans="1:12" x14ac:dyDescent="0.3">
      <c r="A1727">
        <v>1934</v>
      </c>
      <c r="B1727" s="2">
        <v>45996</v>
      </c>
      <c r="C1727" t="s">
        <v>23</v>
      </c>
      <c r="D1727" t="s">
        <v>13</v>
      </c>
      <c r="E1727" t="s">
        <v>24</v>
      </c>
      <c r="F1727" t="s">
        <v>25</v>
      </c>
      <c r="G1727">
        <v>13</v>
      </c>
      <c r="H1727" s="3">
        <v>49.3</v>
      </c>
      <c r="I1727" s="3">
        <v>24.71</v>
      </c>
      <c r="J1727" s="3">
        <f t="shared" si="78"/>
        <v>640.9</v>
      </c>
      <c r="K1727" s="3">
        <f t="shared" si="79"/>
        <v>321.23</v>
      </c>
      <c r="L1727" s="3">
        <f t="shared" si="80"/>
        <v>319.66999999999996</v>
      </c>
    </row>
    <row r="1728" spans="1:12" x14ac:dyDescent="0.3">
      <c r="A1728">
        <v>1935</v>
      </c>
      <c r="B1728" s="2">
        <v>45996</v>
      </c>
      <c r="C1728" t="s">
        <v>26</v>
      </c>
      <c r="D1728" t="s">
        <v>29</v>
      </c>
      <c r="E1728" t="s">
        <v>30</v>
      </c>
      <c r="F1728" t="s">
        <v>25</v>
      </c>
      <c r="G1728">
        <v>4</v>
      </c>
      <c r="H1728" s="3">
        <v>218.32</v>
      </c>
      <c r="I1728" s="3">
        <v>153.51</v>
      </c>
      <c r="J1728" s="3">
        <f t="shared" si="78"/>
        <v>873.28</v>
      </c>
      <c r="K1728" s="3">
        <f t="shared" si="79"/>
        <v>614.04</v>
      </c>
      <c r="L1728" s="3">
        <f t="shared" si="80"/>
        <v>259.24</v>
      </c>
    </row>
    <row r="1729" spans="1:12" x14ac:dyDescent="0.3">
      <c r="A1729">
        <v>1948</v>
      </c>
      <c r="B1729" s="2">
        <v>45996</v>
      </c>
      <c r="C1729" t="s">
        <v>12</v>
      </c>
      <c r="D1729" t="s">
        <v>13</v>
      </c>
      <c r="E1729" t="s">
        <v>31</v>
      </c>
      <c r="F1729" t="s">
        <v>25</v>
      </c>
      <c r="G1729">
        <v>11</v>
      </c>
      <c r="H1729" s="3">
        <v>54.29</v>
      </c>
      <c r="I1729" s="3">
        <v>33.590000000000003</v>
      </c>
      <c r="J1729" s="3">
        <f t="shared" si="78"/>
        <v>597.18999999999994</v>
      </c>
      <c r="K1729" s="3">
        <f t="shared" si="79"/>
        <v>369.49</v>
      </c>
      <c r="L1729" s="3">
        <f t="shared" si="80"/>
        <v>227.69999999999993</v>
      </c>
    </row>
    <row r="1730" spans="1:12" x14ac:dyDescent="0.3">
      <c r="A1730">
        <v>1968</v>
      </c>
      <c r="B1730" s="2">
        <v>45996</v>
      </c>
      <c r="C1730" t="s">
        <v>12</v>
      </c>
      <c r="D1730" t="s">
        <v>17</v>
      </c>
      <c r="E1730" t="s">
        <v>27</v>
      </c>
      <c r="F1730" t="s">
        <v>22</v>
      </c>
      <c r="G1730">
        <v>10</v>
      </c>
      <c r="H1730" s="3">
        <v>567.17999999999995</v>
      </c>
      <c r="I1730" s="3">
        <v>350.76</v>
      </c>
      <c r="J1730" s="3">
        <f t="shared" ref="J1730:J1793" si="81">G1730*H1730</f>
        <v>5671.7999999999993</v>
      </c>
      <c r="K1730" s="3">
        <f t="shared" ref="K1730:K1793" si="82">G1730*I1730</f>
        <v>3507.6</v>
      </c>
      <c r="L1730" s="3">
        <f t="shared" ref="L1730:L1793" si="83">J1730-K1730</f>
        <v>2164.1999999999994</v>
      </c>
    </row>
    <row r="1731" spans="1:12" x14ac:dyDescent="0.3">
      <c r="A1731">
        <v>2031</v>
      </c>
      <c r="B1731" s="2">
        <v>45996</v>
      </c>
      <c r="C1731" t="s">
        <v>32</v>
      </c>
      <c r="D1731" t="s">
        <v>20</v>
      </c>
      <c r="E1731" t="s">
        <v>34</v>
      </c>
      <c r="F1731" t="s">
        <v>33</v>
      </c>
      <c r="G1731">
        <v>31</v>
      </c>
      <c r="H1731" s="3">
        <v>255.39</v>
      </c>
      <c r="I1731" s="3">
        <v>183.56</v>
      </c>
      <c r="J1731" s="3">
        <f t="shared" si="81"/>
        <v>7917.0899999999992</v>
      </c>
      <c r="K1731" s="3">
        <f t="shared" si="82"/>
        <v>5690.36</v>
      </c>
      <c r="L1731" s="3">
        <f t="shared" si="83"/>
        <v>2226.7299999999996</v>
      </c>
    </row>
    <row r="1732" spans="1:12" x14ac:dyDescent="0.3">
      <c r="A1732">
        <v>2069</v>
      </c>
      <c r="B1732" s="2">
        <v>45997</v>
      </c>
      <c r="C1732" t="s">
        <v>16</v>
      </c>
      <c r="D1732" t="s">
        <v>20</v>
      </c>
      <c r="E1732" t="s">
        <v>34</v>
      </c>
      <c r="F1732" t="s">
        <v>22</v>
      </c>
      <c r="G1732">
        <v>20</v>
      </c>
      <c r="H1732" s="3">
        <v>179.09</v>
      </c>
      <c r="I1732" s="3">
        <v>120.72</v>
      </c>
      <c r="J1732" s="3">
        <f t="shared" si="81"/>
        <v>3581.8</v>
      </c>
      <c r="K1732" s="3">
        <f t="shared" si="82"/>
        <v>2414.4</v>
      </c>
      <c r="L1732" s="3">
        <f t="shared" si="83"/>
        <v>1167.4000000000001</v>
      </c>
    </row>
    <row r="1733" spans="1:12" x14ac:dyDescent="0.3">
      <c r="A1733">
        <v>1459</v>
      </c>
      <c r="B1733" s="2">
        <v>45998</v>
      </c>
      <c r="C1733" t="s">
        <v>16</v>
      </c>
      <c r="D1733" t="s">
        <v>17</v>
      </c>
      <c r="E1733" t="s">
        <v>35</v>
      </c>
      <c r="F1733" t="s">
        <v>15</v>
      </c>
      <c r="G1733">
        <v>3</v>
      </c>
      <c r="H1733" s="3">
        <v>673.86</v>
      </c>
      <c r="I1733" s="3">
        <v>466.8</v>
      </c>
      <c r="J1733" s="3">
        <f t="shared" si="81"/>
        <v>2021.58</v>
      </c>
      <c r="K1733" s="3">
        <f t="shared" si="82"/>
        <v>1400.4</v>
      </c>
      <c r="L1733" s="3">
        <f t="shared" si="83"/>
        <v>621.17999999999984</v>
      </c>
    </row>
    <row r="1734" spans="1:12" x14ac:dyDescent="0.3">
      <c r="A1734">
        <v>1498</v>
      </c>
      <c r="B1734" s="2">
        <v>45998</v>
      </c>
      <c r="C1734" t="s">
        <v>32</v>
      </c>
      <c r="D1734" t="s">
        <v>29</v>
      </c>
      <c r="E1734" t="s">
        <v>30</v>
      </c>
      <c r="F1734" t="s">
        <v>15</v>
      </c>
      <c r="G1734">
        <v>20</v>
      </c>
      <c r="H1734" s="3">
        <v>82.58</v>
      </c>
      <c r="I1734" s="3">
        <v>48.34</v>
      </c>
      <c r="J1734" s="3">
        <f t="shared" si="81"/>
        <v>1651.6</v>
      </c>
      <c r="K1734" s="3">
        <f t="shared" si="82"/>
        <v>966.80000000000007</v>
      </c>
      <c r="L1734" s="3">
        <f t="shared" si="83"/>
        <v>684.79999999999984</v>
      </c>
    </row>
    <row r="1735" spans="1:12" x14ac:dyDescent="0.3">
      <c r="A1735">
        <v>1668</v>
      </c>
      <c r="B1735" s="2">
        <v>45998</v>
      </c>
      <c r="C1735" t="s">
        <v>23</v>
      </c>
      <c r="D1735" t="s">
        <v>29</v>
      </c>
      <c r="E1735" t="s">
        <v>30</v>
      </c>
      <c r="F1735" t="s">
        <v>19</v>
      </c>
      <c r="G1735">
        <v>9</v>
      </c>
      <c r="H1735" s="3">
        <v>86.67</v>
      </c>
      <c r="I1735" s="3">
        <v>61.95</v>
      </c>
      <c r="J1735" s="3">
        <f t="shared" si="81"/>
        <v>780.03</v>
      </c>
      <c r="K1735" s="3">
        <f t="shared" si="82"/>
        <v>557.55000000000007</v>
      </c>
      <c r="L1735" s="3">
        <f t="shared" si="83"/>
        <v>222.4799999999999</v>
      </c>
    </row>
    <row r="1736" spans="1:12" x14ac:dyDescent="0.3">
      <c r="A1736">
        <v>1721</v>
      </c>
      <c r="B1736" s="2">
        <v>45998</v>
      </c>
      <c r="C1736" t="s">
        <v>23</v>
      </c>
      <c r="D1736" t="s">
        <v>17</v>
      </c>
      <c r="E1736" t="s">
        <v>44</v>
      </c>
      <c r="F1736" t="s">
        <v>39</v>
      </c>
      <c r="G1736">
        <v>11</v>
      </c>
      <c r="H1736" s="3">
        <v>336.55</v>
      </c>
      <c r="I1736" s="3">
        <v>204.62</v>
      </c>
      <c r="J1736" s="3">
        <f t="shared" si="81"/>
        <v>3702.05</v>
      </c>
      <c r="K1736" s="3">
        <f t="shared" si="82"/>
        <v>2250.8200000000002</v>
      </c>
      <c r="L1736" s="3">
        <f t="shared" si="83"/>
        <v>1451.23</v>
      </c>
    </row>
    <row r="1737" spans="1:12" x14ac:dyDescent="0.3">
      <c r="A1737">
        <v>2127</v>
      </c>
      <c r="B1737" s="2">
        <v>45998</v>
      </c>
      <c r="C1737" t="s">
        <v>23</v>
      </c>
      <c r="D1737" t="s">
        <v>13</v>
      </c>
      <c r="E1737" t="s">
        <v>45</v>
      </c>
      <c r="F1737" t="s">
        <v>15</v>
      </c>
      <c r="G1737">
        <v>36</v>
      </c>
      <c r="H1737" s="3">
        <v>45.36</v>
      </c>
      <c r="I1737" s="3">
        <v>32.96</v>
      </c>
      <c r="J1737" s="3">
        <f t="shared" si="81"/>
        <v>1632.96</v>
      </c>
      <c r="K1737" s="3">
        <f t="shared" si="82"/>
        <v>1186.56</v>
      </c>
      <c r="L1737" s="3">
        <f t="shared" si="83"/>
        <v>446.40000000000009</v>
      </c>
    </row>
    <row r="1738" spans="1:12" x14ac:dyDescent="0.3">
      <c r="A1738">
        <v>2716</v>
      </c>
      <c r="B1738" s="2">
        <v>45998</v>
      </c>
      <c r="C1738" t="s">
        <v>12</v>
      </c>
      <c r="D1738" t="s">
        <v>17</v>
      </c>
      <c r="E1738" t="s">
        <v>27</v>
      </c>
      <c r="F1738" t="s">
        <v>33</v>
      </c>
      <c r="G1738">
        <v>34</v>
      </c>
      <c r="H1738" s="3">
        <v>479.59</v>
      </c>
      <c r="I1738" s="3">
        <v>343.33</v>
      </c>
      <c r="J1738" s="3">
        <f t="shared" si="81"/>
        <v>16306.06</v>
      </c>
      <c r="K1738" s="3">
        <f t="shared" si="82"/>
        <v>11673.22</v>
      </c>
      <c r="L1738" s="3">
        <f t="shared" si="83"/>
        <v>4632.84</v>
      </c>
    </row>
    <row r="1739" spans="1:12" x14ac:dyDescent="0.3">
      <c r="A1739">
        <v>1031</v>
      </c>
      <c r="B1739" s="2">
        <v>45999</v>
      </c>
      <c r="C1739" t="s">
        <v>12</v>
      </c>
      <c r="D1739" t="s">
        <v>17</v>
      </c>
      <c r="E1739" t="s">
        <v>40</v>
      </c>
      <c r="F1739" t="s">
        <v>19</v>
      </c>
      <c r="G1739">
        <v>28</v>
      </c>
      <c r="H1739" s="3">
        <v>167.05</v>
      </c>
      <c r="I1739" s="3">
        <v>119.47</v>
      </c>
      <c r="J1739" s="3">
        <f t="shared" si="81"/>
        <v>4677.4000000000005</v>
      </c>
      <c r="K1739" s="3">
        <f t="shared" si="82"/>
        <v>3345.16</v>
      </c>
      <c r="L1739" s="3">
        <f t="shared" si="83"/>
        <v>1332.2400000000007</v>
      </c>
    </row>
    <row r="1740" spans="1:12" x14ac:dyDescent="0.3">
      <c r="A1740">
        <v>2767</v>
      </c>
      <c r="B1740" s="2">
        <v>45999</v>
      </c>
      <c r="C1740" t="s">
        <v>12</v>
      </c>
      <c r="D1740" t="s">
        <v>17</v>
      </c>
      <c r="E1740" t="s">
        <v>18</v>
      </c>
      <c r="F1740" t="s">
        <v>22</v>
      </c>
      <c r="G1740">
        <v>31</v>
      </c>
      <c r="H1740" s="3">
        <v>334.53</v>
      </c>
      <c r="I1740" s="3">
        <v>219.98</v>
      </c>
      <c r="J1740" s="3">
        <f t="shared" si="81"/>
        <v>10370.429999999998</v>
      </c>
      <c r="K1740" s="3">
        <f t="shared" si="82"/>
        <v>6819.38</v>
      </c>
      <c r="L1740" s="3">
        <f t="shared" si="83"/>
        <v>3551.0499999999984</v>
      </c>
    </row>
    <row r="1741" spans="1:12" x14ac:dyDescent="0.3">
      <c r="A1741">
        <v>2785</v>
      </c>
      <c r="B1741" s="2">
        <v>45999</v>
      </c>
      <c r="C1741" t="s">
        <v>23</v>
      </c>
      <c r="D1741" t="s">
        <v>29</v>
      </c>
      <c r="E1741" t="s">
        <v>43</v>
      </c>
      <c r="F1741" t="s">
        <v>36</v>
      </c>
      <c r="G1741">
        <v>7</v>
      </c>
      <c r="H1741" s="3">
        <v>473</v>
      </c>
      <c r="I1741" s="3">
        <v>267.68</v>
      </c>
      <c r="J1741" s="3">
        <f t="shared" si="81"/>
        <v>3311</v>
      </c>
      <c r="K1741" s="3">
        <f t="shared" si="82"/>
        <v>1873.76</v>
      </c>
      <c r="L1741" s="3">
        <f t="shared" si="83"/>
        <v>1437.24</v>
      </c>
    </row>
    <row r="1742" spans="1:12" x14ac:dyDescent="0.3">
      <c r="A1742">
        <v>1154</v>
      </c>
      <c r="B1742" s="2">
        <v>46002</v>
      </c>
      <c r="C1742" t="s">
        <v>23</v>
      </c>
      <c r="D1742" t="s">
        <v>13</v>
      </c>
      <c r="E1742" t="s">
        <v>45</v>
      </c>
      <c r="F1742" t="s">
        <v>19</v>
      </c>
      <c r="G1742">
        <v>5</v>
      </c>
      <c r="H1742" s="3">
        <v>54.22</v>
      </c>
      <c r="I1742" s="3">
        <v>36.35</v>
      </c>
      <c r="J1742" s="3">
        <f t="shared" si="81"/>
        <v>271.10000000000002</v>
      </c>
      <c r="K1742" s="3">
        <f t="shared" si="82"/>
        <v>181.75</v>
      </c>
      <c r="L1742" s="3">
        <f t="shared" si="83"/>
        <v>89.350000000000023</v>
      </c>
    </row>
    <row r="1743" spans="1:12" x14ac:dyDescent="0.3">
      <c r="A1743">
        <v>1724</v>
      </c>
      <c r="B1743" s="2">
        <v>46002</v>
      </c>
      <c r="C1743" t="s">
        <v>26</v>
      </c>
      <c r="D1743" t="s">
        <v>13</v>
      </c>
      <c r="E1743" t="s">
        <v>45</v>
      </c>
      <c r="F1743" t="s">
        <v>28</v>
      </c>
      <c r="G1743">
        <v>4</v>
      </c>
      <c r="H1743" s="3">
        <v>38.69</v>
      </c>
      <c r="I1743" s="3">
        <v>24.75</v>
      </c>
      <c r="J1743" s="3">
        <f t="shared" si="81"/>
        <v>154.76</v>
      </c>
      <c r="K1743" s="3">
        <f t="shared" si="82"/>
        <v>99</v>
      </c>
      <c r="L1743" s="3">
        <f t="shared" si="83"/>
        <v>55.759999999999991</v>
      </c>
    </row>
    <row r="1744" spans="1:12" x14ac:dyDescent="0.3">
      <c r="A1744">
        <v>2118</v>
      </c>
      <c r="B1744" s="2">
        <v>46002</v>
      </c>
      <c r="C1744" t="s">
        <v>26</v>
      </c>
      <c r="D1744" t="s">
        <v>20</v>
      </c>
      <c r="E1744" t="s">
        <v>21</v>
      </c>
      <c r="F1744" t="s">
        <v>39</v>
      </c>
      <c r="G1744">
        <v>17</v>
      </c>
      <c r="H1744" s="3">
        <v>146.11000000000001</v>
      </c>
      <c r="I1744" s="3">
        <v>82.48</v>
      </c>
      <c r="J1744" s="3">
        <f t="shared" si="81"/>
        <v>2483.8700000000003</v>
      </c>
      <c r="K1744" s="3">
        <f t="shared" si="82"/>
        <v>1402.16</v>
      </c>
      <c r="L1744" s="3">
        <f t="shared" si="83"/>
        <v>1081.7100000000003</v>
      </c>
    </row>
    <row r="1745" spans="1:12" x14ac:dyDescent="0.3">
      <c r="A1745">
        <v>1250</v>
      </c>
      <c r="B1745" s="2">
        <v>46003</v>
      </c>
      <c r="C1745" t="s">
        <v>32</v>
      </c>
      <c r="D1745" t="s">
        <v>20</v>
      </c>
      <c r="E1745" t="s">
        <v>21</v>
      </c>
      <c r="F1745" t="s">
        <v>33</v>
      </c>
      <c r="G1745">
        <v>38</v>
      </c>
      <c r="H1745" s="3">
        <v>224.66</v>
      </c>
      <c r="I1745" s="3">
        <v>138.08000000000001</v>
      </c>
      <c r="J1745" s="3">
        <f t="shared" si="81"/>
        <v>8537.08</v>
      </c>
      <c r="K1745" s="3">
        <f t="shared" si="82"/>
        <v>5247.0400000000009</v>
      </c>
      <c r="L1745" s="3">
        <f t="shared" si="83"/>
        <v>3290.0399999999991</v>
      </c>
    </row>
    <row r="1746" spans="1:12" x14ac:dyDescent="0.3">
      <c r="A1746">
        <v>1608</v>
      </c>
      <c r="B1746" s="2">
        <v>46003</v>
      </c>
      <c r="C1746" t="s">
        <v>16</v>
      </c>
      <c r="D1746" t="s">
        <v>17</v>
      </c>
      <c r="E1746" t="s">
        <v>44</v>
      </c>
      <c r="F1746" t="s">
        <v>25</v>
      </c>
      <c r="G1746">
        <v>24</v>
      </c>
      <c r="H1746" s="3">
        <v>879.17</v>
      </c>
      <c r="I1746" s="3">
        <v>466.57</v>
      </c>
      <c r="J1746" s="3">
        <f t="shared" si="81"/>
        <v>21100.079999999998</v>
      </c>
      <c r="K1746" s="3">
        <f t="shared" si="82"/>
        <v>11197.68</v>
      </c>
      <c r="L1746" s="3">
        <f t="shared" si="83"/>
        <v>9902.3999999999978</v>
      </c>
    </row>
    <row r="1747" spans="1:12" x14ac:dyDescent="0.3">
      <c r="A1747">
        <v>2159</v>
      </c>
      <c r="B1747" s="2">
        <v>46003</v>
      </c>
      <c r="C1747" t="s">
        <v>23</v>
      </c>
      <c r="D1747" t="s">
        <v>17</v>
      </c>
      <c r="E1747" t="s">
        <v>27</v>
      </c>
      <c r="F1747" t="s">
        <v>39</v>
      </c>
      <c r="G1747">
        <v>19</v>
      </c>
      <c r="H1747" s="3">
        <v>372.23</v>
      </c>
      <c r="I1747" s="3">
        <v>273.24</v>
      </c>
      <c r="J1747" s="3">
        <f t="shared" si="81"/>
        <v>7072.3700000000008</v>
      </c>
      <c r="K1747" s="3">
        <f t="shared" si="82"/>
        <v>5191.5600000000004</v>
      </c>
      <c r="L1747" s="3">
        <f t="shared" si="83"/>
        <v>1880.8100000000004</v>
      </c>
    </row>
    <row r="1748" spans="1:12" x14ac:dyDescent="0.3">
      <c r="A1748">
        <v>2378</v>
      </c>
      <c r="B1748" s="2">
        <v>46003</v>
      </c>
      <c r="C1748" t="s">
        <v>23</v>
      </c>
      <c r="D1748" t="s">
        <v>20</v>
      </c>
      <c r="E1748" t="s">
        <v>38</v>
      </c>
      <c r="F1748" t="s">
        <v>15</v>
      </c>
      <c r="G1748">
        <v>19</v>
      </c>
      <c r="H1748" s="3">
        <v>280.54000000000002</v>
      </c>
      <c r="I1748" s="3">
        <v>195.98</v>
      </c>
      <c r="J1748" s="3">
        <f t="shared" si="81"/>
        <v>5330.26</v>
      </c>
      <c r="K1748" s="3">
        <f t="shared" si="82"/>
        <v>3723.62</v>
      </c>
      <c r="L1748" s="3">
        <f t="shared" si="83"/>
        <v>1606.6400000000003</v>
      </c>
    </row>
    <row r="1749" spans="1:12" x14ac:dyDescent="0.3">
      <c r="A1749">
        <v>1485</v>
      </c>
      <c r="B1749" s="2">
        <v>46004</v>
      </c>
      <c r="C1749" t="s">
        <v>16</v>
      </c>
      <c r="D1749" t="s">
        <v>13</v>
      </c>
      <c r="E1749" t="s">
        <v>14</v>
      </c>
      <c r="F1749" t="s">
        <v>36</v>
      </c>
      <c r="G1749">
        <v>21</v>
      </c>
      <c r="H1749" s="3">
        <v>13.2</v>
      </c>
      <c r="I1749" s="3">
        <v>7.27</v>
      </c>
      <c r="J1749" s="3">
        <f t="shared" si="81"/>
        <v>277.2</v>
      </c>
      <c r="K1749" s="3">
        <f t="shared" si="82"/>
        <v>152.66999999999999</v>
      </c>
      <c r="L1749" s="3">
        <f t="shared" si="83"/>
        <v>124.53</v>
      </c>
    </row>
    <row r="1750" spans="1:12" x14ac:dyDescent="0.3">
      <c r="A1750">
        <v>2514</v>
      </c>
      <c r="B1750" s="2">
        <v>46004</v>
      </c>
      <c r="C1750" t="s">
        <v>32</v>
      </c>
      <c r="D1750" t="s">
        <v>17</v>
      </c>
      <c r="E1750" t="s">
        <v>40</v>
      </c>
      <c r="F1750" t="s">
        <v>36</v>
      </c>
      <c r="G1750">
        <v>25</v>
      </c>
      <c r="H1750" s="3">
        <v>671.26</v>
      </c>
      <c r="I1750" s="3">
        <v>448.57</v>
      </c>
      <c r="J1750" s="3">
        <f t="shared" si="81"/>
        <v>16781.5</v>
      </c>
      <c r="K1750" s="3">
        <f t="shared" si="82"/>
        <v>11214.25</v>
      </c>
      <c r="L1750" s="3">
        <f t="shared" si="83"/>
        <v>5567.25</v>
      </c>
    </row>
    <row r="1751" spans="1:12" x14ac:dyDescent="0.3">
      <c r="A1751">
        <v>1397</v>
      </c>
      <c r="B1751" s="2">
        <v>46005</v>
      </c>
      <c r="C1751" t="s">
        <v>16</v>
      </c>
      <c r="D1751" t="s">
        <v>17</v>
      </c>
      <c r="E1751" t="s">
        <v>18</v>
      </c>
      <c r="F1751" t="s">
        <v>19</v>
      </c>
      <c r="G1751">
        <v>17</v>
      </c>
      <c r="H1751" s="3">
        <v>460.8</v>
      </c>
      <c r="I1751" s="3">
        <v>331.4</v>
      </c>
      <c r="J1751" s="3">
        <f t="shared" si="81"/>
        <v>7833.6</v>
      </c>
      <c r="K1751" s="3">
        <f t="shared" si="82"/>
        <v>5633.7999999999993</v>
      </c>
      <c r="L1751" s="3">
        <f t="shared" si="83"/>
        <v>2199.8000000000011</v>
      </c>
    </row>
    <row r="1752" spans="1:12" x14ac:dyDescent="0.3">
      <c r="A1752">
        <v>1469</v>
      </c>
      <c r="B1752" s="2">
        <v>46005</v>
      </c>
      <c r="C1752" t="s">
        <v>16</v>
      </c>
      <c r="D1752" t="s">
        <v>29</v>
      </c>
      <c r="E1752" t="s">
        <v>30</v>
      </c>
      <c r="F1752" t="s">
        <v>28</v>
      </c>
      <c r="G1752">
        <v>1</v>
      </c>
      <c r="H1752" s="3">
        <v>358.45</v>
      </c>
      <c r="I1752" s="3">
        <v>211.51</v>
      </c>
      <c r="J1752" s="3">
        <f t="shared" si="81"/>
        <v>358.45</v>
      </c>
      <c r="K1752" s="3">
        <f t="shared" si="82"/>
        <v>211.51</v>
      </c>
      <c r="L1752" s="3">
        <f t="shared" si="83"/>
        <v>146.94</v>
      </c>
    </row>
    <row r="1753" spans="1:12" x14ac:dyDescent="0.3">
      <c r="A1753">
        <v>1553</v>
      </c>
      <c r="B1753" s="2">
        <v>46005</v>
      </c>
      <c r="C1753" t="s">
        <v>32</v>
      </c>
      <c r="D1753" t="s">
        <v>13</v>
      </c>
      <c r="E1753" t="s">
        <v>14</v>
      </c>
      <c r="F1753" t="s">
        <v>39</v>
      </c>
      <c r="G1753">
        <v>38</v>
      </c>
      <c r="H1753" s="3">
        <v>8.6999999999999993</v>
      </c>
      <c r="I1753" s="3">
        <v>6.04</v>
      </c>
      <c r="J1753" s="3">
        <f t="shared" si="81"/>
        <v>330.59999999999997</v>
      </c>
      <c r="K1753" s="3">
        <f t="shared" si="82"/>
        <v>229.52</v>
      </c>
      <c r="L1753" s="3">
        <f t="shared" si="83"/>
        <v>101.07999999999996</v>
      </c>
    </row>
    <row r="1754" spans="1:12" x14ac:dyDescent="0.3">
      <c r="A1754">
        <v>1575</v>
      </c>
      <c r="B1754" s="2">
        <v>46005</v>
      </c>
      <c r="C1754" t="s">
        <v>12</v>
      </c>
      <c r="D1754" t="s">
        <v>20</v>
      </c>
      <c r="E1754" t="s">
        <v>34</v>
      </c>
      <c r="F1754" t="s">
        <v>39</v>
      </c>
      <c r="G1754">
        <v>34</v>
      </c>
      <c r="H1754" s="3">
        <v>211.07</v>
      </c>
      <c r="I1754" s="3">
        <v>154.69999999999999</v>
      </c>
      <c r="J1754" s="3">
        <f t="shared" si="81"/>
        <v>7176.38</v>
      </c>
      <c r="K1754" s="3">
        <f t="shared" si="82"/>
        <v>5259.7999999999993</v>
      </c>
      <c r="L1754" s="3">
        <f t="shared" si="83"/>
        <v>1916.5800000000008</v>
      </c>
    </row>
    <row r="1755" spans="1:12" x14ac:dyDescent="0.3">
      <c r="A1755">
        <v>1905</v>
      </c>
      <c r="B1755" s="2">
        <v>46005</v>
      </c>
      <c r="C1755" t="s">
        <v>16</v>
      </c>
      <c r="D1755" t="s">
        <v>13</v>
      </c>
      <c r="E1755" t="s">
        <v>46</v>
      </c>
      <c r="F1755" t="s">
        <v>36</v>
      </c>
      <c r="G1755">
        <v>14</v>
      </c>
      <c r="H1755" s="3">
        <v>57.29</v>
      </c>
      <c r="I1755" s="3">
        <v>28.85</v>
      </c>
      <c r="J1755" s="3">
        <f t="shared" si="81"/>
        <v>802.06</v>
      </c>
      <c r="K1755" s="3">
        <f t="shared" si="82"/>
        <v>403.90000000000003</v>
      </c>
      <c r="L1755" s="3">
        <f t="shared" si="83"/>
        <v>398.15999999999991</v>
      </c>
    </row>
    <row r="1756" spans="1:12" x14ac:dyDescent="0.3">
      <c r="A1756">
        <v>1933</v>
      </c>
      <c r="B1756" s="2">
        <v>46005</v>
      </c>
      <c r="C1756" t="s">
        <v>23</v>
      </c>
      <c r="D1756" t="s">
        <v>20</v>
      </c>
      <c r="E1756" t="s">
        <v>42</v>
      </c>
      <c r="F1756" t="s">
        <v>33</v>
      </c>
      <c r="G1756">
        <v>40</v>
      </c>
      <c r="H1756" s="3">
        <v>58.85</v>
      </c>
      <c r="I1756" s="3">
        <v>44.04</v>
      </c>
      <c r="J1756" s="3">
        <f t="shared" si="81"/>
        <v>2354</v>
      </c>
      <c r="K1756" s="3">
        <f t="shared" si="82"/>
        <v>1761.6</v>
      </c>
      <c r="L1756" s="3">
        <f t="shared" si="83"/>
        <v>592.40000000000009</v>
      </c>
    </row>
    <row r="1757" spans="1:12" x14ac:dyDescent="0.3">
      <c r="A1757">
        <v>2607</v>
      </c>
      <c r="B1757" s="2">
        <v>46005</v>
      </c>
      <c r="C1757" t="s">
        <v>23</v>
      </c>
      <c r="D1757" t="s">
        <v>17</v>
      </c>
      <c r="E1757" t="s">
        <v>40</v>
      </c>
      <c r="F1757" t="s">
        <v>25</v>
      </c>
      <c r="G1757">
        <v>5</v>
      </c>
      <c r="H1757" s="3">
        <v>458.56</v>
      </c>
      <c r="I1757" s="3">
        <v>297.61</v>
      </c>
      <c r="J1757" s="3">
        <f t="shared" si="81"/>
        <v>2292.8000000000002</v>
      </c>
      <c r="K1757" s="3">
        <f t="shared" si="82"/>
        <v>1488.0500000000002</v>
      </c>
      <c r="L1757" s="3">
        <f t="shared" si="83"/>
        <v>804.75</v>
      </c>
    </row>
    <row r="1758" spans="1:12" x14ac:dyDescent="0.3">
      <c r="A1758">
        <v>1065</v>
      </c>
      <c r="B1758" s="2">
        <v>46006</v>
      </c>
      <c r="C1758" t="s">
        <v>12</v>
      </c>
      <c r="D1758" t="s">
        <v>20</v>
      </c>
      <c r="E1758" t="s">
        <v>42</v>
      </c>
      <c r="F1758" t="s">
        <v>22</v>
      </c>
      <c r="G1758">
        <v>37</v>
      </c>
      <c r="H1758" s="3">
        <v>290.33999999999997</v>
      </c>
      <c r="I1758" s="3">
        <v>163.5</v>
      </c>
      <c r="J1758" s="3">
        <f t="shared" si="81"/>
        <v>10742.58</v>
      </c>
      <c r="K1758" s="3">
        <f t="shared" si="82"/>
        <v>6049.5</v>
      </c>
      <c r="L1758" s="3">
        <f t="shared" si="83"/>
        <v>4693.08</v>
      </c>
    </row>
    <row r="1759" spans="1:12" x14ac:dyDescent="0.3">
      <c r="A1759">
        <v>1083</v>
      </c>
      <c r="B1759" s="2">
        <v>46006</v>
      </c>
      <c r="C1759" t="s">
        <v>12</v>
      </c>
      <c r="D1759" t="s">
        <v>20</v>
      </c>
      <c r="E1759" t="s">
        <v>34</v>
      </c>
      <c r="F1759" t="s">
        <v>36</v>
      </c>
      <c r="G1759">
        <v>3</v>
      </c>
      <c r="H1759" s="3">
        <v>126.74</v>
      </c>
      <c r="I1759" s="3">
        <v>94.69</v>
      </c>
      <c r="J1759" s="3">
        <f t="shared" si="81"/>
        <v>380.21999999999997</v>
      </c>
      <c r="K1759" s="3">
        <f t="shared" si="82"/>
        <v>284.07</v>
      </c>
      <c r="L1759" s="3">
        <f t="shared" si="83"/>
        <v>96.149999999999977</v>
      </c>
    </row>
    <row r="1760" spans="1:12" x14ac:dyDescent="0.3">
      <c r="A1760">
        <v>1430</v>
      </c>
      <c r="B1760" s="2">
        <v>46006</v>
      </c>
      <c r="C1760" t="s">
        <v>16</v>
      </c>
      <c r="D1760" t="s">
        <v>13</v>
      </c>
      <c r="E1760" t="s">
        <v>46</v>
      </c>
      <c r="F1760" t="s">
        <v>28</v>
      </c>
      <c r="G1760">
        <v>37</v>
      </c>
      <c r="H1760" s="3">
        <v>39.47</v>
      </c>
      <c r="I1760" s="3">
        <v>24.49</v>
      </c>
      <c r="J1760" s="3">
        <f t="shared" si="81"/>
        <v>1460.3899999999999</v>
      </c>
      <c r="K1760" s="3">
        <f t="shared" si="82"/>
        <v>906.13</v>
      </c>
      <c r="L1760" s="3">
        <f t="shared" si="83"/>
        <v>554.25999999999988</v>
      </c>
    </row>
    <row r="1761" spans="1:12" x14ac:dyDescent="0.3">
      <c r="A1761">
        <v>1972</v>
      </c>
      <c r="B1761" s="2">
        <v>46006</v>
      </c>
      <c r="C1761" t="s">
        <v>26</v>
      </c>
      <c r="D1761" t="s">
        <v>20</v>
      </c>
      <c r="E1761" t="s">
        <v>21</v>
      </c>
      <c r="F1761" t="s">
        <v>36</v>
      </c>
      <c r="G1761">
        <v>10</v>
      </c>
      <c r="H1761" s="3">
        <v>23.09</v>
      </c>
      <c r="I1761" s="3">
        <v>13.29</v>
      </c>
      <c r="J1761" s="3">
        <f t="shared" si="81"/>
        <v>230.9</v>
      </c>
      <c r="K1761" s="3">
        <f t="shared" si="82"/>
        <v>132.89999999999998</v>
      </c>
      <c r="L1761" s="3">
        <f t="shared" si="83"/>
        <v>98.000000000000028</v>
      </c>
    </row>
    <row r="1762" spans="1:12" x14ac:dyDescent="0.3">
      <c r="A1762">
        <v>1995</v>
      </c>
      <c r="B1762" s="2">
        <v>46006</v>
      </c>
      <c r="C1762" t="s">
        <v>16</v>
      </c>
      <c r="D1762" t="s">
        <v>17</v>
      </c>
      <c r="E1762" t="s">
        <v>27</v>
      </c>
      <c r="F1762" t="s">
        <v>33</v>
      </c>
      <c r="G1762">
        <v>27</v>
      </c>
      <c r="H1762" s="3">
        <v>652.62</v>
      </c>
      <c r="I1762" s="3">
        <v>348.68</v>
      </c>
      <c r="J1762" s="3">
        <f t="shared" si="81"/>
        <v>17620.740000000002</v>
      </c>
      <c r="K1762" s="3">
        <f t="shared" si="82"/>
        <v>9414.36</v>
      </c>
      <c r="L1762" s="3">
        <f t="shared" si="83"/>
        <v>8206.380000000001</v>
      </c>
    </row>
    <row r="1763" spans="1:12" x14ac:dyDescent="0.3">
      <c r="A1763">
        <v>2314</v>
      </c>
      <c r="B1763" s="2">
        <v>46006</v>
      </c>
      <c r="C1763" t="s">
        <v>16</v>
      </c>
      <c r="D1763" t="s">
        <v>20</v>
      </c>
      <c r="E1763" t="s">
        <v>34</v>
      </c>
      <c r="F1763" t="s">
        <v>28</v>
      </c>
      <c r="G1763">
        <v>19</v>
      </c>
      <c r="H1763" s="3">
        <v>139.47999999999999</v>
      </c>
      <c r="I1763" s="3">
        <v>93.69</v>
      </c>
      <c r="J1763" s="3">
        <f t="shared" si="81"/>
        <v>2650.12</v>
      </c>
      <c r="K1763" s="3">
        <f t="shared" si="82"/>
        <v>1780.11</v>
      </c>
      <c r="L1763" s="3">
        <f t="shared" si="83"/>
        <v>870.01</v>
      </c>
    </row>
    <row r="1764" spans="1:12" x14ac:dyDescent="0.3">
      <c r="A1764">
        <v>2374</v>
      </c>
      <c r="B1764" s="2">
        <v>46006</v>
      </c>
      <c r="C1764" t="s">
        <v>12</v>
      </c>
      <c r="D1764" t="s">
        <v>17</v>
      </c>
      <c r="E1764" t="s">
        <v>27</v>
      </c>
      <c r="F1764" t="s">
        <v>28</v>
      </c>
      <c r="G1764">
        <v>12</v>
      </c>
      <c r="H1764" s="3">
        <v>87.46</v>
      </c>
      <c r="I1764" s="3">
        <v>63.8</v>
      </c>
      <c r="J1764" s="3">
        <f t="shared" si="81"/>
        <v>1049.52</v>
      </c>
      <c r="K1764" s="3">
        <f t="shared" si="82"/>
        <v>765.59999999999991</v>
      </c>
      <c r="L1764" s="3">
        <f t="shared" si="83"/>
        <v>283.92000000000007</v>
      </c>
    </row>
    <row r="1765" spans="1:12" x14ac:dyDescent="0.3">
      <c r="A1765">
        <v>2720</v>
      </c>
      <c r="B1765" s="2">
        <v>46006</v>
      </c>
      <c r="C1765" t="s">
        <v>26</v>
      </c>
      <c r="D1765" t="s">
        <v>29</v>
      </c>
      <c r="E1765" t="s">
        <v>43</v>
      </c>
      <c r="F1765" t="s">
        <v>25</v>
      </c>
      <c r="G1765">
        <v>22</v>
      </c>
      <c r="H1765" s="3">
        <v>139.88999999999999</v>
      </c>
      <c r="I1765" s="3">
        <v>82.93</v>
      </c>
      <c r="J1765" s="3">
        <f t="shared" si="81"/>
        <v>3077.58</v>
      </c>
      <c r="K1765" s="3">
        <f t="shared" si="82"/>
        <v>1824.46</v>
      </c>
      <c r="L1765" s="3">
        <f t="shared" si="83"/>
        <v>1253.1199999999999</v>
      </c>
    </row>
    <row r="1766" spans="1:12" x14ac:dyDescent="0.3">
      <c r="A1766">
        <v>2754</v>
      </c>
      <c r="B1766" s="2">
        <v>46007</v>
      </c>
      <c r="C1766" t="s">
        <v>32</v>
      </c>
      <c r="D1766" t="s">
        <v>13</v>
      </c>
      <c r="E1766" t="s">
        <v>45</v>
      </c>
      <c r="F1766" t="s">
        <v>25</v>
      </c>
      <c r="G1766">
        <v>25</v>
      </c>
      <c r="H1766" s="3">
        <v>13.74</v>
      </c>
      <c r="I1766" s="3">
        <v>9.57</v>
      </c>
      <c r="J1766" s="3">
        <f t="shared" si="81"/>
        <v>343.5</v>
      </c>
      <c r="K1766" s="3">
        <f t="shared" si="82"/>
        <v>239.25</v>
      </c>
      <c r="L1766" s="3">
        <f t="shared" si="83"/>
        <v>104.25</v>
      </c>
    </row>
    <row r="1767" spans="1:12" x14ac:dyDescent="0.3">
      <c r="A1767">
        <v>1054</v>
      </c>
      <c r="B1767" s="2">
        <v>46008</v>
      </c>
      <c r="C1767" t="s">
        <v>32</v>
      </c>
      <c r="D1767" t="s">
        <v>29</v>
      </c>
      <c r="E1767" t="s">
        <v>37</v>
      </c>
      <c r="F1767" t="s">
        <v>25</v>
      </c>
      <c r="G1767">
        <v>11</v>
      </c>
      <c r="H1767" s="3">
        <v>90.78</v>
      </c>
      <c r="I1767" s="3">
        <v>60.76</v>
      </c>
      <c r="J1767" s="3">
        <f t="shared" si="81"/>
        <v>998.58</v>
      </c>
      <c r="K1767" s="3">
        <f t="shared" si="82"/>
        <v>668.36</v>
      </c>
      <c r="L1767" s="3">
        <f t="shared" si="83"/>
        <v>330.22</v>
      </c>
    </row>
    <row r="1768" spans="1:12" x14ac:dyDescent="0.3">
      <c r="A1768">
        <v>1255</v>
      </c>
      <c r="B1768" s="2">
        <v>46008</v>
      </c>
      <c r="C1768" t="s">
        <v>12</v>
      </c>
      <c r="D1768" t="s">
        <v>20</v>
      </c>
      <c r="E1768" t="s">
        <v>42</v>
      </c>
      <c r="F1768" t="s">
        <v>25</v>
      </c>
      <c r="G1768">
        <v>1</v>
      </c>
      <c r="H1768" s="3">
        <v>165.44</v>
      </c>
      <c r="I1768" s="3">
        <v>101.13</v>
      </c>
      <c r="J1768" s="3">
        <f t="shared" si="81"/>
        <v>165.44</v>
      </c>
      <c r="K1768" s="3">
        <f t="shared" si="82"/>
        <v>101.13</v>
      </c>
      <c r="L1768" s="3">
        <f t="shared" si="83"/>
        <v>64.31</v>
      </c>
    </row>
    <row r="1769" spans="1:12" x14ac:dyDescent="0.3">
      <c r="A1769">
        <v>2375</v>
      </c>
      <c r="B1769" s="2">
        <v>46008</v>
      </c>
      <c r="C1769" t="s">
        <v>32</v>
      </c>
      <c r="D1769" t="s">
        <v>17</v>
      </c>
      <c r="E1769" t="s">
        <v>27</v>
      </c>
      <c r="F1769" t="s">
        <v>19</v>
      </c>
      <c r="G1769">
        <v>20</v>
      </c>
      <c r="H1769" s="3">
        <v>337.32</v>
      </c>
      <c r="I1769" s="3">
        <v>220.47</v>
      </c>
      <c r="J1769" s="3">
        <f t="shared" si="81"/>
        <v>6746.4</v>
      </c>
      <c r="K1769" s="3">
        <f t="shared" si="82"/>
        <v>4409.3999999999996</v>
      </c>
      <c r="L1769" s="3">
        <f t="shared" si="83"/>
        <v>2337</v>
      </c>
    </row>
    <row r="1770" spans="1:12" x14ac:dyDescent="0.3">
      <c r="A1770">
        <v>1686</v>
      </c>
      <c r="B1770" s="2">
        <v>46009</v>
      </c>
      <c r="C1770" t="s">
        <v>23</v>
      </c>
      <c r="D1770" t="s">
        <v>20</v>
      </c>
      <c r="E1770" t="s">
        <v>34</v>
      </c>
      <c r="F1770" t="s">
        <v>28</v>
      </c>
      <c r="G1770">
        <v>23</v>
      </c>
      <c r="H1770" s="3">
        <v>75.239999999999995</v>
      </c>
      <c r="I1770" s="3">
        <v>43.29</v>
      </c>
      <c r="J1770" s="3">
        <f t="shared" si="81"/>
        <v>1730.52</v>
      </c>
      <c r="K1770" s="3">
        <f t="shared" si="82"/>
        <v>995.67</v>
      </c>
      <c r="L1770" s="3">
        <f t="shared" si="83"/>
        <v>734.85</v>
      </c>
    </row>
    <row r="1771" spans="1:12" x14ac:dyDescent="0.3">
      <c r="A1771">
        <v>2248</v>
      </c>
      <c r="B1771" s="2">
        <v>46009</v>
      </c>
      <c r="C1771" t="s">
        <v>32</v>
      </c>
      <c r="D1771" t="s">
        <v>29</v>
      </c>
      <c r="E1771" t="s">
        <v>41</v>
      </c>
      <c r="F1771" t="s">
        <v>36</v>
      </c>
      <c r="G1771">
        <v>22</v>
      </c>
      <c r="H1771" s="3">
        <v>399.1</v>
      </c>
      <c r="I1771" s="3">
        <v>207.56</v>
      </c>
      <c r="J1771" s="3">
        <f t="shared" si="81"/>
        <v>8780.2000000000007</v>
      </c>
      <c r="K1771" s="3">
        <f t="shared" si="82"/>
        <v>4566.32</v>
      </c>
      <c r="L1771" s="3">
        <f t="shared" si="83"/>
        <v>4213.880000000001</v>
      </c>
    </row>
    <row r="1772" spans="1:12" x14ac:dyDescent="0.3">
      <c r="A1772">
        <v>2321</v>
      </c>
      <c r="B1772" s="2">
        <v>46010</v>
      </c>
      <c r="C1772" t="s">
        <v>23</v>
      </c>
      <c r="D1772" t="s">
        <v>17</v>
      </c>
      <c r="E1772" t="s">
        <v>40</v>
      </c>
      <c r="F1772" t="s">
        <v>22</v>
      </c>
      <c r="G1772">
        <v>33</v>
      </c>
      <c r="H1772" s="3">
        <v>721.99</v>
      </c>
      <c r="I1772" s="3">
        <v>362.59</v>
      </c>
      <c r="J1772" s="3">
        <f t="shared" si="81"/>
        <v>23825.670000000002</v>
      </c>
      <c r="K1772" s="3">
        <f t="shared" si="82"/>
        <v>11965.47</v>
      </c>
      <c r="L1772" s="3">
        <f t="shared" si="83"/>
        <v>11860.200000000003</v>
      </c>
    </row>
    <row r="1773" spans="1:12" x14ac:dyDescent="0.3">
      <c r="A1773">
        <v>1572</v>
      </c>
      <c r="B1773" s="2">
        <v>46011</v>
      </c>
      <c r="C1773" t="s">
        <v>12</v>
      </c>
      <c r="D1773" t="s">
        <v>13</v>
      </c>
      <c r="E1773" t="s">
        <v>31</v>
      </c>
      <c r="F1773" t="s">
        <v>33</v>
      </c>
      <c r="G1773">
        <v>18</v>
      </c>
      <c r="H1773" s="3">
        <v>27.11</v>
      </c>
      <c r="I1773" s="3">
        <v>16.62</v>
      </c>
      <c r="J1773" s="3">
        <f t="shared" si="81"/>
        <v>487.98</v>
      </c>
      <c r="K1773" s="3">
        <f t="shared" si="82"/>
        <v>299.16000000000003</v>
      </c>
      <c r="L1773" s="3">
        <f t="shared" si="83"/>
        <v>188.82</v>
      </c>
    </row>
    <row r="1774" spans="1:12" x14ac:dyDescent="0.3">
      <c r="A1774">
        <v>1815</v>
      </c>
      <c r="B1774" s="2">
        <v>46011</v>
      </c>
      <c r="C1774" t="s">
        <v>23</v>
      </c>
      <c r="D1774" t="s">
        <v>29</v>
      </c>
      <c r="E1774" t="s">
        <v>37</v>
      </c>
      <c r="F1774" t="s">
        <v>25</v>
      </c>
      <c r="G1774">
        <v>21</v>
      </c>
      <c r="H1774" s="3">
        <v>413.99</v>
      </c>
      <c r="I1774" s="3">
        <v>291.12</v>
      </c>
      <c r="J1774" s="3">
        <f t="shared" si="81"/>
        <v>8693.7900000000009</v>
      </c>
      <c r="K1774" s="3">
        <f t="shared" si="82"/>
        <v>6113.52</v>
      </c>
      <c r="L1774" s="3">
        <f t="shared" si="83"/>
        <v>2580.2700000000004</v>
      </c>
    </row>
    <row r="1775" spans="1:12" x14ac:dyDescent="0.3">
      <c r="A1775">
        <v>1188</v>
      </c>
      <c r="B1775" s="2">
        <v>46012</v>
      </c>
      <c r="C1775" t="s">
        <v>32</v>
      </c>
      <c r="D1775" t="s">
        <v>17</v>
      </c>
      <c r="E1775" t="s">
        <v>40</v>
      </c>
      <c r="F1775" t="s">
        <v>33</v>
      </c>
      <c r="G1775">
        <v>40</v>
      </c>
      <c r="H1775" s="3">
        <v>245.51</v>
      </c>
      <c r="I1775" s="3">
        <v>183.45</v>
      </c>
      <c r="J1775" s="3">
        <f t="shared" si="81"/>
        <v>9820.4</v>
      </c>
      <c r="K1775" s="3">
        <f t="shared" si="82"/>
        <v>7338</v>
      </c>
      <c r="L1775" s="3">
        <f t="shared" si="83"/>
        <v>2482.3999999999996</v>
      </c>
    </row>
    <row r="1776" spans="1:12" x14ac:dyDescent="0.3">
      <c r="A1776">
        <v>2242</v>
      </c>
      <c r="B1776" s="2">
        <v>46012</v>
      </c>
      <c r="C1776" t="s">
        <v>12</v>
      </c>
      <c r="D1776" t="s">
        <v>29</v>
      </c>
      <c r="E1776" t="s">
        <v>43</v>
      </c>
      <c r="F1776" t="s">
        <v>25</v>
      </c>
      <c r="G1776">
        <v>36</v>
      </c>
      <c r="H1776" s="3">
        <v>148.57</v>
      </c>
      <c r="I1776" s="3">
        <v>108.09</v>
      </c>
      <c r="J1776" s="3">
        <f t="shared" si="81"/>
        <v>5348.5199999999995</v>
      </c>
      <c r="K1776" s="3">
        <f t="shared" si="82"/>
        <v>3891.2400000000002</v>
      </c>
      <c r="L1776" s="3">
        <f t="shared" si="83"/>
        <v>1457.2799999999993</v>
      </c>
    </row>
    <row r="1777" spans="1:12" x14ac:dyDescent="0.3">
      <c r="A1777">
        <v>2312</v>
      </c>
      <c r="B1777" s="2">
        <v>46012</v>
      </c>
      <c r="C1777" t="s">
        <v>23</v>
      </c>
      <c r="D1777" t="s">
        <v>13</v>
      </c>
      <c r="E1777" t="s">
        <v>46</v>
      </c>
      <c r="F1777" t="s">
        <v>36</v>
      </c>
      <c r="G1777">
        <v>7</v>
      </c>
      <c r="H1777" s="3">
        <v>10.32</v>
      </c>
      <c r="I1777" s="3">
        <v>7.57</v>
      </c>
      <c r="J1777" s="3">
        <f t="shared" si="81"/>
        <v>72.240000000000009</v>
      </c>
      <c r="K1777" s="3">
        <f t="shared" si="82"/>
        <v>52.99</v>
      </c>
      <c r="L1777" s="3">
        <f t="shared" si="83"/>
        <v>19.250000000000007</v>
      </c>
    </row>
    <row r="1778" spans="1:12" x14ac:dyDescent="0.3">
      <c r="A1778">
        <v>2344</v>
      </c>
      <c r="B1778" s="2">
        <v>46012</v>
      </c>
      <c r="C1778" t="s">
        <v>26</v>
      </c>
      <c r="D1778" t="s">
        <v>20</v>
      </c>
      <c r="E1778" t="s">
        <v>34</v>
      </c>
      <c r="F1778" t="s">
        <v>36</v>
      </c>
      <c r="G1778">
        <v>14</v>
      </c>
      <c r="H1778" s="3">
        <v>220.18</v>
      </c>
      <c r="I1778" s="3">
        <v>159.55000000000001</v>
      </c>
      <c r="J1778" s="3">
        <f t="shared" si="81"/>
        <v>3082.52</v>
      </c>
      <c r="K1778" s="3">
        <f t="shared" si="82"/>
        <v>2233.7000000000003</v>
      </c>
      <c r="L1778" s="3">
        <f t="shared" si="83"/>
        <v>848.81999999999971</v>
      </c>
    </row>
    <row r="1779" spans="1:12" x14ac:dyDescent="0.3">
      <c r="A1779">
        <v>1694</v>
      </c>
      <c r="B1779" s="2">
        <v>46013</v>
      </c>
      <c r="C1779" t="s">
        <v>16</v>
      </c>
      <c r="D1779" t="s">
        <v>17</v>
      </c>
      <c r="E1779" t="s">
        <v>44</v>
      </c>
      <c r="F1779" t="s">
        <v>28</v>
      </c>
      <c r="G1779">
        <v>31</v>
      </c>
      <c r="H1779" s="3">
        <v>87.39</v>
      </c>
      <c r="I1779" s="3">
        <v>46.29</v>
      </c>
      <c r="J1779" s="3">
        <f t="shared" si="81"/>
        <v>2709.09</v>
      </c>
      <c r="K1779" s="3">
        <f t="shared" si="82"/>
        <v>1434.99</v>
      </c>
      <c r="L1779" s="3">
        <f t="shared" si="83"/>
        <v>1274.1000000000001</v>
      </c>
    </row>
    <row r="1780" spans="1:12" x14ac:dyDescent="0.3">
      <c r="A1780">
        <v>2034</v>
      </c>
      <c r="B1780" s="2">
        <v>46013</v>
      </c>
      <c r="C1780" t="s">
        <v>12</v>
      </c>
      <c r="D1780" t="s">
        <v>20</v>
      </c>
      <c r="E1780" t="s">
        <v>21</v>
      </c>
      <c r="F1780" t="s">
        <v>36</v>
      </c>
      <c r="G1780">
        <v>16</v>
      </c>
      <c r="H1780" s="3">
        <v>258.27999999999997</v>
      </c>
      <c r="I1780" s="3">
        <v>155.55000000000001</v>
      </c>
      <c r="J1780" s="3">
        <f t="shared" si="81"/>
        <v>4132.4799999999996</v>
      </c>
      <c r="K1780" s="3">
        <f t="shared" si="82"/>
        <v>2488.8000000000002</v>
      </c>
      <c r="L1780" s="3">
        <f t="shared" si="83"/>
        <v>1643.6799999999994</v>
      </c>
    </row>
    <row r="1781" spans="1:12" x14ac:dyDescent="0.3">
      <c r="A1781">
        <v>1401</v>
      </c>
      <c r="B1781" s="2">
        <v>46014</v>
      </c>
      <c r="C1781" t="s">
        <v>23</v>
      </c>
      <c r="D1781" t="s">
        <v>13</v>
      </c>
      <c r="E1781" t="s">
        <v>45</v>
      </c>
      <c r="F1781" t="s">
        <v>39</v>
      </c>
      <c r="G1781">
        <v>29</v>
      </c>
      <c r="H1781" s="3">
        <v>57.11</v>
      </c>
      <c r="I1781" s="3">
        <v>39.78</v>
      </c>
      <c r="J1781" s="3">
        <f t="shared" si="81"/>
        <v>1656.19</v>
      </c>
      <c r="K1781" s="3">
        <f t="shared" si="82"/>
        <v>1153.6200000000001</v>
      </c>
      <c r="L1781" s="3">
        <f t="shared" si="83"/>
        <v>502.56999999999994</v>
      </c>
    </row>
    <row r="1782" spans="1:12" x14ac:dyDescent="0.3">
      <c r="A1782">
        <v>1859</v>
      </c>
      <c r="B1782" s="2">
        <v>46014</v>
      </c>
      <c r="C1782" t="s">
        <v>16</v>
      </c>
      <c r="D1782" t="s">
        <v>29</v>
      </c>
      <c r="E1782" t="s">
        <v>37</v>
      </c>
      <c r="F1782" t="s">
        <v>36</v>
      </c>
      <c r="G1782">
        <v>40</v>
      </c>
      <c r="H1782" s="3">
        <v>342.9</v>
      </c>
      <c r="I1782" s="3">
        <v>201.92</v>
      </c>
      <c r="J1782" s="3">
        <f t="shared" si="81"/>
        <v>13716</v>
      </c>
      <c r="K1782" s="3">
        <f t="shared" si="82"/>
        <v>8076.7999999999993</v>
      </c>
      <c r="L1782" s="3">
        <f t="shared" si="83"/>
        <v>5639.2000000000007</v>
      </c>
    </row>
    <row r="1783" spans="1:12" x14ac:dyDescent="0.3">
      <c r="A1783">
        <v>1994</v>
      </c>
      <c r="B1783" s="2">
        <v>46014</v>
      </c>
      <c r="C1783" t="s">
        <v>32</v>
      </c>
      <c r="D1783" t="s">
        <v>13</v>
      </c>
      <c r="E1783" t="s">
        <v>14</v>
      </c>
      <c r="F1783" t="s">
        <v>15</v>
      </c>
      <c r="G1783">
        <v>24</v>
      </c>
      <c r="H1783" s="3">
        <v>19.68</v>
      </c>
      <c r="I1783" s="3">
        <v>11.16</v>
      </c>
      <c r="J1783" s="3">
        <f t="shared" si="81"/>
        <v>472.32</v>
      </c>
      <c r="K1783" s="3">
        <f t="shared" si="82"/>
        <v>267.84000000000003</v>
      </c>
      <c r="L1783" s="3">
        <f t="shared" si="83"/>
        <v>204.47999999999996</v>
      </c>
    </row>
    <row r="1784" spans="1:12" x14ac:dyDescent="0.3">
      <c r="A1784">
        <v>1070</v>
      </c>
      <c r="B1784" s="2">
        <v>46015</v>
      </c>
      <c r="C1784" t="s">
        <v>32</v>
      </c>
      <c r="D1784" t="s">
        <v>20</v>
      </c>
      <c r="E1784" t="s">
        <v>42</v>
      </c>
      <c r="F1784" t="s">
        <v>39</v>
      </c>
      <c r="G1784">
        <v>17</v>
      </c>
      <c r="H1784" s="3">
        <v>281.43</v>
      </c>
      <c r="I1784" s="3">
        <v>170.63</v>
      </c>
      <c r="J1784" s="3">
        <f t="shared" si="81"/>
        <v>4784.3100000000004</v>
      </c>
      <c r="K1784" s="3">
        <f t="shared" si="82"/>
        <v>2900.71</v>
      </c>
      <c r="L1784" s="3">
        <f t="shared" si="83"/>
        <v>1883.6000000000004</v>
      </c>
    </row>
    <row r="1785" spans="1:12" x14ac:dyDescent="0.3">
      <c r="A1785">
        <v>1716</v>
      </c>
      <c r="B1785" s="2">
        <v>46015</v>
      </c>
      <c r="C1785" t="s">
        <v>16</v>
      </c>
      <c r="D1785" t="s">
        <v>13</v>
      </c>
      <c r="E1785" t="s">
        <v>45</v>
      </c>
      <c r="F1785" t="s">
        <v>39</v>
      </c>
      <c r="G1785">
        <v>26</v>
      </c>
      <c r="H1785" s="3">
        <v>18.809999999999999</v>
      </c>
      <c r="I1785" s="3">
        <v>10.32</v>
      </c>
      <c r="J1785" s="3">
        <f t="shared" si="81"/>
        <v>489.05999999999995</v>
      </c>
      <c r="K1785" s="3">
        <f t="shared" si="82"/>
        <v>268.32</v>
      </c>
      <c r="L1785" s="3">
        <f t="shared" si="83"/>
        <v>220.73999999999995</v>
      </c>
    </row>
    <row r="1786" spans="1:12" x14ac:dyDescent="0.3">
      <c r="A1786">
        <v>2197</v>
      </c>
      <c r="B1786" s="2">
        <v>46015</v>
      </c>
      <c r="C1786" t="s">
        <v>32</v>
      </c>
      <c r="D1786" t="s">
        <v>29</v>
      </c>
      <c r="E1786" t="s">
        <v>41</v>
      </c>
      <c r="F1786" t="s">
        <v>33</v>
      </c>
      <c r="G1786">
        <v>24</v>
      </c>
      <c r="H1786" s="3">
        <v>214.46</v>
      </c>
      <c r="I1786" s="3">
        <v>158.6</v>
      </c>
      <c r="J1786" s="3">
        <f t="shared" si="81"/>
        <v>5147.04</v>
      </c>
      <c r="K1786" s="3">
        <f t="shared" si="82"/>
        <v>3806.3999999999996</v>
      </c>
      <c r="L1786" s="3">
        <f t="shared" si="83"/>
        <v>1340.6400000000003</v>
      </c>
    </row>
    <row r="1787" spans="1:12" x14ac:dyDescent="0.3">
      <c r="A1787">
        <v>2092</v>
      </c>
      <c r="B1787" s="2">
        <v>46016</v>
      </c>
      <c r="C1787" t="s">
        <v>16</v>
      </c>
      <c r="D1787" t="s">
        <v>29</v>
      </c>
      <c r="E1787" t="s">
        <v>37</v>
      </c>
      <c r="F1787" t="s">
        <v>28</v>
      </c>
      <c r="G1787">
        <v>28</v>
      </c>
      <c r="H1787" s="3">
        <v>131.05000000000001</v>
      </c>
      <c r="I1787" s="3">
        <v>77.55</v>
      </c>
      <c r="J1787" s="3">
        <f t="shared" si="81"/>
        <v>3669.4000000000005</v>
      </c>
      <c r="K1787" s="3">
        <f t="shared" si="82"/>
        <v>2171.4</v>
      </c>
      <c r="L1787" s="3">
        <f t="shared" si="83"/>
        <v>1498.0000000000005</v>
      </c>
    </row>
    <row r="1788" spans="1:12" x14ac:dyDescent="0.3">
      <c r="A1788">
        <v>2191</v>
      </c>
      <c r="B1788" s="2">
        <v>46016</v>
      </c>
      <c r="C1788" t="s">
        <v>23</v>
      </c>
      <c r="D1788" t="s">
        <v>29</v>
      </c>
      <c r="E1788" t="s">
        <v>43</v>
      </c>
      <c r="F1788" t="s">
        <v>28</v>
      </c>
      <c r="G1788">
        <v>24</v>
      </c>
      <c r="H1788" s="3">
        <v>215.56</v>
      </c>
      <c r="I1788" s="3">
        <v>139.13999999999999</v>
      </c>
      <c r="J1788" s="3">
        <f t="shared" si="81"/>
        <v>5173.4400000000005</v>
      </c>
      <c r="K1788" s="3">
        <f t="shared" si="82"/>
        <v>3339.3599999999997</v>
      </c>
      <c r="L1788" s="3">
        <f t="shared" si="83"/>
        <v>1834.0800000000008</v>
      </c>
    </row>
    <row r="1789" spans="1:12" x14ac:dyDescent="0.3">
      <c r="A1789">
        <v>2383</v>
      </c>
      <c r="B1789" s="2">
        <v>46016</v>
      </c>
      <c r="C1789" t="s">
        <v>23</v>
      </c>
      <c r="D1789" t="s">
        <v>29</v>
      </c>
      <c r="E1789" t="s">
        <v>37</v>
      </c>
      <c r="F1789" t="s">
        <v>22</v>
      </c>
      <c r="G1789">
        <v>11</v>
      </c>
      <c r="H1789" s="3">
        <v>284.5</v>
      </c>
      <c r="I1789" s="3">
        <v>152.79</v>
      </c>
      <c r="J1789" s="3">
        <f t="shared" si="81"/>
        <v>3129.5</v>
      </c>
      <c r="K1789" s="3">
        <f t="shared" si="82"/>
        <v>1680.6899999999998</v>
      </c>
      <c r="L1789" s="3">
        <f t="shared" si="83"/>
        <v>1448.8100000000002</v>
      </c>
    </row>
    <row r="1790" spans="1:12" x14ac:dyDescent="0.3">
      <c r="A1790">
        <v>2535</v>
      </c>
      <c r="B1790" s="2">
        <v>46016</v>
      </c>
      <c r="C1790" t="s">
        <v>16</v>
      </c>
      <c r="D1790" t="s">
        <v>17</v>
      </c>
      <c r="E1790" t="s">
        <v>44</v>
      </c>
      <c r="F1790" t="s">
        <v>39</v>
      </c>
      <c r="G1790">
        <v>5</v>
      </c>
      <c r="H1790" s="3">
        <v>166.09</v>
      </c>
      <c r="I1790" s="3">
        <v>109.08</v>
      </c>
      <c r="J1790" s="3">
        <f t="shared" si="81"/>
        <v>830.45</v>
      </c>
      <c r="K1790" s="3">
        <f t="shared" si="82"/>
        <v>545.4</v>
      </c>
      <c r="L1790" s="3">
        <f t="shared" si="83"/>
        <v>285.05000000000007</v>
      </c>
    </row>
    <row r="1791" spans="1:12" x14ac:dyDescent="0.3">
      <c r="A1791">
        <v>1324</v>
      </c>
      <c r="B1791" s="2">
        <v>46017</v>
      </c>
      <c r="C1791" t="s">
        <v>16</v>
      </c>
      <c r="D1791" t="s">
        <v>13</v>
      </c>
      <c r="E1791" t="s">
        <v>31</v>
      </c>
      <c r="F1791" t="s">
        <v>39</v>
      </c>
      <c r="G1791">
        <v>35</v>
      </c>
      <c r="H1791" s="3">
        <v>30.12</v>
      </c>
      <c r="I1791" s="3">
        <v>17.32</v>
      </c>
      <c r="J1791" s="3">
        <f t="shared" si="81"/>
        <v>1054.2</v>
      </c>
      <c r="K1791" s="3">
        <f t="shared" si="82"/>
        <v>606.20000000000005</v>
      </c>
      <c r="L1791" s="3">
        <f t="shared" si="83"/>
        <v>448</v>
      </c>
    </row>
    <row r="1792" spans="1:12" x14ac:dyDescent="0.3">
      <c r="A1792">
        <v>1857</v>
      </c>
      <c r="B1792" s="2">
        <v>46017</v>
      </c>
      <c r="C1792" t="s">
        <v>32</v>
      </c>
      <c r="D1792" t="s">
        <v>17</v>
      </c>
      <c r="E1792" t="s">
        <v>44</v>
      </c>
      <c r="F1792" t="s">
        <v>39</v>
      </c>
      <c r="G1792">
        <v>3</v>
      </c>
      <c r="H1792" s="3">
        <v>508.2</v>
      </c>
      <c r="I1792" s="3">
        <v>289.39</v>
      </c>
      <c r="J1792" s="3">
        <f t="shared" si="81"/>
        <v>1524.6</v>
      </c>
      <c r="K1792" s="3">
        <f t="shared" si="82"/>
        <v>868.17</v>
      </c>
      <c r="L1792" s="3">
        <f t="shared" si="83"/>
        <v>656.43</v>
      </c>
    </row>
    <row r="1793" spans="1:12" x14ac:dyDescent="0.3">
      <c r="A1793">
        <v>2049</v>
      </c>
      <c r="B1793" s="2">
        <v>46017</v>
      </c>
      <c r="C1793" t="s">
        <v>23</v>
      </c>
      <c r="D1793" t="s">
        <v>17</v>
      </c>
      <c r="E1793" t="s">
        <v>27</v>
      </c>
      <c r="F1793" t="s">
        <v>36</v>
      </c>
      <c r="G1793">
        <v>5</v>
      </c>
      <c r="H1793" s="3">
        <v>375.58</v>
      </c>
      <c r="I1793" s="3">
        <v>203.4</v>
      </c>
      <c r="J1793" s="3">
        <f t="shared" si="81"/>
        <v>1877.8999999999999</v>
      </c>
      <c r="K1793" s="3">
        <f t="shared" si="82"/>
        <v>1017</v>
      </c>
      <c r="L1793" s="3">
        <f t="shared" si="83"/>
        <v>860.89999999999986</v>
      </c>
    </row>
    <row r="1794" spans="1:12" x14ac:dyDescent="0.3">
      <c r="A1794">
        <v>2271</v>
      </c>
      <c r="B1794" s="2">
        <v>46017</v>
      </c>
      <c r="C1794" t="s">
        <v>16</v>
      </c>
      <c r="D1794" t="s">
        <v>13</v>
      </c>
      <c r="E1794" t="s">
        <v>24</v>
      </c>
      <c r="F1794" t="s">
        <v>28</v>
      </c>
      <c r="G1794">
        <v>37</v>
      </c>
      <c r="H1794" s="3">
        <v>4.1100000000000003</v>
      </c>
      <c r="I1794" s="3">
        <v>2.83</v>
      </c>
      <c r="J1794" s="3">
        <f t="shared" ref="J1794:J1801" si="84">G1794*H1794</f>
        <v>152.07000000000002</v>
      </c>
      <c r="K1794" s="3">
        <f t="shared" ref="K1794:K1801" si="85">G1794*I1794</f>
        <v>104.71000000000001</v>
      </c>
      <c r="L1794" s="3">
        <f t="shared" ref="L1794:L1857" si="86">J1794-K1794</f>
        <v>47.360000000000014</v>
      </c>
    </row>
    <row r="1795" spans="1:12" x14ac:dyDescent="0.3">
      <c r="A1795">
        <v>1363</v>
      </c>
      <c r="B1795" s="2">
        <v>46018</v>
      </c>
      <c r="C1795" t="s">
        <v>32</v>
      </c>
      <c r="D1795" t="s">
        <v>13</v>
      </c>
      <c r="E1795" t="s">
        <v>24</v>
      </c>
      <c r="F1795" t="s">
        <v>15</v>
      </c>
      <c r="G1795">
        <v>29</v>
      </c>
      <c r="H1795" s="3">
        <v>41.91</v>
      </c>
      <c r="I1795" s="3">
        <v>26.34</v>
      </c>
      <c r="J1795" s="3">
        <f t="shared" si="84"/>
        <v>1215.3899999999999</v>
      </c>
      <c r="K1795" s="3">
        <f t="shared" si="85"/>
        <v>763.86</v>
      </c>
      <c r="L1795" s="3">
        <f t="shared" si="86"/>
        <v>451.52999999999986</v>
      </c>
    </row>
    <row r="1796" spans="1:12" x14ac:dyDescent="0.3">
      <c r="A1796">
        <v>2655</v>
      </c>
      <c r="B1796" s="2">
        <v>46019</v>
      </c>
      <c r="C1796" t="s">
        <v>16</v>
      </c>
      <c r="D1796" t="s">
        <v>17</v>
      </c>
      <c r="E1796" t="s">
        <v>27</v>
      </c>
      <c r="F1796" t="s">
        <v>25</v>
      </c>
      <c r="G1796">
        <v>26</v>
      </c>
      <c r="H1796" s="3">
        <v>244.43</v>
      </c>
      <c r="I1796" s="3">
        <v>125.44</v>
      </c>
      <c r="J1796" s="3">
        <f t="shared" si="84"/>
        <v>6355.18</v>
      </c>
      <c r="K1796" s="3">
        <f t="shared" si="85"/>
        <v>3261.44</v>
      </c>
      <c r="L1796" s="3">
        <f t="shared" si="86"/>
        <v>3093.7400000000002</v>
      </c>
    </row>
    <row r="1797" spans="1:12" x14ac:dyDescent="0.3">
      <c r="A1797">
        <v>2775</v>
      </c>
      <c r="B1797" s="2">
        <v>46019</v>
      </c>
      <c r="C1797" t="s">
        <v>12</v>
      </c>
      <c r="D1797" t="s">
        <v>29</v>
      </c>
      <c r="E1797" t="s">
        <v>41</v>
      </c>
      <c r="F1797" t="s">
        <v>22</v>
      </c>
      <c r="G1797">
        <v>10</v>
      </c>
      <c r="H1797" s="3">
        <v>351.59</v>
      </c>
      <c r="I1797" s="3">
        <v>214.31</v>
      </c>
      <c r="J1797" s="3">
        <f t="shared" si="84"/>
        <v>3515.8999999999996</v>
      </c>
      <c r="K1797" s="3">
        <f t="shared" si="85"/>
        <v>2143.1</v>
      </c>
      <c r="L1797" s="3">
        <f t="shared" si="86"/>
        <v>1372.7999999999997</v>
      </c>
    </row>
    <row r="1798" spans="1:12" x14ac:dyDescent="0.3">
      <c r="A1798">
        <v>1061</v>
      </c>
      <c r="B1798" s="2">
        <v>46020</v>
      </c>
      <c r="C1798" t="s">
        <v>23</v>
      </c>
      <c r="D1798" t="s">
        <v>20</v>
      </c>
      <c r="E1798" t="s">
        <v>42</v>
      </c>
      <c r="F1798" t="s">
        <v>25</v>
      </c>
      <c r="G1798">
        <v>19</v>
      </c>
      <c r="H1798" s="3">
        <v>182.84</v>
      </c>
      <c r="I1798" s="3">
        <v>113.05</v>
      </c>
      <c r="J1798" s="3">
        <f t="shared" si="84"/>
        <v>3473.96</v>
      </c>
      <c r="K1798" s="3">
        <f t="shared" si="85"/>
        <v>2147.9499999999998</v>
      </c>
      <c r="L1798" s="3">
        <f t="shared" si="86"/>
        <v>1326.0100000000002</v>
      </c>
    </row>
    <row r="1799" spans="1:12" x14ac:dyDescent="0.3">
      <c r="A1799">
        <v>1275</v>
      </c>
      <c r="B1799" s="2">
        <v>46020</v>
      </c>
      <c r="C1799" t="s">
        <v>32</v>
      </c>
      <c r="D1799" t="s">
        <v>17</v>
      </c>
      <c r="E1799" t="s">
        <v>27</v>
      </c>
      <c r="F1799" t="s">
        <v>39</v>
      </c>
      <c r="G1799">
        <v>34</v>
      </c>
      <c r="H1799" s="3">
        <v>406.97</v>
      </c>
      <c r="I1799" s="3">
        <v>262.57</v>
      </c>
      <c r="J1799" s="3">
        <f t="shared" si="84"/>
        <v>13836.980000000001</v>
      </c>
      <c r="K1799" s="3">
        <f t="shared" si="85"/>
        <v>8927.3799999999992</v>
      </c>
      <c r="L1799" s="3">
        <f t="shared" si="86"/>
        <v>4909.6000000000022</v>
      </c>
    </row>
    <row r="1800" spans="1:12" x14ac:dyDescent="0.3">
      <c r="A1800">
        <v>1737</v>
      </c>
      <c r="B1800" s="2">
        <v>46020</v>
      </c>
      <c r="C1800" t="s">
        <v>26</v>
      </c>
      <c r="D1800" t="s">
        <v>17</v>
      </c>
      <c r="E1800" t="s">
        <v>44</v>
      </c>
      <c r="F1800" t="s">
        <v>19</v>
      </c>
      <c r="G1800">
        <v>13</v>
      </c>
      <c r="H1800" s="3">
        <v>221.01</v>
      </c>
      <c r="I1800" s="3">
        <v>164.49</v>
      </c>
      <c r="J1800" s="3">
        <f t="shared" si="84"/>
        <v>2873.13</v>
      </c>
      <c r="K1800" s="3">
        <f t="shared" si="85"/>
        <v>2138.37</v>
      </c>
      <c r="L1800" s="3">
        <f t="shared" si="86"/>
        <v>734.76000000000022</v>
      </c>
    </row>
    <row r="1801" spans="1:12" x14ac:dyDescent="0.3">
      <c r="A1801">
        <v>1890</v>
      </c>
      <c r="B1801" s="2">
        <v>46021</v>
      </c>
      <c r="C1801" t="s">
        <v>23</v>
      </c>
      <c r="D1801" t="s">
        <v>13</v>
      </c>
      <c r="E1801" t="s">
        <v>24</v>
      </c>
      <c r="F1801" t="s">
        <v>25</v>
      </c>
      <c r="G1801">
        <v>10</v>
      </c>
      <c r="H1801" s="3">
        <v>59.68</v>
      </c>
      <c r="I1801" s="3">
        <v>41.27</v>
      </c>
      <c r="J1801" s="3">
        <f t="shared" si="84"/>
        <v>596.79999999999995</v>
      </c>
      <c r="K1801" s="3">
        <f t="shared" si="85"/>
        <v>412.70000000000005</v>
      </c>
      <c r="L1801" s="3">
        <f t="shared" si="86"/>
        <v>184.09999999999991</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zoomScaleNormal="100" workbookViewId="0"/>
  </sheetViews>
  <sheetFormatPr defaultColWidth="8.6640625" defaultRowHeight="14.4" x14ac:dyDescent="0.3"/>
  <cols>
    <col min="1" max="1" width="22" customWidth="1"/>
    <col min="2" max="2" width="14" customWidth="1"/>
    <col min="4" max="5" width="12" customWidth="1"/>
    <col min="7" max="7" width="16" customWidth="1"/>
    <col min="8" max="8" width="12" customWidth="1"/>
  </cols>
  <sheetData>
    <row r="1" spans="1:8" ht="17.399999999999999" x14ac:dyDescent="0.3">
      <c r="A1" s="4" t="s">
        <v>47</v>
      </c>
    </row>
    <row r="3" spans="1:8" x14ac:dyDescent="0.3">
      <c r="A3" s="5" t="s">
        <v>48</v>
      </c>
      <c r="B3" s="6">
        <f>SUM(RawData!J2:J1801)</f>
        <v>8750568.0900000073</v>
      </c>
      <c r="D3" s="5" t="s">
        <v>49</v>
      </c>
      <c r="G3" s="5" t="s">
        <v>50</v>
      </c>
    </row>
    <row r="4" spans="1:8" x14ac:dyDescent="0.3">
      <c r="A4" s="5" t="s">
        <v>51</v>
      </c>
      <c r="B4" s="6">
        <f>SUM(RawData!K2:K1801)</f>
        <v>5490849.5999999987</v>
      </c>
      <c r="D4" t="s">
        <v>2</v>
      </c>
      <c r="E4" t="s">
        <v>9</v>
      </c>
      <c r="G4" t="s">
        <v>3</v>
      </c>
      <c r="H4" t="s">
        <v>9</v>
      </c>
    </row>
    <row r="5" spans="1:8" x14ac:dyDescent="0.3">
      <c r="A5" s="5" t="s">
        <v>52</v>
      </c>
      <c r="B5" s="6">
        <f>SUM(RawData!L2:L1801)</f>
        <v>3259718.4899999993</v>
      </c>
      <c r="D5" t="s">
        <v>26</v>
      </c>
      <c r="E5" s="6">
        <f>SUMIFS(RawData!J2:J1801,RawData!C2:C1801,D5)</f>
        <v>1740461.1899999995</v>
      </c>
      <c r="G5" t="s">
        <v>17</v>
      </c>
      <c r="H5" s="6">
        <f>SUMIFS(RawData!J2:J1801,RawData!D2:D1801,G5)</f>
        <v>4723244.0100000016</v>
      </c>
    </row>
    <row r="6" spans="1:8" x14ac:dyDescent="0.3">
      <c r="A6" s="5" t="s">
        <v>53</v>
      </c>
      <c r="B6" s="7">
        <f>SUM(RawData!G2:G1801)</f>
        <v>36246</v>
      </c>
      <c r="D6" t="s">
        <v>12</v>
      </c>
      <c r="E6" s="6">
        <f>SUMIFS(RawData!J2:J1801,RawData!C2:C1801,D6)</f>
        <v>1643027.1599999995</v>
      </c>
      <c r="G6" t="s">
        <v>13</v>
      </c>
      <c r="H6" s="6">
        <f>SUMIFS(RawData!J2:J1801,RawData!D2:D1801,G6)</f>
        <v>305412.35000000009</v>
      </c>
    </row>
    <row r="7" spans="1:8" x14ac:dyDescent="0.3">
      <c r="A7" s="5" t="s">
        <v>54</v>
      </c>
      <c r="B7" s="3">
        <f>AVERAGE(RawData!J2:J1801)</f>
        <v>4861.4267166666705</v>
      </c>
      <c r="D7" t="s">
        <v>32</v>
      </c>
      <c r="E7" s="6">
        <f>SUMIFS(RawData!J2:J1801,RawData!C2:C1801,D7)</f>
        <v>1887620.1100000008</v>
      </c>
      <c r="G7" t="s">
        <v>29</v>
      </c>
      <c r="H7" s="6">
        <f>SUMIFS(RawData!J2:J1801,RawData!D2:D1801,G7)</f>
        <v>2351448.0099999993</v>
      </c>
    </row>
    <row r="8" spans="1:8" x14ac:dyDescent="0.3">
      <c r="D8" t="s">
        <v>23</v>
      </c>
      <c r="E8" s="6">
        <f>SUMIFS(RawData!J2:J1801,RawData!C2:C1801,D8)</f>
        <v>1684930.4699999997</v>
      </c>
      <c r="G8" t="s">
        <v>20</v>
      </c>
      <c r="H8" s="6">
        <f>SUMIFS(RawData!J2:J1801,RawData!D2:D1801,G8)</f>
        <v>1370463.7200000002</v>
      </c>
    </row>
    <row r="9" spans="1:8" x14ac:dyDescent="0.3">
      <c r="D9" t="s">
        <v>16</v>
      </c>
      <c r="E9" s="6">
        <f>SUMIFS(RawData!J2:J1801,RawData!C2:C1801,D9)</f>
        <v>1794529.1600000006</v>
      </c>
    </row>
    <row r="10" spans="1:8" x14ac:dyDescent="0.3">
      <c r="A10" s="5" t="s">
        <v>55</v>
      </c>
    </row>
    <row r="11" spans="1:8" x14ac:dyDescent="0.3">
      <c r="A11" t="s">
        <v>56</v>
      </c>
      <c r="B11" t="s">
        <v>9</v>
      </c>
    </row>
    <row r="12" spans="1:8" x14ac:dyDescent="0.3">
      <c r="A12" s="8">
        <v>45292</v>
      </c>
      <c r="B12" s="6">
        <f>SUMIFS(RawData!J2:J1801,RawData!B2:B1801,"&gt;="&amp;A12,RawData!B2:B1801,"&lt;"&amp;DATE(2024,2,1))</f>
        <v>306407.08999999997</v>
      </c>
    </row>
    <row r="13" spans="1:8" x14ac:dyDescent="0.3">
      <c r="A13" s="8">
        <v>45323</v>
      </c>
      <c r="B13" s="6">
        <f>SUMIFS(RawData!J2:J1801,RawData!B2:B1801,"&gt;="&amp;A13,RawData!B2:B1801,"&lt;"&amp;DATE(2024,3,1))</f>
        <v>320074.02999999997</v>
      </c>
    </row>
    <row r="14" spans="1:8" x14ac:dyDescent="0.3">
      <c r="A14" s="8">
        <v>45352</v>
      </c>
      <c r="B14" s="6">
        <f>SUMIFS(RawData!J2:J1801,RawData!B2:B1801,"&gt;="&amp;A14,RawData!B2:B1801,"&lt;"&amp;DATE(2024,4,1))</f>
        <v>364244.99999999994</v>
      </c>
    </row>
    <row r="15" spans="1:8" x14ac:dyDescent="0.3">
      <c r="A15" s="8">
        <v>45383</v>
      </c>
      <c r="B15" s="6">
        <f>SUMIFS(RawData!J2:J1801,RawData!B2:B1801,"&gt;="&amp;A15,RawData!B2:B1801,"&lt;"&amp;DATE(2024,5,1))</f>
        <v>330352.21000000014</v>
      </c>
    </row>
    <row r="16" spans="1:8" x14ac:dyDescent="0.3">
      <c r="A16" s="8">
        <v>45413</v>
      </c>
      <c r="B16" s="6">
        <f>SUMIFS(RawData!J2:J1801,RawData!B2:B1801,"&gt;="&amp;A16,RawData!B2:B1801,"&lt;"&amp;DATE(2024,6,1))</f>
        <v>426742.24000000005</v>
      </c>
    </row>
    <row r="17" spans="1:2" x14ac:dyDescent="0.3">
      <c r="A17" s="8">
        <v>45444</v>
      </c>
      <c r="B17" s="6">
        <f>SUMIFS(RawData!J2:J1801,RawData!B2:B1801,"&gt;="&amp;A17,RawData!B2:B1801,"&lt;"&amp;DATE(2024,7,1))</f>
        <v>288886.42000000004</v>
      </c>
    </row>
    <row r="18" spans="1:2" x14ac:dyDescent="0.3">
      <c r="A18" s="8">
        <v>45474</v>
      </c>
      <c r="B18" s="6">
        <f>SUMIFS(RawData!J2:J1801,RawData!B2:B1801,"&gt;="&amp;A18,RawData!B2:B1801,"&lt;"&amp;DATE(2024,8,1))</f>
        <v>345366.9800000001</v>
      </c>
    </row>
    <row r="19" spans="1:2" x14ac:dyDescent="0.3">
      <c r="A19" s="8">
        <v>45505</v>
      </c>
      <c r="B19" s="6">
        <f>SUMIFS(RawData!J2:J1801,RawData!B2:B1801,"&gt;="&amp;A19,RawData!B2:B1801,"&lt;"&amp;DATE(2024,9,1))</f>
        <v>351174.52999999997</v>
      </c>
    </row>
    <row r="20" spans="1:2" x14ac:dyDescent="0.3">
      <c r="A20" s="8">
        <v>45536</v>
      </c>
      <c r="B20" s="6">
        <f>SUMIFS(RawData!J2:J1801,RawData!B2:B1801,"&gt;="&amp;A20,RawData!B2:B1801,"&lt;"&amp;DATE(2024,10,1))</f>
        <v>318550.88</v>
      </c>
    </row>
    <row r="21" spans="1:2" x14ac:dyDescent="0.3">
      <c r="A21" s="8">
        <v>45566</v>
      </c>
      <c r="B21" s="6">
        <f>SUMIFS(RawData!J2:J1801,RawData!B2:B1801,"&gt;="&amp;A21,RawData!B2:B1801,"&lt;"&amp;DATE(2024,11,1))</f>
        <v>389142.62</v>
      </c>
    </row>
    <row r="22" spans="1:2" x14ac:dyDescent="0.3">
      <c r="A22" s="8">
        <v>45597</v>
      </c>
      <c r="B22" s="6">
        <f>SUMIFS(RawData!J2:J1801,RawData!B2:B1801,"&gt;="&amp;A22,RawData!B2:B1801,"&lt;"&amp;DATE(2024,12,1))</f>
        <v>301129.51</v>
      </c>
    </row>
    <row r="23" spans="1:2" x14ac:dyDescent="0.3">
      <c r="A23" s="8">
        <v>45627</v>
      </c>
      <c r="B23" s="6">
        <f>SUMIFS(RawData!J2:J1801,RawData!B2:B1801,"&gt;="&amp;A23,RawData!B2:B1801,"&lt;"&amp;DATE(2025,1,1))</f>
        <v>300540.49999999994</v>
      </c>
    </row>
    <row r="24" spans="1:2" x14ac:dyDescent="0.3">
      <c r="A24" s="8">
        <v>45658</v>
      </c>
      <c r="B24" s="6">
        <f>SUMIFS(RawData!J2:J1801,RawData!B2:B1801,"&gt;="&amp;A24,RawData!B2:B1801,"&lt;"&amp;DATE(2025,2,1))</f>
        <v>330304.39000000013</v>
      </c>
    </row>
    <row r="25" spans="1:2" x14ac:dyDescent="0.3">
      <c r="A25" s="8">
        <v>45689</v>
      </c>
      <c r="B25" s="6">
        <f>SUMIFS(RawData!J2:J1801,RawData!B2:B1801,"&gt;="&amp;A25,RawData!B2:B1801,"&lt;"&amp;DATE(2025,3,1))</f>
        <v>388389.91</v>
      </c>
    </row>
    <row r="26" spans="1:2" x14ac:dyDescent="0.3">
      <c r="A26" s="8">
        <v>45717</v>
      </c>
      <c r="B26" s="6">
        <f>SUMIFS(RawData!J2:J1801,RawData!B2:B1801,"&gt;="&amp;A26,RawData!B2:B1801,"&lt;"&amp;DATE(2025,4,1))</f>
        <v>340423.39999999997</v>
      </c>
    </row>
    <row r="27" spans="1:2" x14ac:dyDescent="0.3">
      <c r="A27" s="8">
        <v>45748</v>
      </c>
      <c r="B27" s="6">
        <f>SUMIFS(RawData!J2:J1801,RawData!B2:B1801,"&gt;="&amp;A27,RawData!B2:B1801,"&lt;"&amp;DATE(2025,5,1))</f>
        <v>298092.51000000007</v>
      </c>
    </row>
    <row r="28" spans="1:2" x14ac:dyDescent="0.3">
      <c r="A28" s="8">
        <v>45778</v>
      </c>
      <c r="B28" s="6">
        <f>SUMIFS(RawData!J2:J1801,RawData!B2:B1801,"&gt;="&amp;A28,RawData!B2:B1801,"&lt;"&amp;DATE(2025,6,1))</f>
        <v>305462.26000000007</v>
      </c>
    </row>
    <row r="29" spans="1:2" x14ac:dyDescent="0.3">
      <c r="A29" s="8">
        <v>45809</v>
      </c>
      <c r="B29" s="6">
        <f>SUMIFS(RawData!J2:J1801,RawData!B2:B1801,"&gt;="&amp;A29,RawData!B2:B1801,"&lt;"&amp;DATE(2025,7,1))</f>
        <v>455287.66999999993</v>
      </c>
    </row>
    <row r="30" spans="1:2" x14ac:dyDescent="0.3">
      <c r="A30" s="8">
        <v>45839</v>
      </c>
      <c r="B30" s="6">
        <f>SUMIFS(RawData!J2:J1801,RawData!B2:B1801,"&gt;="&amp;A30,RawData!B2:B1801,"&lt;"&amp;DATE(2025,8,1))</f>
        <v>528540.74999999988</v>
      </c>
    </row>
    <row r="31" spans="1:2" x14ac:dyDescent="0.3">
      <c r="A31" s="8">
        <v>45870</v>
      </c>
      <c r="B31" s="6">
        <f>SUMIFS(RawData!J2:J1801,RawData!B2:B1801,"&gt;="&amp;A31,RawData!B2:B1801,"&lt;"&amp;DATE(2025,9,1))</f>
        <v>441181.81000000011</v>
      </c>
    </row>
    <row r="32" spans="1:2" x14ac:dyDescent="0.3">
      <c r="A32" s="8">
        <v>45901</v>
      </c>
      <c r="B32" s="6">
        <f>SUMIFS(RawData!J2:J1801,RawData!B2:B1801,"&gt;="&amp;A32,RawData!B2:B1801,"&lt;"&amp;DATE(2025,10,1))</f>
        <v>384406.53000000014</v>
      </c>
    </row>
    <row r="33" spans="1:2" x14ac:dyDescent="0.3">
      <c r="A33" s="8">
        <v>45931</v>
      </c>
      <c r="B33" s="6">
        <f>SUMIFS(RawData!J2:J1801,RawData!B2:B1801,"&gt;="&amp;A33,RawData!B2:B1801,"&lt;"&amp;DATE(2025,11,1))</f>
        <v>513375.25999999995</v>
      </c>
    </row>
    <row r="34" spans="1:2" x14ac:dyDescent="0.3">
      <c r="A34" s="8">
        <v>45962</v>
      </c>
      <c r="B34" s="6">
        <f>SUMIFS(RawData!J2:J1801,RawData!B2:B1801,"&gt;="&amp;A34,RawData!B2:B1801,"&lt;"&amp;DATE(2025,12,1))</f>
        <v>357682.19000000018</v>
      </c>
    </row>
    <row r="35" spans="1:2" x14ac:dyDescent="0.3">
      <c r="A35" s="8">
        <v>45992</v>
      </c>
      <c r="B35" s="6">
        <f>SUMIFS(RawData!J2:J1801,RawData!B2:B1801,"&gt;="&amp;A35,RawData!B2:B1801,"&lt;"&amp;DATE(2026,1,1))</f>
        <v>364809.40000000008</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 Dashboard</vt:lpstr>
      <vt:lpstr>RawData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Alan Sha</cp:lastModifiedBy>
  <cp:revision>1</cp:revision>
  <dcterms:created xsi:type="dcterms:W3CDTF">2026-09-15T08:36:38Z</dcterms:created>
  <dcterms:modified xsi:type="dcterms:W3CDTF">2026-09-15T09:29:46Z</dcterms:modified>
  <dc:language>en-US</dc:language>
</cp:coreProperties>
</file>